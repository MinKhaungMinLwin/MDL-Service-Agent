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osankor-my.sharepoint.com/personal/myeongcheol_kang_doosan_com/Documents/"/>
    </mc:Choice>
  </mc:AlternateContent>
  <xr:revisionPtr revIDLastSave="43" documentId="8_{DAC85DF6-0964-4116-AB60-65902E06172F}" xr6:coauthVersionLast="47" xr6:coauthVersionMax="47" xr10:uidLastSave="{184AEF91-74FC-4641-8F9B-9C2505B1D5B0}"/>
  <bookViews>
    <workbookView xWindow="28680" yWindow="-120" windowWidth="51840" windowHeight="21120" firstSheet="1" activeTab="1" xr2:uid="{00000000-000D-0000-FFFF-FFFF00000000}"/>
  </bookViews>
  <sheets>
    <sheet name="제출현황" sheetId="9" state="hidden" r:id="rId1"/>
    <sheet name="DDCL(DHI-PP) 2020-10-21" sheetId="51" r:id="rId2"/>
    <sheet name="Sheet1 (2)" sheetId="52" r:id="rId3"/>
    <sheet name="Sheet1" sheetId="4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a13">#REF!</definedName>
    <definedName name="____A12">#REF!</definedName>
    <definedName name="____a13">#REF!</definedName>
    <definedName name="___A12">#REF!</definedName>
    <definedName name="___a13">#REF!</definedName>
    <definedName name="___con1">[1]Equipment!$V$55</definedName>
    <definedName name="___eqp1">[1]Equipment!$V$54</definedName>
    <definedName name="__123Graph_A" hidden="1">'[2]page 6'!#REF!</definedName>
    <definedName name="__123Graph_X" hidden="1">'[2]page 6'!#REF!</definedName>
    <definedName name="__A12">#REF!</definedName>
    <definedName name="__a13">#REF!</definedName>
    <definedName name="__con1">[1]Equipment!$V$55</definedName>
    <definedName name="__eqp1">[1]Equipment!$V$54</definedName>
    <definedName name="_A12">#REF!</definedName>
    <definedName name="_a13">#REF!</definedName>
    <definedName name="_con1">[1]Equipment!$V$55</definedName>
    <definedName name="_eqp1">[1]Equipment!$V$54</definedName>
    <definedName name="_xlnm._FilterDatabase" localSheetId="1" hidden="1">'DDCL(DHI-PP) 2020-10-21'!$A$5:$Q$1493</definedName>
    <definedName name="_xlnm._FilterDatabase" localSheetId="2" hidden="1">'Sheet1 (2)'!$A$3:$K$1766</definedName>
    <definedName name="_Key1" hidden="1">#REF!</definedName>
    <definedName name="_Key2" hidden="1">#REF!</definedName>
    <definedName name="_ME2">#REF!</definedName>
    <definedName name="_Order1" hidden="1">255</definedName>
    <definedName name="_Order2" hidden="1">255</definedName>
    <definedName name="_Table1_In1" hidden="1">#REF!</definedName>
    <definedName name="_Table2_In1" hidden="1">#REF!</definedName>
    <definedName name="\0">#REF!</definedName>
    <definedName name="\C">#REF!</definedName>
    <definedName name="\e">#REF!</definedName>
    <definedName name="\G">#REF!</definedName>
    <definedName name="\m">'[2]page 6'!#REF!</definedName>
    <definedName name="\n">#REF!</definedName>
    <definedName name="\O">#REF!</definedName>
    <definedName name="\P">#REF!</definedName>
    <definedName name="\R">#REF!</definedName>
    <definedName name="\y">#REF!</definedName>
    <definedName name="a">#REF!</definedName>
    <definedName name="add">#REF!</definedName>
    <definedName name="anscount" hidden="1">2</definedName>
    <definedName name="ASEP">#REF!</definedName>
    <definedName name="b">#REF!</definedName>
    <definedName name="baco" localSheetId="2">'[18]3. Monthly rate'!#REF!</definedName>
    <definedName name="baco">'[3]3. Monthly rate'!#REF!</definedName>
    <definedName name="Bas" localSheetId="2">'[18]3. Monthly rate'!#REF!</definedName>
    <definedName name="Bas">'[3]3. Monthly rate'!#REF!</definedName>
    <definedName name="base" localSheetId="2">'[18]3. Monthly rate'!#REF!</definedName>
    <definedName name="base">'[3]3. Monthly rate'!#REF!</definedName>
    <definedName name="bend">'[4]Civil '!$K$76</definedName>
    <definedName name="Bln">#REF!</definedName>
    <definedName name="boco" localSheetId="2">'[18]3. Monthly rate'!#REF!</definedName>
    <definedName name="boco">'[3]3. Monthly rate'!#REF!</definedName>
    <definedName name="bor" localSheetId="2">'[18]3. Monthly rate'!#REF!</definedName>
    <definedName name="bor">'[3]3. Monthly rate'!#REF!</definedName>
    <definedName name="build">#REF!</definedName>
    <definedName name="CA">#REF!</definedName>
    <definedName name="carp">'[5]Basic Price '!$K$63</definedName>
    <definedName name="CIRCREF" localSheetId="2">'[19]DDCL(Including PP) 2017-11-19'!CIRCREF</definedName>
    <definedName name="CIRCREF">#N/A</definedName>
    <definedName name="civ">#REF!</definedName>
    <definedName name="CMFA">#REF!</definedName>
    <definedName name="CMLA">#REF!</definedName>
    <definedName name="Compact">#REF!</definedName>
    <definedName name="compactor">'[6]eqp-rek'!$Z$19</definedName>
    <definedName name="con">[7]Equipment!$V$52</definedName>
    <definedName name="Country_List">[8]Config!$C$54</definedName>
    <definedName name="cp">#REF!</definedName>
    <definedName name="cp_syst">#REF!</definedName>
    <definedName name="crane">'[4]Civil '!$K$92</definedName>
    <definedName name="CurrTabl">#REF!</definedName>
    <definedName name="cutter">'[4]Civil '!$K$77</definedName>
    <definedName name="DATA">#REF!</definedName>
    <definedName name="DIAM">#REF!</definedName>
    <definedName name="direct">#REF!</definedName>
    <definedName name="dolar">#REF!</definedName>
    <definedName name="DOLLAR">#REF!</definedName>
    <definedName name="doser">'[5]Basic Price '!$K$93</definedName>
    <definedName name="dozer">'[6]eqp-rek'!$Z$17</definedName>
    <definedName name="DP">#REF!</definedName>
    <definedName name="drv">'[4]Civil '!$K$67</definedName>
    <definedName name="DRYWEIGHT">#REF!</definedName>
    <definedName name="ds">#REF!</definedName>
    <definedName name="dt">'[6]eqp-rek'!$Z$22</definedName>
    <definedName name="e.cfill">'[4]EQP '!#REF!</definedName>
    <definedName name="e.strip">'[4]EQP '!#REF!</definedName>
    <definedName name="E_101">#REF!</definedName>
    <definedName name="E_111">#REF!</definedName>
    <definedName name="ECONT">#REF!</definedName>
    <definedName name="EGO">#REF!</definedName>
    <definedName name="EQ">#REF!</definedName>
    <definedName name="eqrate">#REF!</definedName>
    <definedName name="EQUIT">#REF!</definedName>
    <definedName name="Excav">'[4]Civil '!$K$80</definedName>
    <definedName name="excavator">'[6]eqp-rek'!$Z$18</definedName>
    <definedName name="ExtractData">[9]!ExtractData</definedName>
    <definedName name="F_101">#REF!</definedName>
    <definedName name="F_102">#REF!</definedName>
    <definedName name="F_2">'[10]Matr''l'!#REF!</definedName>
    <definedName name="FD">'[2]page 6'!#REF!</definedName>
    <definedName name="FDAS" localSheetId="2">'[19]DDCL(Including PP) 2017-11-19'!FDAS</definedName>
    <definedName name="FDAS">#N/A</definedName>
    <definedName name="FILES">'[2]page 6'!#REF!</definedName>
    <definedName name="FIRST">#REF!</definedName>
    <definedName name="fitter">'[4]Civil '!$K$60</definedName>
    <definedName name="fman">'[4]Civil '!$K$59</definedName>
    <definedName name="fo_mth">#REF!</definedName>
    <definedName name="FOOTER">#REF!</definedName>
    <definedName name="foreman">'[11]BP Labor'!$F$8</definedName>
    <definedName name="grader">'[6]eqp-rek'!$Z$20</definedName>
    <definedName name="handcomp">'[4]Civil '!$K$78</definedName>
    <definedName name="HEAT">#REF!</definedName>
    <definedName name="ho_mth">#REF!</definedName>
    <definedName name="HOLIDAY">#REF!</definedName>
    <definedName name="hrs">[12]Indeks!$D$7</definedName>
    <definedName name="ID">#REF!</definedName>
    <definedName name="index">#REF!</definedName>
    <definedName name="kur">#REF!</definedName>
    <definedName name="kurs" localSheetId="2">'[20]Document List'!#REF!</definedName>
    <definedName name="kurs">'[13]Document List'!#REF!</definedName>
    <definedName name="kurs1" localSheetId="2">'[20]Document List'!#REF!</definedName>
    <definedName name="kurs1">'[13]Document List'!#REF!</definedName>
    <definedName name="l.cutfill">[4]MP!#REF!</definedName>
    <definedName name="lbr">'[4]Civil '!$K$57</definedName>
    <definedName name="LENGTH">#REF!</definedName>
    <definedName name="LETTER">'[2]page 6'!#REF!</definedName>
    <definedName name="limcount" hidden="1">3</definedName>
    <definedName name="local">#REF!</definedName>
    <definedName name="Macro4">#REF!</definedName>
    <definedName name="mason">'[4]Civil '!$K$61</definedName>
    <definedName name="ME">#REF!</definedName>
    <definedName name="mech">#REF!</definedName>
    <definedName name="MESSAGE1">#REF!</definedName>
    <definedName name="mh_rate">#REF!</definedName>
    <definedName name="MHrate">#REF!</definedName>
    <definedName name="mhrho" localSheetId="2">[21]indeks!$B$1</definedName>
    <definedName name="mhrho">[14]indeks!$B$1</definedName>
    <definedName name="mixer_300">'[4]Civil '!$K$86</definedName>
    <definedName name="mmmhr" localSheetId="2">'[20]Man Power Plan'!#REF!</definedName>
    <definedName name="mmmhr">'[13]Man Power Plan'!#REF!</definedName>
    <definedName name="MPP">#N/A</definedName>
    <definedName name="mth">#REF!</definedName>
    <definedName name="MU">#REF!</definedName>
    <definedName name="MU.C">#REF!</definedName>
    <definedName name="MU.E">#REF!</definedName>
    <definedName name="MU.L">#REF!</definedName>
    <definedName name="MU.M">#REF!</definedName>
    <definedName name="MU.S">#REF!</definedName>
    <definedName name="murate">#REF!</definedName>
    <definedName name="nom_attribut">#REF!</definedName>
    <definedName name="NORMAL">#REF!</definedName>
    <definedName name="OP_SYS">#REF!</definedName>
    <definedName name="opr">'[4]Civil '!$K$56</definedName>
    <definedName name="persen_IFA">#REF!</definedName>
    <definedName name="persen_IFC">#REF!</definedName>
    <definedName name="PERTAMINA">#REF!</definedName>
    <definedName name="pip">#REF!</definedName>
    <definedName name="PIPENB">#REF!</definedName>
    <definedName name="PIPING_1">#N/A</definedName>
    <definedName name="PRES">#REF!</definedName>
    <definedName name="PRINT">#REF!</definedName>
    <definedName name="_xlnm.Print_Area">#REF!</definedName>
    <definedName name="PRINT_AREA_MI">#REF!</definedName>
    <definedName name="_xlnm.Print_Titles" localSheetId="1">'DDCL(DHI-PP) 2020-10-21'!$2:$5</definedName>
    <definedName name="_xlnm.Print_Titles">[15]Sheet1!#REF!</definedName>
    <definedName name="Print2">#REF!</definedName>
    <definedName name="process_area">#REF!</definedName>
    <definedName name="rateeng" localSheetId="2">'[20]Document List'!#REF!</definedName>
    <definedName name="rateeng">'[13]Document List'!#REF!</definedName>
    <definedName name="rebarman">'[5]Basic Price '!$K$62</definedName>
    <definedName name="_xlnm.Recorder">#REF!</definedName>
    <definedName name="ref" localSheetId="2">'[19]DDCL(Including PP) 2017-11-19'!ref</definedName>
    <definedName name="ref">#N/A</definedName>
    <definedName name="rerer">#REF!</definedName>
    <definedName name="REV">'[16]Summary of BQ Material'!#REF!</definedName>
    <definedName name="RMHLG">#REF!</definedName>
    <definedName name="roller">'[4]Civil '!$K$90</definedName>
    <definedName name="RWI">#REF!</definedName>
    <definedName name="SALAH" hidden="1">#REF!</definedName>
    <definedName name="SCI">#REF!</definedName>
    <definedName name="SCII">#REF!</definedName>
    <definedName name="SCIII">#REF!</definedName>
    <definedName name="SCIV">#REF!</definedName>
    <definedName name="SCV.1">#REF!</definedName>
    <definedName name="SCV.2">#REF!</definedName>
    <definedName name="SCV.3">#REF!</definedName>
    <definedName name="SCV.4">#REF!</definedName>
    <definedName name="SCV.5">#REF!</definedName>
    <definedName name="sds">'[2]page 6'!#REF!</definedName>
    <definedName name="SECOND">#REF!</definedName>
    <definedName name="Sector_List">[8]Config!$F$54:$F$241</definedName>
    <definedName name="sencount" hidden="1">1</definedName>
    <definedName name="Site_List">[8]Config!$D$54:$D$64</definedName>
    <definedName name="skill">'[4]Civil '!$K$65</definedName>
    <definedName name="SLH" hidden="1">#REF!</definedName>
    <definedName name="SMFI">#REF!</definedName>
    <definedName name="SMLI">#REF!</definedName>
    <definedName name="SMLII">#REF!</definedName>
    <definedName name="SMLIII">#REF!</definedName>
    <definedName name="SMLIV">#REF!</definedName>
    <definedName name="SMLV.1">#REF!</definedName>
    <definedName name="SMLV.2">#REF!</definedName>
    <definedName name="SMLV.3">#REF!</definedName>
    <definedName name="SMLV.4">#REF!</definedName>
    <definedName name="SMLV.5">#REF!</definedName>
    <definedName name="staff">#REF!</definedName>
    <definedName name="Start_Bridge">#REF!</definedName>
    <definedName name="Start_Buildings">#REF!</definedName>
    <definedName name="Start_Eqp_Foundations">#REF!</definedName>
    <definedName name="startdate">#REF!</definedName>
    <definedName name="SUB1A">#REF!</definedName>
    <definedName name="SUB1B">#REF!</definedName>
    <definedName name="SUB1C">#REF!</definedName>
    <definedName name="SUB2A">#REF!</definedName>
    <definedName name="SUB2B">#REF!</definedName>
    <definedName name="SUB2C">#REF!</definedName>
    <definedName name="SUB3A">#REF!</definedName>
    <definedName name="SUB3B">#REF!</definedName>
    <definedName name="SUB3C">#REF!</definedName>
    <definedName name="SUB4A">#REF!</definedName>
    <definedName name="SUB4B">#REF!</definedName>
    <definedName name="SUB4C">#REF!</definedName>
    <definedName name="SUB5A">#REF!</definedName>
    <definedName name="SUB5B">#REF!</definedName>
    <definedName name="SUB5C">#REF!</definedName>
    <definedName name="SUB6A">#REF!</definedName>
    <definedName name="SUB6B">#REF!</definedName>
    <definedName name="SUB6C">#REF!</definedName>
    <definedName name="SUB7A">#REF!</definedName>
    <definedName name="SUB7B">#REF!</definedName>
    <definedName name="SUB7C">#REF!</definedName>
    <definedName name="SUB8A">#REF!</definedName>
    <definedName name="SUB8B">#REF!</definedName>
    <definedName name="SUB8C">#REF!</definedName>
    <definedName name="SUB9A">#REF!</definedName>
    <definedName name="SUB9B">#REF!</definedName>
    <definedName name="SUB9C">#REF!</definedName>
    <definedName name="T_T">#REF!</definedName>
    <definedName name="tabl">#REF!</definedName>
    <definedName name="TABLE">#REF!</definedName>
    <definedName name="TABLE2">#REF!</definedName>
    <definedName name="TCAC">#REF!</definedName>
    <definedName name="TCAF">#REF!</definedName>
    <definedName name="TCAL">#REF!</definedName>
    <definedName name="temporary">#REF!</definedName>
    <definedName name="total_mh">#REF!</definedName>
    <definedName name="Truck">#REF!</definedName>
    <definedName name="TYPE">#REF!</definedName>
    <definedName name="UOA">#REF!</definedName>
    <definedName name="UREA">#REF!</definedName>
    <definedName name="UREA_ELECTRICAL_MATERIAL">#REF!</definedName>
    <definedName name="UREA_ELECTRICAL_WORKS">#REF!</definedName>
    <definedName name="USD">#REF!</definedName>
    <definedName name="UTILITY_INSTRUMENT_MATERIAL">#REF!</definedName>
    <definedName name="UTILITY_INSTRUMENT_WORKS">#REF!</definedName>
    <definedName name="V_101">#REF!</definedName>
    <definedName name="V_111">#REF!</definedName>
    <definedName name="V101_">#REF!</definedName>
    <definedName name="V111_">#REF!</definedName>
    <definedName name="vibr">'[4]Civil '!$K$75</definedName>
    <definedName name="W_FACT">'[17]vessel weight'!#REF!</definedName>
    <definedName name="weld">'[4]Civil '!$K$66</definedName>
    <definedName name="welding">'[4]Civil '!$K$79</definedName>
    <definedName name="WERT">#REF!</definedName>
    <definedName name="wtt">'[6]eqp-rek'!$Z$23</definedName>
    <definedName name="yu">#REF!</definedName>
    <definedName name="zq_sy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492" i="51" l="1"/>
  <c r="S1492" i="51" a="1"/>
  <c r="S1491" i="51"/>
  <c r="S1491" i="51" a="1"/>
  <c r="S1490" i="51" a="1"/>
  <c r="S1490" i="51" s="1"/>
  <c r="S1489" i="51"/>
  <c r="S1489" i="51" a="1"/>
  <c r="S1488" i="51"/>
  <c r="S1488" i="51" a="1"/>
  <c r="S1487" i="51" a="1"/>
  <c r="S1487" i="51" s="1"/>
  <c r="S1486" i="51" a="1"/>
  <c r="S1486" i="51" s="1"/>
  <c r="S1485" i="51" a="1"/>
  <c r="S1485" i="51" s="1"/>
  <c r="S1484" i="51" a="1"/>
  <c r="S1484" i="51" s="1"/>
  <c r="S1483" i="51"/>
  <c r="S1483" i="51" a="1"/>
  <c r="S1482" i="51" a="1"/>
  <c r="S1482" i="51" s="1"/>
  <c r="S1481" i="51" a="1"/>
  <c r="S1481" i="51" s="1"/>
  <c r="S1480" i="51"/>
  <c r="S1480" i="51" a="1"/>
  <c r="S1479" i="51"/>
  <c r="S1479" i="51" a="1"/>
  <c r="S1478" i="51" a="1"/>
  <c r="S1478" i="51" s="1"/>
  <c r="S1477" i="51"/>
  <c r="S1477" i="51" a="1"/>
  <c r="S1476" i="51" a="1"/>
  <c r="S1476" i="51" s="1"/>
  <c r="S1475" i="51" a="1"/>
  <c r="S1475" i="51" s="1"/>
  <c r="S1474" i="51" a="1"/>
  <c r="S1474" i="51" s="1"/>
  <c r="S1473" i="51" a="1"/>
  <c r="S1473" i="51" s="1"/>
  <c r="S1472" i="51" a="1"/>
  <c r="S1472" i="51" s="1"/>
  <c r="S1471" i="51"/>
  <c r="S1471" i="51" a="1"/>
  <c r="S1470" i="51" a="1"/>
  <c r="S1470" i="51" s="1"/>
  <c r="S1469" i="51"/>
  <c r="S1469" i="51" a="1"/>
  <c r="S1468" i="51"/>
  <c r="S1468" i="51" a="1"/>
  <c r="S1467" i="51" a="1"/>
  <c r="S1467" i="51" s="1"/>
  <c r="S1466" i="51" a="1"/>
  <c r="S1466" i="51" s="1"/>
  <c r="S1465" i="51"/>
  <c r="S1465" i="51" a="1"/>
  <c r="S1464" i="51" a="1"/>
  <c r="S1464" i="51" s="1"/>
  <c r="S1463" i="51" a="1"/>
  <c r="S1463" i="51" s="1"/>
  <c r="S1462" i="51" a="1"/>
  <c r="S1462" i="51" s="1"/>
  <c r="S1461" i="51" a="1"/>
  <c r="S1461" i="51" s="1"/>
  <c r="S1460" i="51"/>
  <c r="S1460" i="51" a="1"/>
  <c r="S1459" i="51"/>
  <c r="S1459" i="51" a="1"/>
  <c r="S1458" i="51" a="1"/>
  <c r="S1458" i="51" s="1"/>
  <c r="S1457" i="51"/>
  <c r="S1457" i="51" a="1"/>
  <c r="S1456" i="51"/>
  <c r="S1456" i="51" a="1"/>
  <c r="S1455" i="51" a="1"/>
  <c r="S1455" i="51" s="1"/>
  <c r="S1454" i="51" a="1"/>
  <c r="S1454" i="51" s="1"/>
  <c r="S1453" i="51" a="1"/>
  <c r="S1453" i="51" s="1"/>
  <c r="S1452" i="51" a="1"/>
  <c r="S1452" i="51" s="1"/>
  <c r="S1451" i="51"/>
  <c r="S1451" i="51" a="1"/>
  <c r="S1450" i="51" a="1"/>
  <c r="S1450" i="51" s="1"/>
  <c r="S1449" i="51" a="1"/>
  <c r="S1449" i="51" s="1"/>
  <c r="S1448" i="51"/>
  <c r="S1448" i="51" a="1"/>
  <c r="S1447" i="51"/>
  <c r="S1447" i="51" a="1"/>
  <c r="S1446" i="51" a="1"/>
  <c r="S1446" i="51" s="1"/>
  <c r="S1445" i="51"/>
  <c r="S1445" i="51" a="1"/>
  <c r="S1444" i="51" a="1"/>
  <c r="S1444" i="51" s="1"/>
  <c r="S1443" i="51" a="1"/>
  <c r="S1443" i="51" s="1"/>
  <c r="S1442" i="51" a="1"/>
  <c r="S1442" i="51" s="1"/>
  <c r="S1441" i="51" a="1"/>
  <c r="S1441" i="51" s="1"/>
  <c r="S1440" i="51" a="1"/>
  <c r="S1440" i="51" s="1"/>
  <c r="S1439" i="51"/>
  <c r="S1439" i="51" a="1"/>
  <c r="S1438" i="51" a="1"/>
  <c r="S1438" i="51" s="1"/>
  <c r="S1437" i="51"/>
  <c r="S1437" i="51" a="1"/>
  <c r="S1436" i="51"/>
  <c r="S1436" i="51" a="1"/>
  <c r="S1435" i="51" a="1"/>
  <c r="S1435" i="51" s="1"/>
  <c r="S1434" i="51" a="1"/>
  <c r="S1434" i="51" s="1"/>
  <c r="S1433" i="51"/>
  <c r="S1433" i="51" a="1"/>
  <c r="S1432" i="51" a="1"/>
  <c r="S1432" i="51" s="1"/>
  <c r="S1431" i="51" a="1"/>
  <c r="S1431" i="51" s="1"/>
  <c r="S1430" i="51" a="1"/>
  <c r="S1430" i="51" s="1"/>
  <c r="S1429" i="51" a="1"/>
  <c r="S1429" i="51" s="1"/>
  <c r="S1428" i="51"/>
  <c r="S1428" i="51" a="1"/>
  <c r="S1427" i="51"/>
  <c r="S1427" i="51" a="1"/>
  <c r="S1426" i="51" a="1"/>
  <c r="S1426" i="51" s="1"/>
  <c r="S1425" i="51"/>
  <c r="S1425" i="51" a="1"/>
  <c r="S1424" i="51"/>
  <c r="S1424" i="51" a="1"/>
  <c r="S1423" i="51" a="1"/>
  <c r="S1423" i="51" s="1"/>
  <c r="S1422" i="51" a="1"/>
  <c r="S1422" i="51" s="1"/>
  <c r="S1421" i="51" a="1"/>
  <c r="S1421" i="51" s="1"/>
  <c r="S1420" i="51" a="1"/>
  <c r="S1420" i="51" s="1"/>
  <c r="S1419" i="51"/>
  <c r="S1419" i="51" a="1"/>
  <c r="S1418" i="51" a="1"/>
  <c r="S1418" i="51" s="1"/>
  <c r="S1417" i="51" a="1"/>
  <c r="S1417" i="51" s="1"/>
  <c r="S1416" i="51"/>
  <c r="S1416" i="51" a="1"/>
  <c r="S1415" i="51"/>
  <c r="S1415" i="51" a="1"/>
  <c r="S1414" i="51" a="1"/>
  <c r="S1414" i="51" s="1"/>
  <c r="S1413" i="51"/>
  <c r="S1413" i="51" a="1"/>
  <c r="S1412" i="51" a="1"/>
  <c r="S1412" i="51" s="1"/>
  <c r="S1411" i="51" a="1"/>
  <c r="S1411" i="51" s="1"/>
  <c r="S1410" i="51" a="1"/>
  <c r="S1410" i="51" s="1"/>
  <c r="S1409" i="51" a="1"/>
  <c r="S1409" i="51" s="1"/>
  <c r="S1408" i="51" a="1"/>
  <c r="S1408" i="51" s="1"/>
  <c r="S1407" i="51"/>
  <c r="S1407" i="51" a="1"/>
  <c r="S1406" i="51" a="1"/>
  <c r="S1406" i="51" s="1"/>
  <c r="S1405" i="51" a="1"/>
  <c r="S1405" i="51" s="1"/>
  <c r="S1404" i="51"/>
  <c r="S1404" i="51" a="1"/>
  <c r="S1403" i="51" a="1"/>
  <c r="S1403" i="51" s="1"/>
  <c r="S1402" i="51" a="1"/>
  <c r="S1402" i="51" s="1"/>
  <c r="S1401" i="51"/>
  <c r="S1401" i="51" a="1"/>
  <c r="S1400" i="51" a="1"/>
  <c r="S1400" i="51" s="1"/>
  <c r="S1399" i="51" a="1"/>
  <c r="S1399" i="51" s="1"/>
  <c r="S1398" i="51" a="1"/>
  <c r="S1398" i="51" s="1"/>
  <c r="S1397" i="51" a="1"/>
  <c r="S1397" i="51" s="1"/>
  <c r="S1396" i="51" a="1"/>
  <c r="S1396" i="51" s="1"/>
  <c r="S1395" i="51"/>
  <c r="S1395" i="51" a="1"/>
  <c r="S1394" i="51" a="1"/>
  <c r="S1394" i="51" s="1"/>
  <c r="S1393" i="51"/>
  <c r="S1393" i="51" a="1"/>
  <c r="S1392" i="51"/>
  <c r="S1392" i="51" a="1"/>
  <c r="S1391" i="51" a="1"/>
  <c r="S1391" i="51" s="1"/>
  <c r="S1390" i="51" a="1"/>
  <c r="S1390" i="51" s="1"/>
  <c r="S1389" i="51" a="1"/>
  <c r="S1389" i="51" s="1"/>
  <c r="S1388" i="51" a="1"/>
  <c r="S1388" i="51" s="1"/>
  <c r="S1387" i="51" a="1"/>
  <c r="S1387" i="51" s="1"/>
  <c r="S1386" i="51" a="1"/>
  <c r="S1386" i="51" s="1"/>
  <c r="S1385" i="51" a="1"/>
  <c r="S1385" i="51" s="1"/>
  <c r="S1384" i="51"/>
  <c r="S1384" i="51" a="1"/>
  <c r="S1383" i="51"/>
  <c r="S1383" i="51" a="1"/>
  <c r="S1382" i="51" a="1"/>
  <c r="S1382" i="51" s="1"/>
  <c r="S1381" i="51"/>
  <c r="S1381" i="51" a="1"/>
  <c r="S1380" i="51" a="1"/>
  <c r="S1380" i="51" s="1"/>
  <c r="S1379" i="51" a="1"/>
  <c r="S1379" i="51" s="1"/>
  <c r="S1378" i="51" a="1"/>
  <c r="S1378" i="51" s="1"/>
  <c r="S1377" i="51" a="1"/>
  <c r="S1377" i="51" s="1"/>
  <c r="S1376" i="51" a="1"/>
  <c r="S1376" i="51" s="1"/>
  <c r="S1375" i="51"/>
  <c r="S1375" i="51" a="1"/>
  <c r="S1374" i="51" a="1"/>
  <c r="S1374" i="51" s="1"/>
  <c r="S1373" i="51" a="1"/>
  <c r="S1373" i="51" s="1"/>
  <c r="S1372" i="51"/>
  <c r="S1372" i="51" a="1"/>
  <c r="S1371" i="51" a="1"/>
  <c r="S1371" i="51" s="1"/>
  <c r="S1370" i="51" a="1"/>
  <c r="S1370" i="51" s="1"/>
  <c r="S1369" i="51"/>
  <c r="S1369" i="51" a="1"/>
  <c r="S1368" i="51" a="1"/>
  <c r="S1368" i="51" s="1"/>
  <c r="S1367" i="51" a="1"/>
  <c r="S1367" i="51" s="1"/>
  <c r="S1366" i="51" a="1"/>
  <c r="S1366" i="51" s="1"/>
  <c r="S1365" i="51" a="1"/>
  <c r="S1365" i="51" s="1"/>
  <c r="S1364" i="51" a="1"/>
  <c r="S1364" i="51" s="1"/>
  <c r="S1363" i="51"/>
  <c r="S1363" i="51" a="1"/>
  <c r="S1362" i="51" a="1"/>
  <c r="S1362" i="51" s="1"/>
  <c r="S1361" i="51"/>
  <c r="S1361" i="51" a="1"/>
  <c r="S1360" i="51"/>
  <c r="S1360" i="51" a="1"/>
  <c r="S1359" i="51" a="1"/>
  <c r="S1359" i="51" s="1"/>
  <c r="S1358" i="51" a="1"/>
  <c r="S1358" i="51" s="1"/>
  <c r="S1357" i="51" a="1"/>
  <c r="S1357" i="51" s="1"/>
  <c r="S1356" i="51" a="1"/>
  <c r="S1356" i="51" s="1"/>
  <c r="S1355" i="51" a="1"/>
  <c r="S1355" i="51" s="1"/>
  <c r="S1354" i="51" a="1"/>
  <c r="S1354" i="51" s="1"/>
  <c r="S1353" i="51" a="1"/>
  <c r="S1353" i="51" s="1"/>
  <c r="S1352" i="51"/>
  <c r="S1352" i="51" a="1"/>
  <c r="S1351" i="51"/>
  <c r="S1351" i="51" a="1"/>
  <c r="S1350" i="51" a="1"/>
  <c r="S1350" i="51" s="1"/>
  <c r="S1349" i="51"/>
  <c r="S1349" i="51" a="1"/>
  <c r="S1348" i="51" a="1"/>
  <c r="S1348" i="51" s="1"/>
  <c r="S1347" i="51" a="1"/>
  <c r="S1347" i="51" s="1"/>
  <c r="S1346" i="51" a="1"/>
  <c r="S1346" i="51" s="1"/>
  <c r="S1345" i="51" a="1"/>
  <c r="S1345" i="51" s="1"/>
  <c r="S1344" i="51" a="1"/>
  <c r="S1344" i="51" s="1"/>
  <c r="S1343" i="51"/>
  <c r="S1343" i="51" a="1"/>
  <c r="S1342" i="51" a="1"/>
  <c r="S1342" i="51" s="1"/>
  <c r="S1341" i="51" a="1"/>
  <c r="S1341" i="51" s="1"/>
  <c r="S1340" i="51"/>
  <c r="S1340" i="51" a="1"/>
  <c r="S1339" i="51" a="1"/>
  <c r="S1339" i="51" s="1"/>
  <c r="S1338" i="51" a="1"/>
  <c r="S1338" i="51" s="1"/>
  <c r="S1337" i="51"/>
  <c r="S1337" i="51" a="1"/>
  <c r="S1336" i="51" a="1"/>
  <c r="S1336" i="51" s="1"/>
  <c r="S1335" i="51" a="1"/>
  <c r="S1335" i="51" s="1"/>
  <c r="S1334" i="51" a="1"/>
  <c r="S1334" i="51" s="1"/>
  <c r="S1333" i="51" a="1"/>
  <c r="S1333" i="51" s="1"/>
  <c r="S1332" i="51" a="1"/>
  <c r="S1332" i="51" s="1"/>
  <c r="S1331" i="51"/>
  <c r="S1331" i="51" a="1"/>
  <c r="S1330" i="51" a="1"/>
  <c r="S1330" i="51" s="1"/>
  <c r="S1329" i="51"/>
  <c r="S1329" i="51" a="1"/>
  <c r="S1328" i="51"/>
  <c r="S1328" i="51" a="1"/>
  <c r="S1327" i="51" a="1"/>
  <c r="S1327" i="51" s="1"/>
  <c r="S1326" i="51" a="1"/>
  <c r="S1326" i="51" s="1"/>
  <c r="S1325" i="51" a="1"/>
  <c r="S1325" i="51" s="1"/>
  <c r="S1324" i="51" a="1"/>
  <c r="S1324" i="51" s="1"/>
  <c r="S1323" i="51" a="1"/>
  <c r="S1323" i="51" s="1"/>
  <c r="S1322" i="51" a="1"/>
  <c r="S1322" i="51" s="1"/>
  <c r="S1321" i="51" a="1"/>
  <c r="S1321" i="51" s="1"/>
  <c r="S1320" i="51"/>
  <c r="S1320" i="51" a="1"/>
  <c r="S1319" i="51"/>
  <c r="S1319" i="51" a="1"/>
  <c r="S1318" i="51" a="1"/>
  <c r="S1318" i="51" s="1"/>
  <c r="S1317" i="51"/>
  <c r="S1317" i="51" a="1"/>
  <c r="S1316" i="51" a="1"/>
  <c r="S1316" i="51" s="1"/>
  <c r="S1315" i="51" a="1"/>
  <c r="S1315" i="51" s="1"/>
  <c r="S1314" i="51" a="1"/>
  <c r="S1314" i="51" s="1"/>
  <c r="S1313" i="51" a="1"/>
  <c r="S1313" i="51" s="1"/>
  <c r="S1312" i="51" a="1"/>
  <c r="S1312" i="51" s="1"/>
  <c r="S1311" i="51"/>
  <c r="S1311" i="51" a="1"/>
  <c r="S1310" i="51" a="1"/>
  <c r="S1310" i="51" s="1"/>
  <c r="S1309" i="51" a="1"/>
  <c r="S1309" i="51" s="1"/>
  <c r="S1308" i="51"/>
  <c r="S1308" i="51" a="1"/>
  <c r="S1307" i="51" a="1"/>
  <c r="S1307" i="51" s="1"/>
  <c r="S1306" i="51" a="1"/>
  <c r="S1306" i="51" s="1"/>
  <c r="S1305" i="51"/>
  <c r="S1305" i="51" a="1"/>
  <c r="S1304" i="51" a="1"/>
  <c r="S1304" i="51" s="1"/>
  <c r="S1303" i="51" a="1"/>
  <c r="S1303" i="51" s="1"/>
  <c r="S1302" i="51" a="1"/>
  <c r="S1302" i="51" s="1"/>
  <c r="S1301" i="51" a="1"/>
  <c r="S1301" i="51" s="1"/>
  <c r="S1300" i="51" a="1"/>
  <c r="S1300" i="51" s="1"/>
  <c r="S1299" i="51"/>
  <c r="S1299" i="51" a="1"/>
  <c r="S1298" i="51" a="1"/>
  <c r="S1298" i="51" s="1"/>
  <c r="S1297" i="51"/>
  <c r="S1297" i="51" a="1"/>
  <c r="S1296" i="51"/>
  <c r="S1296" i="51" a="1"/>
  <c r="S1295" i="51" a="1"/>
  <c r="S1295" i="51" s="1"/>
  <c r="S1294" i="51" a="1"/>
  <c r="S1294" i="51" s="1"/>
  <c r="S1293" i="51" a="1"/>
  <c r="S1293" i="51" s="1"/>
  <c r="S1292" i="51" a="1"/>
  <c r="S1292" i="51" s="1"/>
  <c r="S1291" i="51" a="1"/>
  <c r="S1291" i="51" s="1"/>
  <c r="S1290" i="51" a="1"/>
  <c r="S1290" i="51" s="1"/>
  <c r="S1289" i="51" a="1"/>
  <c r="S1289" i="51" s="1"/>
  <c r="S1288" i="51"/>
  <c r="S1288" i="51" a="1"/>
  <c r="S1287" i="51"/>
  <c r="S1287" i="51" a="1"/>
  <c r="S1286" i="51" a="1"/>
  <c r="S1286" i="51" s="1"/>
  <c r="S1285" i="51"/>
  <c r="S1285" i="51" a="1"/>
  <c r="S1284" i="51" a="1"/>
  <c r="S1284" i="51" s="1"/>
  <c r="S1283" i="51" a="1"/>
  <c r="S1283" i="51" s="1"/>
  <c r="S1282" i="51" a="1"/>
  <c r="S1282" i="51" s="1"/>
  <c r="S1281" i="51" a="1"/>
  <c r="S1281" i="51" s="1"/>
  <c r="S1280" i="51" a="1"/>
  <c r="S1280" i="51" s="1"/>
  <c r="S1279" i="51"/>
  <c r="S1279" i="51" a="1"/>
  <c r="S1278" i="51" a="1"/>
  <c r="S1278" i="51" s="1"/>
  <c r="S1277" i="51" a="1"/>
  <c r="S1277" i="51" s="1"/>
  <c r="S1276" i="51"/>
  <c r="S1276" i="51" a="1"/>
  <c r="S1275" i="51" a="1"/>
  <c r="S1275" i="51" s="1"/>
  <c r="S1274" i="51" a="1"/>
  <c r="S1274" i="51" s="1"/>
  <c r="S1273" i="51"/>
  <c r="S1273" i="51" a="1"/>
  <c r="S1272" i="51" a="1"/>
  <c r="S1272" i="51" s="1"/>
  <c r="S1271" i="51" a="1"/>
  <c r="S1271" i="51" s="1"/>
  <c r="S1270" i="51" a="1"/>
  <c r="S1270" i="51" s="1"/>
  <c r="S1269" i="51" a="1"/>
  <c r="S1269" i="51" s="1"/>
  <c r="S1268" i="51" a="1"/>
  <c r="S1268" i="51" s="1"/>
  <c r="S1267" i="51"/>
  <c r="S1267" i="51" a="1"/>
  <c r="S1266" i="51" a="1"/>
  <c r="S1266" i="51" s="1"/>
  <c r="S1265" i="51"/>
  <c r="S1265" i="51" a="1"/>
  <c r="S1264" i="51"/>
  <c r="S1264" i="51" a="1"/>
  <c r="S1263" i="51" a="1"/>
  <c r="S1263" i="51" s="1"/>
  <c r="S1262" i="51" a="1"/>
  <c r="S1262" i="51" s="1"/>
  <c r="S1261" i="51" a="1"/>
  <c r="S1261" i="51" s="1"/>
  <c r="S1260" i="51" a="1"/>
  <c r="S1260" i="51" s="1"/>
  <c r="S1259" i="51" a="1"/>
  <c r="S1259" i="51" s="1"/>
  <c r="S1258" i="51" a="1"/>
  <c r="S1258" i="51" s="1"/>
  <c r="S1257" i="51" a="1"/>
  <c r="S1257" i="51" s="1"/>
  <c r="S1256" i="51"/>
  <c r="S1256" i="51" a="1"/>
  <c r="S1255" i="51"/>
  <c r="S1255" i="51" a="1"/>
  <c r="S1254" i="51" a="1"/>
  <c r="S1254" i="51" s="1"/>
  <c r="S1253" i="51" a="1"/>
  <c r="S1253" i="51" s="1"/>
  <c r="S1252" i="51" a="1"/>
  <c r="S1252" i="51" s="1"/>
  <c r="S1251" i="51" a="1"/>
  <c r="S1251" i="51" s="1"/>
  <c r="S1250" i="51" a="1"/>
  <c r="S1250" i="51" s="1"/>
  <c r="S1249" i="51" a="1"/>
  <c r="S1249" i="51" s="1"/>
  <c r="S1248" i="51" a="1"/>
  <c r="S1248" i="51" s="1"/>
  <c r="S1247" i="51"/>
  <c r="S1247" i="51" a="1"/>
  <c r="S1246" i="51" a="1"/>
  <c r="S1246" i="51" s="1"/>
  <c r="S1245" i="51"/>
  <c r="S1245" i="51" a="1"/>
  <c r="S1244" i="51" a="1"/>
  <c r="S1244" i="51" s="1"/>
  <c r="S1243" i="51" a="1"/>
  <c r="S1243" i="51" s="1"/>
  <c r="S1242" i="51" a="1"/>
  <c r="S1242" i="51" s="1"/>
  <c r="S1241" i="51"/>
  <c r="S1241" i="51" a="1"/>
  <c r="S1240" i="51" a="1"/>
  <c r="S1240" i="51" s="1"/>
  <c r="S1239" i="51" a="1"/>
  <c r="S1239" i="51" s="1"/>
  <c r="S1238" i="51" a="1"/>
  <c r="S1238" i="51" s="1"/>
  <c r="S1237" i="51" a="1"/>
  <c r="S1237" i="51" s="1"/>
  <c r="S1236" i="51"/>
  <c r="S1236" i="51" a="1"/>
  <c r="S1235" i="51" a="1"/>
  <c r="S1235" i="51" s="1"/>
  <c r="S1234" i="51" a="1"/>
  <c r="S1234" i="51" s="1"/>
  <c r="S1233" i="51"/>
  <c r="S1233" i="51" a="1"/>
  <c r="S1232" i="51" a="1"/>
  <c r="S1232" i="51" s="1"/>
  <c r="S1231" i="51" a="1"/>
  <c r="S1231" i="51" s="1"/>
  <c r="S1230" i="51" a="1"/>
  <c r="S1230" i="51" s="1"/>
  <c r="S1229" i="51" a="1"/>
  <c r="S1229" i="51" s="1"/>
  <c r="S1228" i="51" a="1"/>
  <c r="S1228" i="51" s="1"/>
  <c r="S1227" i="51"/>
  <c r="S1227" i="51" a="1"/>
  <c r="S1226" i="51" a="1"/>
  <c r="S1226" i="51" s="1"/>
  <c r="S1225" i="51" a="1"/>
  <c r="S1225" i="51" s="1"/>
  <c r="S1224" i="51"/>
  <c r="S1224" i="51" a="1"/>
  <c r="S1223" i="51" a="1"/>
  <c r="S1223" i="51" s="1"/>
  <c r="S1222" i="51" a="1"/>
  <c r="S1222" i="51" s="1"/>
  <c r="S1221" i="51" a="1"/>
  <c r="S1221" i="51" s="1"/>
  <c r="S1220" i="51" a="1"/>
  <c r="S1220" i="51" s="1"/>
  <c r="S1219" i="51" a="1"/>
  <c r="S1219" i="51" s="1"/>
  <c r="S1218" i="51" a="1"/>
  <c r="S1218" i="51" s="1"/>
  <c r="S1217" i="51" a="1"/>
  <c r="S1217" i="51" s="1"/>
  <c r="S1216" i="51" a="1"/>
  <c r="S1216" i="51" s="1"/>
  <c r="S1215" i="51"/>
  <c r="S1215" i="51" a="1"/>
  <c r="S1214" i="51" a="1"/>
  <c r="S1214" i="51" s="1"/>
  <c r="S1213" i="51"/>
  <c r="S1213" i="51" a="1"/>
  <c r="S1212" i="51" a="1"/>
  <c r="S1212" i="51" s="1"/>
  <c r="S1211" i="51" a="1"/>
  <c r="S1211" i="51" s="1"/>
  <c r="S1210" i="51" a="1"/>
  <c r="S1210" i="51" s="1"/>
  <c r="S1209" i="51" a="1"/>
  <c r="S1209" i="51" s="1"/>
  <c r="S1208" i="51" a="1"/>
  <c r="S1208" i="51" s="1"/>
  <c r="S1207" i="51" a="1"/>
  <c r="S1207" i="51" s="1"/>
  <c r="S1206" i="51" a="1"/>
  <c r="S1206" i="51" s="1"/>
  <c r="S1205" i="51" a="1"/>
  <c r="S1205" i="51" s="1"/>
  <c r="S1204" i="51"/>
  <c r="S1204" i="51" a="1"/>
  <c r="S1203" i="51" a="1"/>
  <c r="S1203" i="51" s="1"/>
  <c r="S1202" i="51" a="1"/>
  <c r="S1202" i="51" s="1"/>
  <c r="S1201" i="51"/>
  <c r="S1201" i="51" a="1"/>
  <c r="S1200" i="51"/>
  <c r="S1200" i="51" a="1"/>
  <c r="S1199" i="51" a="1"/>
  <c r="S1199" i="51" s="1"/>
  <c r="S1198" i="51" a="1"/>
  <c r="S1198" i="51" s="1"/>
  <c r="S1197" i="51" a="1"/>
  <c r="S1197" i="51" s="1"/>
  <c r="S1196" i="51" a="1"/>
  <c r="S1196" i="51" s="1"/>
  <c r="S1195" i="51"/>
  <c r="S1195" i="51" a="1"/>
  <c r="S1194" i="51" a="1"/>
  <c r="S1194" i="51" s="1"/>
  <c r="S1193" i="51" a="1"/>
  <c r="S1193" i="51" s="1"/>
  <c r="S1192" i="51"/>
  <c r="S1192" i="51" a="1"/>
  <c r="S1191" i="51" a="1"/>
  <c r="S1191" i="51" s="1"/>
  <c r="S1190" i="51" a="1"/>
  <c r="S1190" i="51" s="1"/>
  <c r="S1189" i="51" a="1"/>
  <c r="S1189" i="51" s="1"/>
  <c r="S1188" i="51" a="1"/>
  <c r="S1188" i="51" s="1"/>
  <c r="S1187" i="51" a="1"/>
  <c r="S1187" i="51" s="1"/>
  <c r="S1186" i="51" a="1"/>
  <c r="S1186" i="51" s="1"/>
  <c r="S1185" i="51" a="1"/>
  <c r="S1185" i="51" s="1"/>
  <c r="S1184" i="51" a="1"/>
  <c r="S1184" i="51" s="1"/>
  <c r="S1183" i="51"/>
  <c r="S1183" i="51" a="1"/>
  <c r="S1182" i="51" a="1"/>
  <c r="S1182" i="51" s="1"/>
  <c r="S1181" i="51"/>
  <c r="S1181" i="51" a="1"/>
  <c r="S1180" i="51" a="1"/>
  <c r="S1180" i="51" s="1"/>
  <c r="S1179" i="51" a="1"/>
  <c r="S1179" i="51" s="1"/>
  <c r="S1178" i="51" a="1"/>
  <c r="S1178" i="51" s="1"/>
  <c r="S1177" i="51"/>
  <c r="S1177" i="51" a="1"/>
  <c r="S1176" i="51" a="1"/>
  <c r="S1176" i="51" s="1"/>
  <c r="S1175" i="51" a="1"/>
  <c r="S1175" i="51" s="1"/>
  <c r="S1174" i="51" a="1"/>
  <c r="S1174" i="51" s="1"/>
  <c r="S1173" i="51" a="1"/>
  <c r="S1173" i="51" s="1"/>
  <c r="S1172" i="51"/>
  <c r="S1172" i="51" a="1"/>
  <c r="S1171" i="51"/>
  <c r="S1171" i="51" a="1"/>
  <c r="S1170" i="51" a="1"/>
  <c r="S1170" i="51" s="1"/>
  <c r="S1169" i="51"/>
  <c r="S1169" i="51" a="1"/>
  <c r="S1168" i="51"/>
  <c r="S1168" i="51" a="1"/>
  <c r="S1167" i="51" a="1"/>
  <c r="S1167" i="51" s="1"/>
  <c r="S1166" i="51" a="1"/>
  <c r="S1166" i="51" s="1"/>
  <c r="S1165" i="51" a="1"/>
  <c r="S1165" i="51" s="1"/>
  <c r="S1164" i="51" a="1"/>
  <c r="S1164" i="51" s="1"/>
  <c r="S1163" i="51"/>
  <c r="S1163" i="51" a="1"/>
  <c r="S1162" i="51" a="1"/>
  <c r="S1162" i="51" s="1"/>
  <c r="S1161" i="51" a="1"/>
  <c r="S1161" i="51" s="1"/>
  <c r="S1160" i="51"/>
  <c r="S1160" i="51" a="1"/>
  <c r="S1159" i="51" a="1"/>
  <c r="S1159" i="51" s="1"/>
  <c r="S1158" i="51" a="1"/>
  <c r="S1158" i="51" s="1"/>
  <c r="S1157" i="51"/>
  <c r="S1157" i="51" a="1"/>
  <c r="S1156" i="51"/>
  <c r="S1156" i="51" a="1"/>
  <c r="S1155" i="51" a="1"/>
  <c r="S1155" i="51" s="1"/>
  <c r="S1154" i="51" a="1"/>
  <c r="S1154" i="51" s="1"/>
  <c r="S1153" i="51" a="1"/>
  <c r="S1153" i="51" s="1"/>
  <c r="S1152" i="51"/>
  <c r="S1152" i="51" a="1"/>
  <c r="S1151" i="51"/>
  <c r="S1151" i="51" a="1"/>
  <c r="S1150" i="51" a="1"/>
  <c r="S1150" i="51" s="1"/>
  <c r="S1149" i="51" a="1"/>
  <c r="S1149" i="51" s="1"/>
  <c r="S1148" i="51" a="1"/>
  <c r="S1148" i="51" s="1"/>
  <c r="S1147" i="51"/>
  <c r="S1147" i="51" a="1"/>
  <c r="S1146" i="51" a="1"/>
  <c r="S1146" i="51" s="1"/>
  <c r="S1145" i="51" a="1"/>
  <c r="S1145" i="51" s="1"/>
  <c r="S1144" i="51" a="1"/>
  <c r="S1144" i="51" s="1"/>
  <c r="S1143" i="51"/>
  <c r="S1143" i="51" a="1"/>
  <c r="S1142" i="51"/>
  <c r="S1142" i="51" a="1"/>
  <c r="S1141" i="51" a="1"/>
  <c r="S1141" i="51" s="1"/>
  <c r="S1140" i="51"/>
  <c r="S1140" i="51" a="1"/>
  <c r="S1139" i="51"/>
  <c r="S1139" i="51" a="1"/>
  <c r="S1138" i="51"/>
  <c r="S1138" i="51" a="1"/>
  <c r="S1137" i="51" a="1"/>
  <c r="S1137" i="51" s="1"/>
  <c r="S1136" i="51" a="1"/>
  <c r="S1136" i="51" s="1"/>
  <c r="S1135" i="51"/>
  <c r="S1135" i="51" a="1"/>
  <c r="S1134" i="51"/>
  <c r="S1134" i="51" a="1"/>
  <c r="S1133" i="51" a="1"/>
  <c r="S1133" i="51" s="1"/>
  <c r="S1132" i="51" a="1"/>
  <c r="S1132" i="51" s="1"/>
  <c r="S1131" i="51"/>
  <c r="S1131" i="51" a="1"/>
  <c r="S1130" i="51" a="1"/>
  <c r="S1130" i="51" s="1"/>
  <c r="S1129" i="51" a="1"/>
  <c r="S1129" i="51" s="1"/>
  <c r="S1128" i="51"/>
  <c r="S1128" i="51" a="1"/>
  <c r="S1127" i="51"/>
  <c r="S1127" i="51" a="1"/>
  <c r="S1126" i="51" a="1"/>
  <c r="S1126" i="51" s="1"/>
  <c r="S1125" i="51" a="1"/>
  <c r="S1125" i="51" s="1"/>
  <c r="S1124" i="51"/>
  <c r="S1124" i="51" a="1"/>
  <c r="S1123" i="51"/>
  <c r="S1123" i="51" a="1"/>
  <c r="S1122" i="51"/>
  <c r="S1122" i="51" a="1"/>
  <c r="S1121" i="51" a="1"/>
  <c r="S1121" i="51" s="1"/>
  <c r="S1120" i="51"/>
  <c r="S1120" i="51" a="1"/>
  <c r="S1119" i="51"/>
  <c r="S1119" i="51" a="1"/>
  <c r="S1118" i="51" a="1"/>
  <c r="S1118" i="51" s="1"/>
  <c r="S1117" i="51" a="1"/>
  <c r="S1117" i="51" s="1"/>
  <c r="S1116" i="51" a="1"/>
  <c r="S1116" i="51" s="1"/>
  <c r="S1115" i="51"/>
  <c r="S1115" i="51" a="1"/>
  <c r="S1114" i="51" a="1"/>
  <c r="S1114" i="51" s="1"/>
  <c r="S1113" i="51" a="1"/>
  <c r="S1113" i="51" s="1"/>
  <c r="S1112" i="51" a="1"/>
  <c r="S1112" i="51" s="1"/>
  <c r="S1111" i="51"/>
  <c r="S1111" i="51" a="1"/>
  <c r="S1110" i="51"/>
  <c r="S1110" i="51" a="1"/>
  <c r="S1109" i="51" a="1"/>
  <c r="S1109" i="51" s="1"/>
  <c r="S1108" i="51"/>
  <c r="S1108" i="51" a="1"/>
  <c r="S1107" i="51"/>
  <c r="S1107" i="51" a="1"/>
  <c r="S1106" i="51"/>
  <c r="S1106" i="51" a="1"/>
  <c r="S1105" i="51" a="1"/>
  <c r="S1105" i="51" s="1"/>
  <c r="S1104" i="51" a="1"/>
  <c r="S1104" i="51" s="1"/>
  <c r="S1103" i="51"/>
  <c r="S1103" i="51" a="1"/>
  <c r="S1102" i="51"/>
  <c r="S1102" i="51" a="1"/>
  <c r="S1101" i="51" a="1"/>
  <c r="S1101" i="51" s="1"/>
  <c r="S1100" i="51" a="1"/>
  <c r="S1100" i="51" s="1"/>
  <c r="S1099" i="51"/>
  <c r="S1099" i="51" a="1"/>
  <c r="S1098" i="51" a="1"/>
  <c r="S1098" i="51" s="1"/>
  <c r="S1097" i="51" a="1"/>
  <c r="S1097" i="51" s="1"/>
  <c r="S1096" i="51"/>
  <c r="S1096" i="51" a="1"/>
  <c r="S1095" i="51"/>
  <c r="S1095" i="51" a="1"/>
  <c r="S1094" i="51" a="1"/>
  <c r="S1094" i="51" s="1"/>
  <c r="S1093" i="51" a="1"/>
  <c r="S1093" i="51" s="1"/>
  <c r="S1092" i="51"/>
  <c r="S1092" i="51" a="1"/>
  <c r="S1091" i="51"/>
  <c r="S1091" i="51" a="1"/>
  <c r="S1090" i="51"/>
  <c r="S1090" i="51" a="1"/>
  <c r="S1089" i="51" a="1"/>
  <c r="S1089" i="51" s="1"/>
  <c r="S1088" i="51"/>
  <c r="S1088" i="51" a="1"/>
  <c r="S1087" i="51"/>
  <c r="S1087" i="51" a="1"/>
  <c r="S1086" i="51" a="1"/>
  <c r="S1086" i="51" s="1"/>
  <c r="S1085" i="51" a="1"/>
  <c r="S1085" i="51" s="1"/>
  <c r="S1084" i="51" a="1"/>
  <c r="S1084" i="51" s="1"/>
  <c r="S1083" i="51"/>
  <c r="S1083" i="51" a="1"/>
  <c r="S1082" i="51"/>
  <c r="S1082" i="51" a="1"/>
  <c r="S1081" i="51" a="1"/>
  <c r="S1081" i="51" s="1"/>
  <c r="S1080" i="51" a="1"/>
  <c r="S1080" i="51" s="1"/>
  <c r="S1079" i="51"/>
  <c r="S1079" i="51" a="1"/>
  <c r="S1078" i="51"/>
  <c r="S1078" i="51" a="1"/>
  <c r="S1077" i="51" a="1"/>
  <c r="S1077" i="51" s="1"/>
  <c r="S1076" i="51"/>
  <c r="S1076" i="51" a="1"/>
  <c r="S1075" i="51"/>
  <c r="S1075" i="51" a="1"/>
  <c r="S1074" i="51"/>
  <c r="S1074" i="51" a="1"/>
  <c r="S1073" i="51" a="1"/>
  <c r="S1073" i="51" s="1"/>
  <c r="S1072" i="51" a="1"/>
  <c r="S1072" i="51" s="1"/>
  <c r="S1071" i="51" a="1"/>
  <c r="S1071" i="51" s="1"/>
  <c r="S1070" i="51"/>
  <c r="S1070" i="51" a="1"/>
  <c r="S1069" i="51" a="1"/>
  <c r="S1069" i="51" s="1"/>
  <c r="S1068" i="51"/>
  <c r="S1068" i="51" a="1"/>
  <c r="S1067" i="51"/>
  <c r="S1067" i="51" a="1"/>
  <c r="S1066" i="51" a="1"/>
  <c r="S1066" i="51" s="1"/>
  <c r="S1065" i="51" a="1"/>
  <c r="S1065" i="51" s="1"/>
  <c r="S1064" i="51"/>
  <c r="S1064" i="51" a="1"/>
  <c r="S1063" i="51" a="1"/>
  <c r="S1063" i="51" s="1"/>
  <c r="S1062" i="51" a="1"/>
  <c r="S1062" i="51" s="1"/>
  <c r="S1061" i="51" a="1"/>
  <c r="S1061" i="51" s="1"/>
  <c r="S1060" i="51"/>
  <c r="S1060" i="51" a="1"/>
  <c r="S1059" i="51"/>
  <c r="S1059" i="51" a="1"/>
  <c r="S1058" i="51"/>
  <c r="S1058" i="51" a="1"/>
  <c r="S1057" i="51" a="1"/>
  <c r="S1057" i="51" s="1"/>
  <c r="S1056" i="51"/>
  <c r="S1056" i="51" a="1"/>
  <c r="S1055" i="51"/>
  <c r="S1055" i="51" a="1"/>
  <c r="S1054" i="51" a="1"/>
  <c r="S1054" i="51" s="1"/>
  <c r="S1053" i="51" a="1"/>
  <c r="S1053" i="51" s="1"/>
  <c r="S1052" i="51" a="1"/>
  <c r="S1052" i="51" s="1"/>
  <c r="S1051" i="51"/>
  <c r="S1051" i="51" a="1"/>
  <c r="S1050" i="51"/>
  <c r="S1050" i="51" a="1"/>
  <c r="S1049" i="51" a="1"/>
  <c r="S1049" i="51" s="1"/>
  <c r="S1048" i="51" a="1"/>
  <c r="S1048" i="51" s="1"/>
  <c r="S1047" i="51"/>
  <c r="S1047" i="51" a="1"/>
  <c r="S1046" i="51"/>
  <c r="S1046" i="51" a="1"/>
  <c r="S1045" i="51" a="1"/>
  <c r="S1045" i="51" s="1"/>
  <c r="S1044" i="51"/>
  <c r="S1044" i="51" a="1"/>
  <c r="S1043" i="51" a="1"/>
  <c r="S1043" i="51" s="1"/>
  <c r="S1042" i="51"/>
  <c r="S1042" i="51" a="1"/>
  <c r="S1041" i="51" a="1"/>
  <c r="S1041" i="51" s="1"/>
  <c r="S1040" i="51" a="1"/>
  <c r="S1040" i="51" s="1"/>
  <c r="S1039" i="51" a="1"/>
  <c r="S1039" i="51" s="1"/>
  <c r="S1038" i="51"/>
  <c r="S1038" i="51" a="1"/>
  <c r="S1037" i="51" a="1"/>
  <c r="S1037" i="51" s="1"/>
  <c r="S1036" i="51"/>
  <c r="S1036" i="51" a="1"/>
  <c r="S1035" i="51"/>
  <c r="S1035" i="51" a="1"/>
  <c r="S1034" i="51" a="1"/>
  <c r="S1034" i="51" s="1"/>
  <c r="S1033" i="51" a="1"/>
  <c r="S1033" i="51" s="1"/>
  <c r="S1032" i="51"/>
  <c r="S1032" i="51" a="1"/>
  <c r="S1031" i="51" a="1"/>
  <c r="S1031" i="51" s="1"/>
  <c r="S1030" i="51" a="1"/>
  <c r="S1030" i="51" s="1"/>
  <c r="S1029" i="51" a="1"/>
  <c r="S1029" i="51" s="1"/>
  <c r="S1028" i="51"/>
  <c r="S1028" i="51" a="1"/>
  <c r="S1027" i="51"/>
  <c r="S1027" i="51" a="1"/>
  <c r="S1026" i="51"/>
  <c r="S1026" i="51" a="1"/>
  <c r="S1025" i="51" a="1"/>
  <c r="S1025" i="51" s="1"/>
  <c r="S1024" i="51"/>
  <c r="S1024" i="51" a="1"/>
  <c r="S1023" i="51"/>
  <c r="S1023" i="51" a="1"/>
  <c r="S1022" i="51" a="1"/>
  <c r="S1022" i="51" s="1"/>
  <c r="S1021" i="51" a="1"/>
  <c r="S1021" i="51" s="1"/>
  <c r="S1020" i="51" a="1"/>
  <c r="S1020" i="51" s="1"/>
  <c r="S1019" i="51"/>
  <c r="S1019" i="51" a="1"/>
  <c r="S1018" i="51"/>
  <c r="S1018" i="51" a="1"/>
  <c r="S1017" i="51" a="1"/>
  <c r="S1017" i="51" s="1"/>
  <c r="S1016" i="51" a="1"/>
  <c r="S1016" i="51" s="1"/>
  <c r="S1015" i="51"/>
  <c r="S1015" i="51" a="1"/>
  <c r="S1014" i="51"/>
  <c r="S1014" i="51" a="1"/>
  <c r="S1013" i="51" a="1"/>
  <c r="S1013" i="51" s="1"/>
  <c r="S1012" i="51"/>
  <c r="S1012" i="51" a="1"/>
  <c r="S1011" i="51" a="1"/>
  <c r="S1011" i="51" s="1"/>
  <c r="S1010" i="51" a="1"/>
  <c r="S1010" i="51" s="1"/>
  <c r="S1009" i="51" a="1"/>
  <c r="S1009" i="51" s="1"/>
  <c r="S1008" i="51" a="1"/>
  <c r="S1008" i="51" s="1"/>
  <c r="S1007" i="51" a="1"/>
  <c r="S1007" i="51" s="1"/>
  <c r="S1006" i="51"/>
  <c r="S1006" i="51" a="1"/>
  <c r="S1005" i="51" a="1"/>
  <c r="S1005" i="51" s="1"/>
  <c r="S1004" i="51"/>
  <c r="S1004" i="51" a="1"/>
  <c r="S1003" i="51"/>
  <c r="S1003" i="51" a="1"/>
  <c r="S1002" i="51" a="1"/>
  <c r="S1002" i="51" s="1"/>
  <c r="S1001" i="51" a="1"/>
  <c r="S1001" i="51" s="1"/>
  <c r="S1000" i="51"/>
  <c r="S1000" i="51" a="1"/>
  <c r="S999" i="51" a="1"/>
  <c r="S999" i="51" s="1"/>
  <c r="S998" i="51" a="1"/>
  <c r="S998" i="51" s="1"/>
  <c r="S997" i="51" a="1"/>
  <c r="S997" i="51" s="1"/>
  <c r="S996" i="51" a="1"/>
  <c r="S996" i="51" s="1"/>
  <c r="S995" i="51"/>
  <c r="S995" i="51" a="1"/>
  <c r="S994" i="51"/>
  <c r="S994" i="51" a="1"/>
  <c r="S993" i="51" a="1"/>
  <c r="S993" i="51" s="1"/>
  <c r="S992" i="51"/>
  <c r="S992" i="51" a="1"/>
  <c r="S991" i="51"/>
  <c r="S991" i="51" a="1"/>
  <c r="S990" i="51" a="1"/>
  <c r="S990" i="51" s="1"/>
  <c r="S989" i="51" a="1"/>
  <c r="S989" i="51" s="1"/>
  <c r="S988" i="51" a="1"/>
  <c r="S988" i="51" s="1"/>
  <c r="S987" i="51" a="1"/>
  <c r="S987" i="51" s="1"/>
  <c r="S986" i="51"/>
  <c r="S986" i="51" a="1"/>
  <c r="S985" i="51" a="1"/>
  <c r="S985" i="51" s="1"/>
  <c r="S984" i="51" a="1"/>
  <c r="S984" i="51" s="1"/>
  <c r="S983" i="51"/>
  <c r="S983" i="51" a="1"/>
  <c r="S982" i="51"/>
  <c r="S982" i="51" a="1"/>
  <c r="S981" i="51" a="1"/>
  <c r="S981" i="51" s="1"/>
  <c r="S980" i="51"/>
  <c r="S980" i="51" a="1"/>
  <c r="S979" i="51" a="1"/>
  <c r="S979" i="51" s="1"/>
  <c r="S978" i="51" a="1"/>
  <c r="S978" i="51" s="1"/>
  <c r="S977" i="51" a="1"/>
  <c r="S977" i="51" s="1"/>
  <c r="S976" i="51" a="1"/>
  <c r="S976" i="51" s="1"/>
  <c r="S975" i="51" a="1"/>
  <c r="S975" i="51" s="1"/>
  <c r="S974" i="51"/>
  <c r="S974" i="51" a="1"/>
  <c r="S973" i="51" a="1"/>
  <c r="S973" i="51" s="1"/>
  <c r="S972" i="51"/>
  <c r="S972" i="51" a="1"/>
  <c r="S971" i="51"/>
  <c r="S971" i="51" a="1"/>
  <c r="S970" i="51" a="1"/>
  <c r="S970" i="51" s="1"/>
  <c r="S969" i="51" a="1"/>
  <c r="S969" i="51" s="1"/>
  <c r="S968" i="51"/>
  <c r="S968" i="51" a="1"/>
  <c r="S967" i="51" a="1"/>
  <c r="S967" i="51" s="1"/>
  <c r="S966" i="51" a="1"/>
  <c r="S966" i="51" s="1"/>
  <c r="S965" i="51" a="1"/>
  <c r="S965" i="51" s="1"/>
  <c r="S964" i="51" a="1"/>
  <c r="S964" i="51" s="1"/>
  <c r="S963" i="51"/>
  <c r="S963" i="51" a="1"/>
  <c r="S962" i="51"/>
  <c r="S962" i="51" a="1"/>
  <c r="S961" i="51" a="1"/>
  <c r="S961" i="51" s="1"/>
  <c r="S960" i="51"/>
  <c r="S960" i="51" a="1"/>
  <c r="S959" i="51"/>
  <c r="S959" i="51" a="1"/>
  <c r="S958" i="51" a="1"/>
  <c r="S958" i="51" s="1"/>
  <c r="S957" i="51" a="1"/>
  <c r="S957" i="51" s="1"/>
  <c r="S956" i="51" a="1"/>
  <c r="S956" i="51" s="1"/>
  <c r="S955" i="51"/>
  <c r="S955" i="51" a="1"/>
  <c r="S954" i="51"/>
  <c r="S954" i="51" a="1"/>
  <c r="S953" i="51" a="1"/>
  <c r="S953" i="51" s="1"/>
  <c r="S952" i="51"/>
  <c r="S952" i="51" a="1"/>
  <c r="S951" i="51"/>
  <c r="S951" i="51" a="1"/>
  <c r="S950" i="51"/>
  <c r="S950" i="51" a="1"/>
  <c r="S949" i="51" a="1"/>
  <c r="S949" i="51" s="1"/>
  <c r="S948" i="51" a="1"/>
  <c r="S948" i="51" s="1"/>
  <c r="S947" i="51" a="1"/>
  <c r="S947" i="51" s="1"/>
  <c r="S946" i="51"/>
  <c r="S946" i="51" a="1"/>
  <c r="S945" i="51" a="1"/>
  <c r="S945" i="51" s="1"/>
  <c r="S944" i="51" a="1"/>
  <c r="S944" i="51" s="1"/>
  <c r="S943" i="51" a="1"/>
  <c r="S943" i="51" s="1"/>
  <c r="S942" i="51" a="1"/>
  <c r="S942" i="51" s="1"/>
  <c r="S941" i="51" a="1"/>
  <c r="S941" i="51" s="1"/>
  <c r="S940" i="51"/>
  <c r="S940" i="51" a="1"/>
  <c r="S939" i="51" a="1"/>
  <c r="S939" i="51" s="1"/>
  <c r="S938" i="51"/>
  <c r="S938" i="51" a="1"/>
  <c r="S937" i="51"/>
  <c r="S937" i="51" a="1"/>
  <c r="S936" i="51"/>
  <c r="S936" i="51" a="1"/>
  <c r="S935" i="51" a="1"/>
  <c r="S935" i="51" s="1"/>
  <c r="S934" i="51"/>
  <c r="S934" i="51" a="1"/>
  <c r="S933" i="51"/>
  <c r="S933" i="51" a="1"/>
  <c r="S932" i="51"/>
  <c r="S932" i="51" a="1"/>
  <c r="S931" i="51" a="1"/>
  <c r="S931" i="51" s="1"/>
  <c r="S930" i="51"/>
  <c r="S930" i="51" a="1"/>
  <c r="S929" i="51"/>
  <c r="S929" i="51" a="1"/>
  <c r="S928" i="51"/>
  <c r="S928" i="51" a="1"/>
  <c r="S927" i="51" a="1"/>
  <c r="S927" i="51" s="1"/>
  <c r="S926" i="51"/>
  <c r="S926" i="51" a="1"/>
  <c r="S925" i="51"/>
  <c r="S925" i="51" a="1"/>
  <c r="S924" i="51"/>
  <c r="S924" i="51" a="1"/>
  <c r="S923" i="51" a="1"/>
  <c r="S923" i="51" s="1"/>
  <c r="S922" i="51"/>
  <c r="S922" i="51" a="1"/>
  <c r="S921" i="51"/>
  <c r="S921" i="51" a="1"/>
  <c r="S920" i="51"/>
  <c r="S920" i="51" a="1"/>
  <c r="S919" i="51" a="1"/>
  <c r="S919" i="51" s="1"/>
  <c r="S918" i="51"/>
  <c r="S918" i="51" a="1"/>
  <c r="S917" i="51"/>
  <c r="S917" i="51" a="1"/>
  <c r="S916" i="51"/>
  <c r="S916" i="51" a="1"/>
  <c r="S915" i="51" a="1"/>
  <c r="S915" i="51" s="1"/>
  <c r="S914" i="51"/>
  <c r="S914" i="51" a="1"/>
  <c r="S913" i="51"/>
  <c r="S913" i="51" a="1"/>
  <c r="S912" i="51"/>
  <c r="S912" i="51" a="1"/>
  <c r="S911" i="51" a="1"/>
  <c r="S911" i="51" s="1"/>
  <c r="S910" i="51"/>
  <c r="S910" i="51" a="1"/>
  <c r="S909" i="51" a="1"/>
  <c r="S909" i="51" s="1"/>
  <c r="S908" i="51"/>
  <c r="S908" i="51" a="1"/>
  <c r="S907" i="51" a="1"/>
  <c r="S907" i="51" s="1"/>
  <c r="S906" i="51"/>
  <c r="S906" i="51" a="1"/>
  <c r="S905" i="51" a="1"/>
  <c r="S905" i="51" s="1"/>
  <c r="S904" i="51" a="1"/>
  <c r="S904" i="51" s="1"/>
  <c r="S903" i="51" a="1"/>
  <c r="S903" i="51" s="1"/>
  <c r="S902" i="51" a="1"/>
  <c r="S902" i="51" s="1"/>
  <c r="S901" i="51"/>
  <c r="S901" i="51" a="1"/>
  <c r="S900" i="51" a="1"/>
  <c r="S900" i="51" s="1"/>
  <c r="S899" i="51"/>
  <c r="S899" i="51" a="1"/>
  <c r="S898" i="51" a="1"/>
  <c r="S898" i="51" s="1"/>
  <c r="S897" i="51"/>
  <c r="S897" i="51" a="1"/>
  <c r="S896" i="51" a="1"/>
  <c r="S896" i="51" s="1"/>
  <c r="S895" i="51"/>
  <c r="S895" i="51" a="1"/>
  <c r="S894" i="51" a="1"/>
  <c r="S894" i="51" s="1"/>
  <c r="S893" i="51" a="1"/>
  <c r="S893" i="51" s="1"/>
  <c r="S892" i="51" a="1"/>
  <c r="S892" i="51" s="1"/>
  <c r="S891" i="51" a="1"/>
  <c r="S891" i="51" s="1"/>
  <c r="S890" i="51"/>
  <c r="S890" i="51" a="1"/>
  <c r="S889" i="51" a="1"/>
  <c r="S889" i="51" s="1"/>
  <c r="S888" i="51" a="1"/>
  <c r="S888" i="51" s="1"/>
  <c r="S887" i="51"/>
  <c r="S887" i="51" a="1"/>
  <c r="S886" i="51"/>
  <c r="S886" i="51" a="1"/>
  <c r="S885" i="51" a="1"/>
  <c r="S885" i="51" s="1"/>
  <c r="S884" i="51" a="1"/>
  <c r="S884" i="51" s="1"/>
  <c r="S883" i="51"/>
  <c r="S883" i="51" a="1"/>
  <c r="S882" i="51" a="1"/>
  <c r="S882" i="51" s="1"/>
  <c r="S881" i="51"/>
  <c r="S881" i="51" a="1"/>
  <c r="S880" i="51" a="1"/>
  <c r="S880" i="51" s="1"/>
  <c r="S879" i="51" a="1"/>
  <c r="S879" i="51" s="1"/>
  <c r="S878" i="51"/>
  <c r="S878" i="51" a="1"/>
  <c r="S877" i="51"/>
  <c r="S877" i="51" a="1"/>
  <c r="S876" i="51" a="1"/>
  <c r="S876" i="51" s="1"/>
  <c r="S875" i="51" a="1"/>
  <c r="S875" i="51" s="1"/>
  <c r="S874" i="51"/>
  <c r="S874" i="51" a="1"/>
  <c r="S873" i="51" a="1"/>
  <c r="S873" i="51" s="1"/>
  <c r="S872" i="51" a="1"/>
  <c r="S872" i="51" s="1"/>
  <c r="S871" i="51" a="1"/>
  <c r="S871" i="51" s="1"/>
  <c r="S870" i="51" a="1"/>
  <c r="S870" i="51" s="1"/>
  <c r="S869" i="51"/>
  <c r="S869" i="51" a="1"/>
  <c r="S868" i="51" a="1"/>
  <c r="S868" i="51" s="1"/>
  <c r="S867" i="51"/>
  <c r="S867" i="51" a="1"/>
  <c r="S866" i="51" a="1"/>
  <c r="S866" i="51" s="1"/>
  <c r="S865" i="51"/>
  <c r="S865" i="51" a="1"/>
  <c r="S864" i="51" a="1"/>
  <c r="S864" i="51" s="1"/>
  <c r="S863" i="51"/>
  <c r="S863" i="51" a="1"/>
  <c r="S862" i="51" a="1"/>
  <c r="S862" i="51" s="1"/>
  <c r="S861" i="51" a="1"/>
  <c r="S861" i="51" s="1"/>
  <c r="S860" i="51" a="1"/>
  <c r="S860" i="51" s="1"/>
  <c r="S859" i="51"/>
  <c r="S859" i="51" a="1"/>
  <c r="S858" i="51"/>
  <c r="S858" i="51" a="1"/>
  <c r="S857" i="51" a="1"/>
  <c r="S857" i="51" s="1"/>
  <c r="S856" i="51" a="1"/>
  <c r="S856" i="51" s="1"/>
  <c r="S855" i="51"/>
  <c r="S855" i="51" a="1"/>
  <c r="S854" i="51"/>
  <c r="S854" i="51" a="1"/>
  <c r="S853" i="51" a="1"/>
  <c r="S853" i="51" s="1"/>
  <c r="S852" i="51" a="1"/>
  <c r="S852" i="51" s="1"/>
  <c r="S851" i="51"/>
  <c r="S851" i="51" a="1"/>
  <c r="S850" i="51"/>
  <c r="S850" i="51" a="1"/>
  <c r="S849" i="51" a="1"/>
  <c r="S849" i="51" s="1"/>
  <c r="S848" i="51" a="1"/>
  <c r="S848" i="51" s="1"/>
  <c r="S847" i="51" a="1"/>
  <c r="S847" i="51" s="1"/>
  <c r="S846" i="51"/>
  <c r="S846" i="51" a="1"/>
  <c r="S845" i="51"/>
  <c r="S845" i="51" a="1"/>
  <c r="S844" i="51" a="1"/>
  <c r="S844" i="51" s="1"/>
  <c r="S843" i="51" a="1"/>
  <c r="S843" i="51" s="1"/>
  <c r="S842" i="51"/>
  <c r="S842" i="51" a="1"/>
  <c r="S841" i="51"/>
  <c r="S841" i="51" a="1"/>
  <c r="S840" i="51" a="1"/>
  <c r="S840" i="51" s="1"/>
  <c r="S839" i="51" a="1"/>
  <c r="S839" i="51" s="1"/>
  <c r="S838" i="51" a="1"/>
  <c r="S838" i="51" s="1"/>
  <c r="S837" i="51"/>
  <c r="S837" i="51" a="1"/>
  <c r="S836" i="51" a="1"/>
  <c r="S836" i="51" s="1"/>
  <c r="S835" i="51" a="1"/>
  <c r="S835" i="51" s="1"/>
  <c r="S834" i="51" a="1"/>
  <c r="S834" i="51" s="1"/>
  <c r="S833" i="51"/>
  <c r="S833" i="51" a="1"/>
  <c r="S832" i="51" a="1"/>
  <c r="S832" i="51" s="1"/>
  <c r="S831" i="51"/>
  <c r="S831" i="51" a="1"/>
  <c r="S830" i="51" a="1"/>
  <c r="S830" i="51" s="1"/>
  <c r="S829" i="51" a="1"/>
  <c r="S829" i="51" s="1"/>
  <c r="S828" i="51" a="1"/>
  <c r="S828" i="51" s="1"/>
  <c r="S827" i="51"/>
  <c r="S827" i="51" a="1"/>
  <c r="S826" i="51" a="1"/>
  <c r="S826" i="51" s="1"/>
  <c r="S825" i="51" a="1"/>
  <c r="S825" i="51" s="1"/>
  <c r="S824" i="51" a="1"/>
  <c r="S824" i="51" s="1"/>
  <c r="S823" i="51"/>
  <c r="S823" i="51" a="1"/>
  <c r="S822" i="51"/>
  <c r="S822" i="51" a="1"/>
  <c r="S821" i="51" a="1"/>
  <c r="S821" i="51" s="1"/>
  <c r="S820" i="51" a="1"/>
  <c r="S820" i="51" s="1"/>
  <c r="S819" i="51"/>
  <c r="S819" i="51" a="1"/>
  <c r="S818" i="51"/>
  <c r="S818" i="51" a="1"/>
  <c r="S817" i="51" a="1"/>
  <c r="S817" i="51" s="1"/>
  <c r="S816" i="51" a="1"/>
  <c r="S816" i="51" s="1"/>
  <c r="S815" i="51" a="1"/>
  <c r="S815" i="51" s="1"/>
  <c r="S814" i="51"/>
  <c r="S814" i="51" a="1"/>
  <c r="S813" i="51"/>
  <c r="S813" i="51" a="1"/>
  <c r="S812" i="51" a="1"/>
  <c r="S812" i="51" s="1"/>
  <c r="S811" i="51" a="1"/>
  <c r="S811" i="51" s="1"/>
  <c r="S810" i="51"/>
  <c r="S810" i="51" a="1"/>
  <c r="S809" i="51" a="1"/>
  <c r="S809" i="51" s="1"/>
  <c r="S808" i="51" a="1"/>
  <c r="S808" i="51" s="1"/>
  <c r="S807" i="51" a="1"/>
  <c r="S807" i="51" s="1"/>
  <c r="S806" i="51" a="1"/>
  <c r="S806" i="51" s="1"/>
  <c r="S805" i="51"/>
  <c r="S805" i="51" a="1"/>
  <c r="S804" i="51" a="1"/>
  <c r="S804" i="51" s="1"/>
  <c r="S803" i="51" a="1"/>
  <c r="S803" i="51" s="1"/>
  <c r="S802" i="51" a="1"/>
  <c r="S802" i="51" s="1"/>
  <c r="S801" i="51"/>
  <c r="S801" i="51" a="1"/>
  <c r="S800" i="51" a="1"/>
  <c r="S800" i="51" s="1"/>
  <c r="S799" i="51"/>
  <c r="S799" i="51" a="1"/>
  <c r="S798" i="51" a="1"/>
  <c r="S798" i="51" s="1"/>
  <c r="S797" i="51" a="1"/>
  <c r="S797" i="51" s="1"/>
  <c r="S796" i="51" a="1"/>
  <c r="S796" i="51" s="1"/>
  <c r="S795" i="51" a="1"/>
  <c r="S795" i="51" s="1"/>
  <c r="S794" i="51" a="1"/>
  <c r="S794" i="51" s="1"/>
  <c r="S793" i="51" a="1"/>
  <c r="S793" i="51" s="1"/>
  <c r="S792" i="51" a="1"/>
  <c r="S792" i="51" s="1"/>
  <c r="S791" i="51"/>
  <c r="S791" i="51" a="1"/>
  <c r="S790" i="51"/>
  <c r="S790" i="51" a="1"/>
  <c r="S789" i="51" a="1"/>
  <c r="S789" i="51" s="1"/>
  <c r="S788" i="51" a="1"/>
  <c r="S788" i="51" s="1"/>
  <c r="S787" i="51"/>
  <c r="S787" i="51" a="1"/>
  <c r="S786" i="51" a="1"/>
  <c r="S786" i="51" s="1"/>
  <c r="S785" i="51" a="1"/>
  <c r="S785" i="51" s="1"/>
  <c r="S784" i="51" a="1"/>
  <c r="S784" i="51" s="1"/>
  <c r="S783" i="51" a="1"/>
  <c r="S783" i="51" s="1"/>
  <c r="S782" i="51"/>
  <c r="S782" i="51" a="1"/>
  <c r="S781" i="51"/>
  <c r="S781" i="51" a="1"/>
  <c r="S780" i="51" a="1"/>
  <c r="S780" i="51" s="1"/>
  <c r="S779" i="51" a="1"/>
  <c r="S779" i="51" s="1"/>
  <c r="S778" i="51"/>
  <c r="S778" i="51" a="1"/>
  <c r="S777" i="51" a="1"/>
  <c r="S777" i="51" s="1"/>
  <c r="S776" i="51" a="1"/>
  <c r="S776" i="51" s="1"/>
  <c r="S775" i="51" a="1"/>
  <c r="S775" i="51" s="1"/>
  <c r="S774" i="51" a="1"/>
  <c r="S774" i="51" s="1"/>
  <c r="S773" i="51"/>
  <c r="S773" i="51" a="1"/>
  <c r="S772" i="51" a="1"/>
  <c r="S772" i="51" s="1"/>
  <c r="S771" i="51" a="1"/>
  <c r="S771" i="51" s="1"/>
  <c r="S770" i="51" a="1"/>
  <c r="S770" i="51" s="1"/>
  <c r="S769" i="51"/>
  <c r="S769" i="51" a="1"/>
  <c r="S768" i="51" a="1"/>
  <c r="S768" i="51" s="1"/>
  <c r="S767" i="51"/>
  <c r="S767" i="51" a="1"/>
  <c r="S766" i="51" a="1"/>
  <c r="S766" i="51" s="1"/>
  <c r="S765" i="51" a="1"/>
  <c r="S765" i="51" s="1"/>
  <c r="S764" i="51" a="1"/>
  <c r="S764" i="51" s="1"/>
  <c r="S763" i="51" a="1"/>
  <c r="S763" i="51" s="1"/>
  <c r="S762" i="51" a="1"/>
  <c r="S762" i="51" s="1"/>
  <c r="S761" i="51" a="1"/>
  <c r="S761" i="51" s="1"/>
  <c r="S760" i="51" a="1"/>
  <c r="S760" i="51" s="1"/>
  <c r="S759" i="51"/>
  <c r="S759" i="51" a="1"/>
  <c r="S758" i="51"/>
  <c r="S758" i="51" a="1"/>
  <c r="S757" i="51" a="1"/>
  <c r="S757" i="51" s="1"/>
  <c r="S756" i="51" a="1"/>
  <c r="S756" i="51" s="1"/>
  <c r="S755" i="51"/>
  <c r="S755" i="51" a="1"/>
  <c r="S754" i="51" a="1"/>
  <c r="S754" i="51" s="1"/>
  <c r="S753" i="51" a="1"/>
  <c r="S753" i="51" s="1"/>
  <c r="S752" i="51" a="1"/>
  <c r="S752" i="51" s="1"/>
  <c r="S751" i="51"/>
  <c r="S751" i="51" a="1"/>
  <c r="S750" i="51"/>
  <c r="S750" i="51" a="1"/>
  <c r="S749" i="51"/>
  <c r="S749" i="51" a="1"/>
  <c r="S748" i="51" a="1"/>
  <c r="S748" i="51" s="1"/>
  <c r="S747" i="51" a="1"/>
  <c r="S747" i="51" s="1"/>
  <c r="S746" i="51"/>
  <c r="S746" i="51" a="1"/>
  <c r="S745" i="51" a="1"/>
  <c r="S745" i="51" s="1"/>
  <c r="S744" i="51" a="1"/>
  <c r="S744" i="51" s="1"/>
  <c r="S743" i="51" a="1"/>
  <c r="S743" i="51" s="1"/>
  <c r="S742" i="51"/>
  <c r="S742" i="51" a="1"/>
  <c r="S741" i="51"/>
  <c r="S741" i="51" a="1"/>
  <c r="S740" i="51" a="1"/>
  <c r="S740" i="51" s="1"/>
  <c r="S739" i="51" a="1"/>
  <c r="S739" i="51" s="1"/>
  <c r="S738" i="51" a="1"/>
  <c r="S738" i="51" s="1"/>
  <c r="S737" i="51"/>
  <c r="S737" i="51" a="1"/>
  <c r="S736" i="51" a="1"/>
  <c r="S736" i="51" s="1"/>
  <c r="S735" i="51"/>
  <c r="S735" i="51" a="1"/>
  <c r="S734" i="51" a="1"/>
  <c r="S734" i="51" s="1"/>
  <c r="S733" i="51"/>
  <c r="S733" i="51" a="1"/>
  <c r="S732" i="51" a="1"/>
  <c r="S732" i="51" s="1"/>
  <c r="S731" i="51" a="1"/>
  <c r="S731" i="51" s="1"/>
  <c r="S730" i="51" a="1"/>
  <c r="S730" i="51" s="1"/>
  <c r="S729" i="51" a="1"/>
  <c r="S729" i="51" s="1"/>
  <c r="S728" i="51" a="1"/>
  <c r="S728" i="51" s="1"/>
  <c r="S727" i="51"/>
  <c r="S727" i="51" a="1"/>
  <c r="S726" i="51"/>
  <c r="S726" i="51" a="1"/>
  <c r="S725" i="51" a="1"/>
  <c r="S725" i="51" s="1"/>
  <c r="S724" i="51" a="1"/>
  <c r="S724" i="51" s="1"/>
  <c r="S723" i="51" a="1"/>
  <c r="S723" i="51" s="1"/>
  <c r="S722" i="51" a="1"/>
  <c r="S722" i="51" s="1"/>
  <c r="S721" i="51" a="1"/>
  <c r="S721" i="51" s="1"/>
  <c r="S720" i="51" a="1"/>
  <c r="S720" i="51" s="1"/>
  <c r="S719" i="51"/>
  <c r="S719" i="51" a="1"/>
  <c r="S718" i="51"/>
  <c r="S718" i="51" a="1"/>
  <c r="S717" i="51"/>
  <c r="S717" i="51" a="1"/>
  <c r="S716" i="51" a="1"/>
  <c r="S716" i="51" s="1"/>
  <c r="S715" i="51" a="1"/>
  <c r="S715" i="51" s="1"/>
  <c r="S714" i="51" a="1"/>
  <c r="S714" i="51" s="1"/>
  <c r="S713" i="51" a="1"/>
  <c r="S713" i="51" s="1"/>
  <c r="S712" i="51" a="1"/>
  <c r="S712" i="51" s="1"/>
  <c r="S711" i="51" a="1"/>
  <c r="S711" i="51" s="1"/>
  <c r="S710" i="51"/>
  <c r="S710" i="51" a="1"/>
  <c r="S709" i="51"/>
  <c r="S709" i="51" a="1"/>
  <c r="S708" i="51" a="1"/>
  <c r="S708" i="51" s="1"/>
  <c r="S707" i="51" a="1"/>
  <c r="S707" i="51" s="1"/>
  <c r="S706" i="51" a="1"/>
  <c r="S706" i="51" s="1"/>
  <c r="S705" i="51" a="1"/>
  <c r="S705" i="51" s="1"/>
  <c r="S704" i="51" a="1"/>
  <c r="S704" i="51" s="1"/>
  <c r="S703" i="51"/>
  <c r="S703" i="51" a="1"/>
  <c r="S702" i="51" a="1"/>
  <c r="S702" i="51" s="1"/>
  <c r="S701" i="51"/>
  <c r="S701" i="51" a="1"/>
  <c r="S700" i="51" a="1"/>
  <c r="S700" i="51" s="1"/>
  <c r="S699" i="51" a="1"/>
  <c r="S699" i="51" s="1"/>
  <c r="S698" i="51" a="1"/>
  <c r="S698" i="51" s="1"/>
  <c r="S697" i="51" a="1"/>
  <c r="S697" i="51" s="1"/>
  <c r="S696" i="51" a="1"/>
  <c r="S696" i="51" s="1"/>
  <c r="S695" i="51"/>
  <c r="S695" i="51" a="1"/>
  <c r="S694" i="51"/>
  <c r="S694" i="51" a="1"/>
  <c r="S693" i="51" a="1"/>
  <c r="S693" i="51" s="1"/>
  <c r="S692" i="51" a="1"/>
  <c r="S692" i="51" s="1"/>
  <c r="S691" i="51" a="1"/>
  <c r="S691" i="51" s="1"/>
  <c r="S690" i="51" a="1"/>
  <c r="S690" i="51" s="1"/>
  <c r="S689" i="51" a="1"/>
  <c r="S689" i="51" s="1"/>
  <c r="S688" i="51" a="1"/>
  <c r="S688" i="51" s="1"/>
  <c r="S687" i="51"/>
  <c r="S687" i="51" a="1"/>
  <c r="S686" i="51"/>
  <c r="S686" i="51" a="1"/>
  <c r="S685" i="51"/>
  <c r="S685" i="51" a="1"/>
  <c r="S684" i="51" a="1"/>
  <c r="S684" i="51" s="1"/>
  <c r="S683" i="51" a="1"/>
  <c r="S683" i="51" s="1"/>
  <c r="S682" i="51" a="1"/>
  <c r="S682" i="51" s="1"/>
  <c r="S681" i="51" a="1"/>
  <c r="S681" i="51" s="1"/>
  <c r="S680" i="51" a="1"/>
  <c r="S680" i="51" s="1"/>
  <c r="S679" i="51" a="1"/>
  <c r="S679" i="51" s="1"/>
  <c r="S678" i="51"/>
  <c r="S678" i="51" a="1"/>
  <c r="S677" i="51"/>
  <c r="S677" i="51" a="1"/>
  <c r="S676" i="51" a="1"/>
  <c r="S676" i="51" s="1"/>
  <c r="S675" i="51" a="1"/>
  <c r="S675" i="51" s="1"/>
  <c r="S674" i="51" a="1"/>
  <c r="S674" i="51" s="1"/>
  <c r="S673" i="51" a="1"/>
  <c r="S673" i="51" s="1"/>
  <c r="S672" i="51" a="1"/>
  <c r="S672" i="51" s="1"/>
  <c r="S671" i="51"/>
  <c r="S671" i="51" a="1"/>
  <c r="S670" i="51" a="1"/>
  <c r="S670" i="51" s="1"/>
  <c r="S669" i="51"/>
  <c r="S669" i="51" a="1"/>
  <c r="S668" i="51" a="1"/>
  <c r="S668" i="51" s="1"/>
  <c r="S667" i="51" a="1"/>
  <c r="S667" i="51" s="1"/>
  <c r="S666" i="51" a="1"/>
  <c r="S666" i="51" s="1"/>
  <c r="S665" i="51" a="1"/>
  <c r="S665" i="51" s="1"/>
  <c r="S664" i="51" a="1"/>
  <c r="S664" i="51" s="1"/>
  <c r="S663" i="51"/>
  <c r="S663" i="51" a="1"/>
  <c r="S662" i="51"/>
  <c r="S662" i="51" a="1"/>
  <c r="S661" i="51" a="1"/>
  <c r="S661" i="51" s="1"/>
  <c r="S660" i="51" a="1"/>
  <c r="S660" i="51" s="1"/>
  <c r="S659" i="51" a="1"/>
  <c r="S659" i="51" s="1"/>
  <c r="S658" i="51" a="1"/>
  <c r="S658" i="51" s="1"/>
  <c r="S657" i="51" a="1"/>
  <c r="S657" i="51" s="1"/>
  <c r="S656" i="51" a="1"/>
  <c r="S656" i="51" s="1"/>
  <c r="S655" i="51"/>
  <c r="S655" i="51" a="1"/>
  <c r="S654" i="51"/>
  <c r="S654" i="51" a="1"/>
  <c r="S653" i="51"/>
  <c r="S653" i="51" a="1"/>
  <c r="S652" i="51" a="1"/>
  <c r="S652" i="51" s="1"/>
  <c r="S651" i="51" a="1"/>
  <c r="S651" i="51" s="1"/>
  <c r="S650" i="51" a="1"/>
  <c r="S650" i="51" s="1"/>
  <c r="S649" i="51" a="1"/>
  <c r="S649" i="51" s="1"/>
  <c r="S648" i="51" a="1"/>
  <c r="S648" i="51" s="1"/>
  <c r="S647" i="51" a="1"/>
  <c r="S647" i="51" s="1"/>
  <c r="S646" i="51"/>
  <c r="S646" i="51" a="1"/>
  <c r="S645" i="51"/>
  <c r="S645" i="51" a="1"/>
  <c r="S644" i="51" a="1"/>
  <c r="S644" i="51" s="1"/>
  <c r="S643" i="51" a="1"/>
  <c r="S643" i="51" s="1"/>
  <c r="S642" i="51" a="1"/>
  <c r="S642" i="51" s="1"/>
  <c r="S641" i="51" a="1"/>
  <c r="S641" i="51" s="1"/>
  <c r="S640" i="51" a="1"/>
  <c r="S640" i="51" s="1"/>
  <c r="S639" i="51"/>
  <c r="S639" i="51" a="1"/>
  <c r="S638" i="51" a="1"/>
  <c r="S638" i="51" s="1"/>
  <c r="S637" i="51"/>
  <c r="S637" i="51" a="1"/>
  <c r="S636" i="51" a="1"/>
  <c r="S636" i="51" s="1"/>
  <c r="S635" i="51" a="1"/>
  <c r="S635" i="51" s="1"/>
  <c r="S632" i="51" a="1"/>
  <c r="S632" i="51" s="1"/>
  <c r="S631" i="51"/>
  <c r="S631" i="51" a="1"/>
  <c r="S630" i="51"/>
  <c r="S630" i="51" a="1"/>
  <c r="S629" i="51" a="1"/>
  <c r="S629" i="51" s="1"/>
  <c r="S628" i="51" a="1"/>
  <c r="S628" i="51" s="1"/>
  <c r="S627" i="51"/>
  <c r="S627" i="51" a="1"/>
  <c r="S626" i="51" a="1"/>
  <c r="S626" i="51" s="1"/>
  <c r="S625" i="51" a="1"/>
  <c r="S625" i="51" s="1"/>
  <c r="S624" i="51" a="1"/>
  <c r="S624" i="51" s="1"/>
  <c r="S623" i="51" a="1"/>
  <c r="S623" i="51" s="1"/>
  <c r="S622" i="51"/>
  <c r="S622" i="51" a="1"/>
  <c r="S621" i="51"/>
  <c r="S621" i="51" a="1"/>
  <c r="S620" i="51" a="1"/>
  <c r="S620" i="51" s="1"/>
  <c r="S619" i="51" a="1"/>
  <c r="S619" i="51" s="1"/>
  <c r="S618" i="51"/>
  <c r="S618" i="51" a="1"/>
  <c r="S617" i="51" a="1"/>
  <c r="S617" i="51" s="1"/>
  <c r="S616" i="51" a="1"/>
  <c r="S616" i="51" s="1"/>
  <c r="S615" i="51" a="1"/>
  <c r="S615" i="51" s="1"/>
  <c r="S614" i="51" a="1"/>
  <c r="S614" i="51" s="1"/>
  <c r="S613" i="51"/>
  <c r="S613" i="51" a="1"/>
  <c r="S612" i="51" a="1"/>
  <c r="S612" i="51" s="1"/>
  <c r="S611" i="51" a="1"/>
  <c r="S611" i="51" s="1"/>
  <c r="S610" i="51" a="1"/>
  <c r="S610" i="51" s="1"/>
  <c r="S609" i="51"/>
  <c r="S609" i="51" a="1"/>
  <c r="S608" i="51" a="1"/>
  <c r="S608" i="51" s="1"/>
  <c r="S607" i="51"/>
  <c r="S607" i="51" a="1"/>
  <c r="S606" i="51" a="1"/>
  <c r="S606" i="51" s="1"/>
  <c r="S605" i="51" a="1"/>
  <c r="S605" i="51" s="1"/>
  <c r="S604" i="51" a="1"/>
  <c r="S604" i="51" s="1"/>
  <c r="S603" i="51" a="1"/>
  <c r="S603" i="51" s="1"/>
  <c r="S557" i="51"/>
  <c r="S557" i="51" a="1"/>
  <c r="S553" i="51" a="1"/>
  <c r="S553" i="51" s="1"/>
  <c r="S544" i="51" a="1"/>
  <c r="S544" i="51" s="1"/>
  <c r="S510" i="51" a="1"/>
  <c r="S510" i="51" s="1"/>
  <c r="S457" i="51" a="1"/>
  <c r="S457" i="51" s="1"/>
  <c r="S456" i="51" a="1"/>
  <c r="S456" i="51" s="1"/>
  <c r="S455" i="51" a="1"/>
  <c r="S455" i="51" s="1"/>
  <c r="S454" i="51"/>
  <c r="S454" i="51" a="1"/>
  <c r="S445" i="51"/>
  <c r="S445" i="51" a="1"/>
  <c r="S293" i="51"/>
  <c r="S293" i="51" a="1"/>
  <c r="S255" i="51" a="1"/>
  <c r="S255" i="51" s="1"/>
  <c r="S244" i="51" a="1"/>
  <c r="S244" i="51" s="1"/>
  <c r="S243" i="51"/>
  <c r="S243" i="51" a="1"/>
  <c r="S242" i="51" a="1"/>
  <c r="S242" i="51" s="1"/>
  <c r="S241" i="51"/>
  <c r="S241" i="51" a="1"/>
  <c r="S240" i="51" a="1"/>
  <c r="S240" i="51" s="1"/>
  <c r="S180" i="51" a="1"/>
  <c r="S180" i="51" s="1"/>
  <c r="S171" i="51"/>
  <c r="S171" i="51" a="1"/>
  <c r="S73" i="51" a="1"/>
  <c r="S73" i="51" s="1"/>
  <c r="S52" i="51" a="1"/>
  <c r="S52" i="51" s="1"/>
  <c r="S48" i="51" a="1"/>
  <c r="S48" i="51" s="1"/>
  <c r="S37" i="51" a="1"/>
  <c r="S37" i="51" s="1"/>
  <c r="S35" i="51" a="1"/>
  <c r="S35" i="51" s="1"/>
  <c r="S34" i="51" a="1"/>
  <c r="S34" i="51" s="1"/>
  <c r="S33" i="51" a="1"/>
  <c r="S33" i="51" s="1"/>
  <c r="S32" i="51" a="1"/>
  <c r="S32" i="51" s="1"/>
  <c r="S31" i="51" a="1"/>
  <c r="S31" i="51" s="1"/>
  <c r="S30" i="51" a="1"/>
  <c r="S30" i="51" s="1"/>
  <c r="S29" i="51" a="1"/>
  <c r="S29" i="51" s="1"/>
  <c r="S28" i="51" a="1"/>
  <c r="S28" i="51" s="1"/>
  <c r="S25" i="51" a="1"/>
  <c r="S25" i="51" s="1"/>
  <c r="R242" i="51" a="1"/>
  <c r="R242" i="51" s="1"/>
  <c r="R455" i="51" a="1"/>
  <c r="R455" i="51" s="1"/>
  <c r="R456" i="51" a="1"/>
  <c r="R456" i="51" s="1"/>
  <c r="R544" i="51" a="1"/>
  <c r="R544" i="51" s="1"/>
  <c r="R553" i="51" a="1"/>
  <c r="R553" i="51" s="1"/>
  <c r="R557" i="51" a="1"/>
  <c r="R557" i="51" s="1"/>
  <c r="R603" i="51" a="1"/>
  <c r="R603" i="51" s="1"/>
  <c r="R604" i="51" a="1"/>
  <c r="R604" i="51" s="1"/>
  <c r="R621" i="51" a="1"/>
  <c r="R621" i="51" s="1"/>
  <c r="R623" i="51" a="1"/>
  <c r="R623" i="51" s="1"/>
  <c r="R624" i="51" a="1"/>
  <c r="R624" i="51" s="1"/>
  <c r="R625" i="51" a="1"/>
  <c r="R625" i="51" s="1"/>
  <c r="R626" i="51" a="1"/>
  <c r="R626" i="51" s="1"/>
  <c r="R627" i="51" a="1"/>
  <c r="R627" i="51" s="1"/>
  <c r="R628" i="51" a="1"/>
  <c r="R628" i="51" s="1"/>
  <c r="R629" i="51" a="1"/>
  <c r="R629" i="51" s="1"/>
  <c r="R630" i="51" a="1"/>
  <c r="R630" i="51" s="1"/>
  <c r="R631" i="51" a="1"/>
  <c r="R631" i="51" s="1"/>
  <c r="R632" i="51" a="1"/>
  <c r="R632" i="51"/>
  <c r="R635" i="51" a="1"/>
  <c r="R635" i="51" s="1"/>
  <c r="R636" i="51" a="1"/>
  <c r="R636" i="51" s="1"/>
  <c r="R637" i="51" a="1"/>
  <c r="R637" i="51" s="1"/>
  <c r="R638" i="51" a="1"/>
  <c r="R638" i="51" s="1"/>
  <c r="R639" i="51" a="1"/>
  <c r="R639" i="51" s="1"/>
  <c r="R640" i="51" a="1"/>
  <c r="R640" i="51" s="1"/>
  <c r="R641" i="51" a="1"/>
  <c r="R641" i="51"/>
  <c r="R642" i="51" a="1"/>
  <c r="R642" i="51"/>
  <c r="R643" i="51" a="1"/>
  <c r="R643" i="51" s="1"/>
  <c r="R644" i="51" a="1"/>
  <c r="R644" i="51" s="1"/>
  <c r="R645" i="51" a="1"/>
  <c r="R645" i="51" s="1"/>
  <c r="R646" i="51" a="1"/>
  <c r="R646" i="51" s="1"/>
  <c r="R647" i="51" a="1"/>
  <c r="R647" i="51" s="1"/>
  <c r="R648" i="51" a="1"/>
  <c r="R648" i="51" s="1"/>
  <c r="R649" i="51" a="1"/>
  <c r="R649" i="51"/>
  <c r="R650" i="51" a="1"/>
  <c r="R650" i="51" s="1"/>
  <c r="R651" i="51" a="1"/>
  <c r="R651" i="51"/>
  <c r="R652" i="51" a="1"/>
  <c r="R652" i="51" s="1"/>
  <c r="R653" i="51" a="1"/>
  <c r="R653" i="51"/>
  <c r="R654" i="51" a="1"/>
  <c r="R654" i="51" s="1"/>
  <c r="R655" i="51" a="1"/>
  <c r="R655" i="51" s="1"/>
  <c r="R656" i="51" a="1"/>
  <c r="R656" i="51" s="1"/>
  <c r="R657" i="51" a="1"/>
  <c r="R657" i="51"/>
  <c r="R658" i="51" a="1"/>
  <c r="R658" i="51"/>
  <c r="R659" i="51" a="1"/>
  <c r="R659" i="51" s="1"/>
  <c r="R660" i="51" a="1"/>
  <c r="R660" i="51" s="1"/>
  <c r="R661" i="51" a="1"/>
  <c r="R661" i="51" s="1"/>
  <c r="R662" i="51" a="1"/>
  <c r="R662" i="51"/>
  <c r="R663" i="51" a="1"/>
  <c r="R663" i="51" s="1"/>
  <c r="R664" i="51" a="1"/>
  <c r="R664" i="51" s="1"/>
  <c r="R665" i="51" a="1"/>
  <c r="R665" i="51"/>
  <c r="R666" i="51" a="1"/>
  <c r="R666" i="51"/>
  <c r="R667" i="51" a="1"/>
  <c r="R667" i="51"/>
  <c r="R668" i="51" a="1"/>
  <c r="R668" i="51" s="1"/>
  <c r="R669" i="51" a="1"/>
  <c r="R669" i="51" s="1"/>
  <c r="R670" i="51" a="1"/>
  <c r="R670" i="51" s="1"/>
  <c r="R671" i="51" a="1"/>
  <c r="R671" i="51" s="1"/>
  <c r="R672" i="51" a="1"/>
  <c r="R672" i="51" s="1"/>
  <c r="R673" i="51" a="1"/>
  <c r="R673" i="51" s="1"/>
  <c r="R674" i="51" a="1"/>
  <c r="R674" i="51"/>
  <c r="R675" i="51" a="1"/>
  <c r="R675" i="51"/>
  <c r="R676" i="51" a="1"/>
  <c r="R676" i="51" s="1"/>
  <c r="R677" i="51" a="1"/>
  <c r="R677" i="51" s="1"/>
  <c r="R678" i="51" a="1"/>
  <c r="R678" i="51" s="1"/>
  <c r="R679" i="51" a="1"/>
  <c r="R679" i="51" s="1"/>
  <c r="R680" i="51" a="1"/>
  <c r="R680" i="51" s="1"/>
  <c r="R681" i="51" a="1"/>
  <c r="R681" i="51"/>
  <c r="R682" i="51" a="1"/>
  <c r="R682" i="51" s="1"/>
  <c r="R683" i="51" a="1"/>
  <c r="R683" i="51"/>
  <c r="R684" i="51" a="1"/>
  <c r="R684" i="51" s="1"/>
  <c r="R685" i="51" a="1"/>
  <c r="R685" i="51" s="1"/>
  <c r="R686" i="51" a="1"/>
  <c r="R686" i="51" s="1"/>
  <c r="R687" i="51" a="1"/>
  <c r="R687" i="51" s="1"/>
  <c r="R688" i="51" a="1"/>
  <c r="R688" i="51" s="1"/>
  <c r="R689" i="51" a="1"/>
  <c r="R689" i="51"/>
  <c r="R690" i="51" a="1"/>
  <c r="R690" i="51"/>
  <c r="R691" i="51" a="1"/>
  <c r="R691" i="51" s="1"/>
  <c r="R692" i="51" a="1"/>
  <c r="R692" i="51" s="1"/>
  <c r="R693" i="51" a="1"/>
  <c r="R693" i="51" s="1"/>
  <c r="R694" i="51" a="1"/>
  <c r="R694" i="51" s="1"/>
  <c r="R695" i="51" a="1"/>
  <c r="R695" i="51" s="1"/>
  <c r="R696" i="51" a="1"/>
  <c r="R696" i="51" s="1"/>
  <c r="R697" i="51" a="1"/>
  <c r="R697" i="51"/>
  <c r="R698" i="51" a="1"/>
  <c r="R698" i="51"/>
  <c r="R699" i="51" a="1"/>
  <c r="R699" i="51"/>
  <c r="R700" i="51" a="1"/>
  <c r="R700" i="51" s="1"/>
  <c r="R701" i="51" a="1"/>
  <c r="R701" i="51" s="1"/>
  <c r="R702" i="51" a="1"/>
  <c r="R702" i="51" s="1"/>
  <c r="R703" i="51" a="1"/>
  <c r="R703" i="51" s="1"/>
  <c r="R704" i="51" a="1"/>
  <c r="R704" i="51" s="1"/>
  <c r="R705" i="51" a="1"/>
  <c r="R705" i="51" s="1"/>
  <c r="R706" i="51" a="1"/>
  <c r="R706" i="51"/>
  <c r="R707" i="51" a="1"/>
  <c r="R707" i="51" s="1"/>
  <c r="R708" i="51" a="1"/>
  <c r="R708" i="51" s="1"/>
  <c r="R709" i="51" a="1"/>
  <c r="R709" i="51" s="1"/>
  <c r="R710" i="51" a="1"/>
  <c r="R710" i="51" s="1"/>
  <c r="R711" i="51" a="1"/>
  <c r="R711" i="51" s="1"/>
  <c r="R712" i="51" a="1"/>
  <c r="R712" i="51" s="1"/>
  <c r="R713" i="51" a="1"/>
  <c r="R713" i="51" s="1"/>
  <c r="R714" i="51" a="1"/>
  <c r="R714" i="51" s="1"/>
  <c r="R715" i="51" a="1"/>
  <c r="R715" i="51"/>
  <c r="R716" i="51" a="1"/>
  <c r="R716" i="51" s="1"/>
  <c r="R717" i="51" a="1"/>
  <c r="R717" i="51" s="1"/>
  <c r="R718" i="51" a="1"/>
  <c r="R718" i="51" s="1"/>
  <c r="R719" i="51" a="1"/>
  <c r="R719" i="51" s="1"/>
  <c r="R720" i="51" a="1"/>
  <c r="R720" i="51" s="1"/>
  <c r="R721" i="51" a="1"/>
  <c r="R721" i="51" s="1"/>
  <c r="R722" i="51" a="1"/>
  <c r="R722" i="51" s="1"/>
  <c r="R723" i="51" a="1"/>
  <c r="R723" i="51" s="1"/>
  <c r="R724" i="51" a="1"/>
  <c r="R724" i="51" s="1"/>
  <c r="R725" i="51" a="1"/>
  <c r="R725" i="51" s="1"/>
  <c r="R726" i="51" a="1"/>
  <c r="R726" i="51"/>
  <c r="R727" i="51" a="1"/>
  <c r="R727" i="51" s="1"/>
  <c r="R728" i="51" a="1"/>
  <c r="R728" i="51" s="1"/>
  <c r="R729" i="51" a="1"/>
  <c r="R729" i="51"/>
  <c r="R730" i="51" a="1"/>
  <c r="R730" i="51" s="1"/>
  <c r="R731" i="51" a="1"/>
  <c r="R731" i="51" s="1"/>
  <c r="R732" i="51" a="1"/>
  <c r="R732" i="51" s="1"/>
  <c r="R733" i="51" a="1"/>
  <c r="R733" i="51" s="1"/>
  <c r="R734" i="51" a="1"/>
  <c r="R734" i="51" s="1"/>
  <c r="R735" i="51" a="1"/>
  <c r="R735" i="51"/>
  <c r="R736" i="51" a="1"/>
  <c r="R736" i="51" s="1"/>
  <c r="R737" i="51" a="1"/>
  <c r="R737" i="51" s="1"/>
  <c r="R738" i="51" a="1"/>
  <c r="R738" i="51"/>
  <c r="R739" i="51" a="1"/>
  <c r="R739" i="51" s="1"/>
  <c r="R740" i="51" a="1"/>
  <c r="R740" i="51" s="1"/>
  <c r="R741" i="51" a="1"/>
  <c r="R741" i="51" s="1"/>
  <c r="R742" i="51" a="1"/>
  <c r="R742" i="51" s="1"/>
  <c r="R743" i="51" a="1"/>
  <c r="R743" i="51" s="1"/>
  <c r="R744" i="51" a="1"/>
  <c r="R744" i="51" s="1"/>
  <c r="R745" i="51" a="1"/>
  <c r="R745" i="51" s="1"/>
  <c r="R746" i="51" a="1"/>
  <c r="R746" i="51" s="1"/>
  <c r="R747" i="51" a="1"/>
  <c r="R747" i="51"/>
  <c r="R748" i="51" a="1"/>
  <c r="R748" i="51" s="1"/>
  <c r="R749" i="51" a="1"/>
  <c r="R749" i="51"/>
  <c r="R750" i="51" a="1"/>
  <c r="R750" i="51" s="1"/>
  <c r="R751" i="51" a="1"/>
  <c r="R751" i="51" s="1"/>
  <c r="R752" i="51" a="1"/>
  <c r="R752" i="51" s="1"/>
  <c r="R753" i="51" a="1"/>
  <c r="R753" i="51"/>
  <c r="R754" i="51" a="1"/>
  <c r="R754" i="51" s="1"/>
  <c r="R755" i="51" a="1"/>
  <c r="R755" i="51" s="1"/>
  <c r="R756" i="51" a="1"/>
  <c r="R756" i="51" s="1"/>
  <c r="R757" i="51" a="1"/>
  <c r="R757" i="51" s="1"/>
  <c r="R758" i="51" a="1"/>
  <c r="R758" i="51"/>
  <c r="R759" i="51" a="1"/>
  <c r="R759" i="51" s="1"/>
  <c r="R760" i="51" a="1"/>
  <c r="R760" i="51" s="1"/>
  <c r="R761" i="51" a="1"/>
  <c r="R761" i="51"/>
  <c r="R762" i="51" a="1"/>
  <c r="R762" i="51" s="1"/>
  <c r="R763" i="51" a="1"/>
  <c r="R763" i="51" s="1"/>
  <c r="R764" i="51" a="1"/>
  <c r="R764" i="51" s="1"/>
  <c r="R765" i="51" a="1"/>
  <c r="R765" i="51" s="1"/>
  <c r="R766" i="51" a="1"/>
  <c r="R766" i="51" s="1"/>
  <c r="R767" i="51" a="1"/>
  <c r="R767" i="51"/>
  <c r="R768" i="51" a="1"/>
  <c r="R768" i="51" s="1"/>
  <c r="R769" i="51" a="1"/>
  <c r="R769" i="51" s="1"/>
  <c r="R770" i="51" a="1"/>
  <c r="R770" i="51"/>
  <c r="R771" i="51" a="1"/>
  <c r="R771" i="51" s="1"/>
  <c r="R772" i="51" a="1"/>
  <c r="R772" i="51" s="1"/>
  <c r="R773" i="51" a="1"/>
  <c r="R773" i="51" s="1"/>
  <c r="R774" i="51" a="1"/>
  <c r="R774" i="51" s="1"/>
  <c r="R775" i="51" a="1"/>
  <c r="R775" i="51" s="1"/>
  <c r="R776" i="51" a="1"/>
  <c r="R776" i="51" s="1"/>
  <c r="R777" i="51" a="1"/>
  <c r="R777" i="51" s="1"/>
  <c r="R778" i="51" a="1"/>
  <c r="R778" i="51" s="1"/>
  <c r="R779" i="51" a="1"/>
  <c r="R779" i="51"/>
  <c r="R780" i="51" a="1"/>
  <c r="R780" i="51" s="1"/>
  <c r="R781" i="51" a="1"/>
  <c r="R781" i="51"/>
  <c r="R782" i="51" a="1"/>
  <c r="R782" i="51" s="1"/>
  <c r="R783" i="51" a="1"/>
  <c r="R783" i="51" s="1"/>
  <c r="R784" i="51" a="1"/>
  <c r="R784" i="51" s="1"/>
  <c r="R785" i="51" a="1"/>
  <c r="R785" i="51" s="1"/>
  <c r="R786" i="51" a="1"/>
  <c r="R786" i="51" s="1"/>
  <c r="R787" i="51" a="1"/>
  <c r="R787" i="51" s="1"/>
  <c r="R788" i="51" a="1"/>
  <c r="R788" i="51" s="1"/>
  <c r="R789" i="51" a="1"/>
  <c r="R789" i="51" s="1"/>
  <c r="R790" i="51" a="1"/>
  <c r="R790" i="51"/>
  <c r="R791" i="51" a="1"/>
  <c r="R791" i="51" s="1"/>
  <c r="R792" i="51" a="1"/>
  <c r="R792" i="51" s="1"/>
  <c r="R793" i="51" a="1"/>
  <c r="R793" i="51"/>
  <c r="R794" i="51" a="1"/>
  <c r="R794" i="51" s="1"/>
  <c r="R795" i="51" a="1"/>
  <c r="R795" i="51" s="1"/>
  <c r="R796" i="51" a="1"/>
  <c r="R796" i="51" s="1"/>
  <c r="R797" i="51" a="1"/>
  <c r="R797" i="51" s="1"/>
  <c r="R798" i="51" a="1"/>
  <c r="R798" i="51" s="1"/>
  <c r="R799" i="51" a="1"/>
  <c r="R799" i="51"/>
  <c r="R800" i="51" a="1"/>
  <c r="R800" i="51" s="1"/>
  <c r="R801" i="51" a="1"/>
  <c r="R801" i="51" s="1"/>
  <c r="R802" i="51" a="1"/>
  <c r="R802" i="51"/>
  <c r="R803" i="51" a="1"/>
  <c r="R803" i="51" s="1"/>
  <c r="R804" i="51" a="1"/>
  <c r="R804" i="51" s="1"/>
  <c r="R805" i="51" a="1"/>
  <c r="R805" i="51" s="1"/>
  <c r="R806" i="51" a="1"/>
  <c r="R806" i="51" s="1"/>
  <c r="R807" i="51" a="1"/>
  <c r="R807" i="51" s="1"/>
  <c r="R808" i="51" a="1"/>
  <c r="R808" i="51" s="1"/>
  <c r="R809" i="51" a="1"/>
  <c r="R809" i="51" s="1"/>
  <c r="R810" i="51" a="1"/>
  <c r="R810" i="51" s="1"/>
  <c r="R811" i="51" a="1"/>
  <c r="R811" i="51"/>
  <c r="R812" i="51" a="1"/>
  <c r="R812" i="51" s="1"/>
  <c r="R813" i="51" a="1"/>
  <c r="R813" i="51"/>
  <c r="R814" i="51" a="1"/>
  <c r="R814" i="51" s="1"/>
  <c r="R815" i="51" a="1"/>
  <c r="R815" i="51" s="1"/>
  <c r="R816" i="51" a="1"/>
  <c r="R816" i="51" s="1"/>
  <c r="R817" i="51" a="1"/>
  <c r="R817" i="51" s="1"/>
  <c r="R818" i="51" a="1"/>
  <c r="R818" i="51" s="1"/>
  <c r="R819" i="51" a="1"/>
  <c r="R819" i="51" s="1"/>
  <c r="R820" i="51" a="1"/>
  <c r="R820" i="51" s="1"/>
  <c r="R821" i="51" a="1"/>
  <c r="R821" i="51" s="1"/>
  <c r="R822" i="51" a="1"/>
  <c r="R822" i="51"/>
  <c r="R823" i="51" a="1"/>
  <c r="R823" i="51" s="1"/>
  <c r="R824" i="51" a="1"/>
  <c r="R824" i="51" s="1"/>
  <c r="R825" i="51" a="1"/>
  <c r="R825" i="51"/>
  <c r="R826" i="51" a="1"/>
  <c r="R826" i="51" s="1"/>
  <c r="R827" i="51" a="1"/>
  <c r="R827" i="51" s="1"/>
  <c r="R828" i="51" a="1"/>
  <c r="R828" i="51" s="1"/>
  <c r="R829" i="51" a="1"/>
  <c r="R829" i="51" s="1"/>
  <c r="R830" i="51" a="1"/>
  <c r="R830" i="51" s="1"/>
  <c r="R831" i="51" a="1"/>
  <c r="R831" i="51"/>
  <c r="R832" i="51" a="1"/>
  <c r="R832" i="51" s="1"/>
  <c r="R833" i="51" a="1"/>
  <c r="R833" i="51" s="1"/>
  <c r="R834" i="51" a="1"/>
  <c r="R834" i="51"/>
  <c r="R835" i="51" a="1"/>
  <c r="R835" i="51" s="1"/>
  <c r="R836" i="51" a="1"/>
  <c r="R836" i="51" s="1"/>
  <c r="R837" i="51" a="1"/>
  <c r="R837" i="51" s="1"/>
  <c r="R838" i="51" a="1"/>
  <c r="R838" i="51" s="1"/>
  <c r="R839" i="51" a="1"/>
  <c r="R839" i="51"/>
  <c r="R840" i="51" a="1"/>
  <c r="R840" i="51" s="1"/>
  <c r="R841" i="51" a="1"/>
  <c r="R841" i="51" s="1"/>
  <c r="R842" i="51" a="1"/>
  <c r="R842" i="51" s="1"/>
  <c r="R843" i="51" a="1"/>
  <c r="R843" i="51" s="1"/>
  <c r="R844" i="51" a="1"/>
  <c r="R844" i="51" s="1"/>
  <c r="R845" i="51" a="1"/>
  <c r="R845" i="51"/>
  <c r="R846" i="51" a="1"/>
  <c r="R846" i="51" s="1"/>
  <c r="R847" i="51" a="1"/>
  <c r="R847" i="51"/>
  <c r="R848" i="51" a="1"/>
  <c r="R848" i="51"/>
  <c r="R849" i="51" a="1"/>
  <c r="R849" i="51" s="1"/>
  <c r="R850" i="51" a="1"/>
  <c r="R850" i="51" s="1"/>
  <c r="R851" i="51" a="1"/>
  <c r="R851" i="51" s="1"/>
  <c r="R852" i="51" a="1"/>
  <c r="R852" i="51" s="1"/>
  <c r="R853" i="51" a="1"/>
  <c r="R853" i="51" s="1"/>
  <c r="R854" i="51" a="1"/>
  <c r="R854" i="51" s="1"/>
  <c r="R855" i="51" a="1"/>
  <c r="R855" i="51" s="1"/>
  <c r="R856" i="51" a="1"/>
  <c r="R856" i="51"/>
  <c r="R857" i="51" a="1"/>
  <c r="R857" i="51"/>
  <c r="R858" i="51" a="1"/>
  <c r="R858" i="51" s="1"/>
  <c r="R859" i="51" a="1"/>
  <c r="R859" i="51"/>
  <c r="R860" i="51" a="1"/>
  <c r="R860" i="51" s="1"/>
  <c r="R861" i="51" a="1"/>
  <c r="R861" i="51" s="1"/>
  <c r="R862" i="51" a="1"/>
  <c r="R862" i="51" s="1"/>
  <c r="R863" i="51" a="1"/>
  <c r="R863" i="51" s="1"/>
  <c r="R864" i="51" a="1"/>
  <c r="R864" i="51" s="1"/>
  <c r="R865" i="51" a="1"/>
  <c r="R865" i="51"/>
  <c r="R866" i="51" a="1"/>
  <c r="R866" i="51" s="1"/>
  <c r="R867" i="51" a="1"/>
  <c r="R867" i="51" s="1"/>
  <c r="R868" i="51" a="1"/>
  <c r="R868" i="51"/>
  <c r="R869" i="51" a="1"/>
  <c r="R869" i="51" s="1"/>
  <c r="R870" i="51" a="1"/>
  <c r="R870" i="51" s="1"/>
  <c r="R871" i="51" a="1"/>
  <c r="R871" i="51"/>
  <c r="R872" i="51" a="1"/>
  <c r="R872" i="51" s="1"/>
  <c r="R873" i="51" a="1"/>
  <c r="R873" i="51" s="1"/>
  <c r="R874" i="51" a="1"/>
  <c r="R874" i="51" s="1"/>
  <c r="R875" i="51" a="1"/>
  <c r="R875" i="51" s="1"/>
  <c r="R876" i="51" a="1"/>
  <c r="R876" i="51" s="1"/>
  <c r="R877" i="51" a="1"/>
  <c r="R877" i="51"/>
  <c r="R878" i="51" a="1"/>
  <c r="R878" i="51" s="1"/>
  <c r="R879" i="51" a="1"/>
  <c r="R879" i="51"/>
  <c r="R880" i="51" a="1"/>
  <c r="R880" i="51"/>
  <c r="R881" i="51" a="1"/>
  <c r="R881" i="51" s="1"/>
  <c r="R882" i="51" a="1"/>
  <c r="R882" i="51" s="1"/>
  <c r="R883" i="51" a="1"/>
  <c r="R883" i="51" s="1"/>
  <c r="R884" i="51" a="1"/>
  <c r="R884" i="51" s="1"/>
  <c r="R885" i="51" a="1"/>
  <c r="R885" i="51" s="1"/>
  <c r="R886" i="51" a="1"/>
  <c r="R886" i="51" s="1"/>
  <c r="R887" i="51" a="1"/>
  <c r="R887" i="51" s="1"/>
  <c r="R888" i="51" a="1"/>
  <c r="R888" i="51"/>
  <c r="R889" i="51" a="1"/>
  <c r="R889" i="51"/>
  <c r="R890" i="51" a="1"/>
  <c r="R890" i="51" s="1"/>
  <c r="R891" i="51" a="1"/>
  <c r="R891" i="51"/>
  <c r="R892" i="51" a="1"/>
  <c r="R892" i="51" s="1"/>
  <c r="R893" i="51" a="1"/>
  <c r="R893" i="51" s="1"/>
  <c r="R894" i="51" a="1"/>
  <c r="R894" i="51" s="1"/>
  <c r="R895" i="51" a="1"/>
  <c r="R895" i="51" s="1"/>
  <c r="R896" i="51" a="1"/>
  <c r="R896" i="51" s="1"/>
  <c r="R897" i="51" a="1"/>
  <c r="R897" i="51"/>
  <c r="R898" i="51" a="1"/>
  <c r="R898" i="51" s="1"/>
  <c r="R899" i="51" a="1"/>
  <c r="R899" i="51" s="1"/>
  <c r="R900" i="51" a="1"/>
  <c r="R900" i="51"/>
  <c r="R901" i="51" a="1"/>
  <c r="R901" i="51" s="1"/>
  <c r="R902" i="51" a="1"/>
  <c r="R902" i="51" s="1"/>
  <c r="R903" i="51" a="1"/>
  <c r="R903" i="51"/>
  <c r="R904" i="51" a="1"/>
  <c r="R904" i="51" s="1"/>
  <c r="R905" i="51" a="1"/>
  <c r="R905" i="51" s="1"/>
  <c r="R906" i="51" a="1"/>
  <c r="R906" i="51" s="1"/>
  <c r="R907" i="51" a="1"/>
  <c r="R907" i="51" s="1"/>
  <c r="R908" i="51" a="1"/>
  <c r="R908" i="51" s="1"/>
  <c r="R909" i="51" a="1"/>
  <c r="R909" i="51"/>
  <c r="R910" i="51" a="1"/>
  <c r="R910" i="51" s="1"/>
  <c r="R911" i="51" a="1"/>
  <c r="R911" i="51"/>
  <c r="R912" i="51" a="1"/>
  <c r="R912" i="51"/>
  <c r="R913" i="51" a="1"/>
  <c r="R913" i="51" s="1"/>
  <c r="R914" i="51" a="1"/>
  <c r="R914" i="51" s="1"/>
  <c r="R915" i="51" a="1"/>
  <c r="R915" i="51" s="1"/>
  <c r="R916" i="51" a="1"/>
  <c r="R916" i="51" s="1"/>
  <c r="R917" i="51" a="1"/>
  <c r="R917" i="51" s="1"/>
  <c r="R918" i="51" a="1"/>
  <c r="R918" i="51" s="1"/>
  <c r="R919" i="51" a="1"/>
  <c r="R919" i="51" s="1"/>
  <c r="R920" i="51" a="1"/>
  <c r="R920" i="51"/>
  <c r="R921" i="51" a="1"/>
  <c r="R921" i="51"/>
  <c r="R922" i="51" a="1"/>
  <c r="R922" i="51" s="1"/>
  <c r="R923" i="51" a="1"/>
  <c r="R923" i="51"/>
  <c r="R924" i="51" a="1"/>
  <c r="R924" i="51" s="1"/>
  <c r="R925" i="51" a="1"/>
  <c r="R925" i="51" s="1"/>
  <c r="R926" i="51" a="1"/>
  <c r="R926" i="51" s="1"/>
  <c r="R927" i="51" a="1"/>
  <c r="R927" i="51" s="1"/>
  <c r="R928" i="51" a="1"/>
  <c r="R928" i="51" s="1"/>
  <c r="R929" i="51" a="1"/>
  <c r="R929" i="51"/>
  <c r="R930" i="51" a="1"/>
  <c r="R930" i="51" s="1"/>
  <c r="R931" i="51" a="1"/>
  <c r="R931" i="51" s="1"/>
  <c r="R932" i="51" a="1"/>
  <c r="R932" i="51"/>
  <c r="R933" i="51" a="1"/>
  <c r="R933" i="51" s="1"/>
  <c r="R934" i="51" a="1"/>
  <c r="R934" i="51" s="1"/>
  <c r="R935" i="51" a="1"/>
  <c r="R935" i="51"/>
  <c r="R936" i="51" a="1"/>
  <c r="R936" i="51" s="1"/>
  <c r="R937" i="51" a="1"/>
  <c r="R937" i="51" s="1"/>
  <c r="R938" i="51" a="1"/>
  <c r="R938" i="51" s="1"/>
  <c r="R939" i="51" a="1"/>
  <c r="R939" i="51" s="1"/>
  <c r="R940" i="51" a="1"/>
  <c r="R940" i="51" s="1"/>
  <c r="R941" i="51" a="1"/>
  <c r="R941" i="51"/>
  <c r="R942" i="51" a="1"/>
  <c r="R942" i="51" s="1"/>
  <c r="R943" i="51" a="1"/>
  <c r="R943" i="51"/>
  <c r="R944" i="51" a="1"/>
  <c r="R944" i="51"/>
  <c r="R945" i="51" a="1"/>
  <c r="R945" i="51" s="1"/>
  <c r="R946" i="51" a="1"/>
  <c r="R946" i="51" s="1"/>
  <c r="R947" i="51" a="1"/>
  <c r="R947" i="51" s="1"/>
  <c r="R948" i="51" a="1"/>
  <c r="R948" i="51" s="1"/>
  <c r="R949" i="51" a="1"/>
  <c r="R949" i="51" s="1"/>
  <c r="R950" i="51" a="1"/>
  <c r="R950" i="51" s="1"/>
  <c r="R951" i="51" a="1"/>
  <c r="R951" i="51" s="1"/>
  <c r="R952" i="51" a="1"/>
  <c r="R952" i="51"/>
  <c r="R953" i="51" a="1"/>
  <c r="R953" i="51"/>
  <c r="R954" i="51" a="1"/>
  <c r="R954" i="51" s="1"/>
  <c r="R955" i="51" a="1"/>
  <c r="R955" i="51"/>
  <c r="R956" i="51" a="1"/>
  <c r="R956" i="51" s="1"/>
  <c r="R957" i="51" a="1"/>
  <c r="R957" i="51" s="1"/>
  <c r="R958" i="51" a="1"/>
  <c r="R958" i="51" s="1"/>
  <c r="R959" i="51" a="1"/>
  <c r="R959" i="51" s="1"/>
  <c r="R960" i="51" a="1"/>
  <c r="R960" i="51" s="1"/>
  <c r="R961" i="51" a="1"/>
  <c r="R961" i="51"/>
  <c r="R962" i="51" a="1"/>
  <c r="R962" i="51" s="1"/>
  <c r="R963" i="51" a="1"/>
  <c r="R963" i="51" s="1"/>
  <c r="R964" i="51" a="1"/>
  <c r="R964" i="51"/>
  <c r="R965" i="51" a="1"/>
  <c r="R965" i="51" s="1"/>
  <c r="R966" i="51" a="1"/>
  <c r="R966" i="51" s="1"/>
  <c r="R967" i="51" a="1"/>
  <c r="R967" i="51"/>
  <c r="R968" i="51" a="1"/>
  <c r="R968" i="51" s="1"/>
  <c r="R969" i="51" a="1"/>
  <c r="R969" i="51" s="1"/>
  <c r="R970" i="51" a="1"/>
  <c r="R970" i="51" s="1"/>
  <c r="R971" i="51" a="1"/>
  <c r="R971" i="51" s="1"/>
  <c r="R972" i="51" a="1"/>
  <c r="R972" i="51" s="1"/>
  <c r="R973" i="51" a="1"/>
  <c r="R973" i="51"/>
  <c r="R974" i="51" a="1"/>
  <c r="R974" i="51" s="1"/>
  <c r="R975" i="51" a="1"/>
  <c r="R975" i="51"/>
  <c r="R976" i="51" a="1"/>
  <c r="R976" i="51"/>
  <c r="R977" i="51" a="1"/>
  <c r="R977" i="51" s="1"/>
  <c r="R978" i="51" a="1"/>
  <c r="R978" i="51" s="1"/>
  <c r="R979" i="51" a="1"/>
  <c r="R979" i="51" s="1"/>
  <c r="R980" i="51" a="1"/>
  <c r="R980" i="51" s="1"/>
  <c r="R981" i="51" a="1"/>
  <c r="R981" i="51" s="1"/>
  <c r="R982" i="51" a="1"/>
  <c r="R982" i="51" s="1"/>
  <c r="R983" i="51" a="1"/>
  <c r="R983" i="51" s="1"/>
  <c r="R984" i="51" a="1"/>
  <c r="R984" i="51"/>
  <c r="R985" i="51" a="1"/>
  <c r="R985" i="51"/>
  <c r="R986" i="51" a="1"/>
  <c r="R986" i="51" s="1"/>
  <c r="R987" i="51" a="1"/>
  <c r="R987" i="51"/>
  <c r="R988" i="51" a="1"/>
  <c r="R988" i="51" s="1"/>
  <c r="R989" i="51" a="1"/>
  <c r="R989" i="51" s="1"/>
  <c r="R990" i="51" a="1"/>
  <c r="R990" i="51" s="1"/>
  <c r="R991" i="51" a="1"/>
  <c r="R991" i="51" s="1"/>
  <c r="R992" i="51" a="1"/>
  <c r="R992" i="51" s="1"/>
  <c r="R993" i="51" a="1"/>
  <c r="R993" i="51"/>
  <c r="R994" i="51" a="1"/>
  <c r="R994" i="51" s="1"/>
  <c r="R995" i="51" a="1"/>
  <c r="R995" i="51" s="1"/>
  <c r="R996" i="51" a="1"/>
  <c r="R996" i="51"/>
  <c r="R997" i="51" a="1"/>
  <c r="R997" i="51" s="1"/>
  <c r="R998" i="51" a="1"/>
  <c r="R998" i="51" s="1"/>
  <c r="R999" i="51" a="1"/>
  <c r="R999" i="51"/>
  <c r="R1000" i="51" a="1"/>
  <c r="R1000" i="51" s="1"/>
  <c r="R1001" i="51" a="1"/>
  <c r="R1001" i="51" s="1"/>
  <c r="R1002" i="51" a="1"/>
  <c r="R1002" i="51" s="1"/>
  <c r="R1003" i="51" a="1"/>
  <c r="R1003" i="51" s="1"/>
  <c r="R1004" i="51" a="1"/>
  <c r="R1004" i="51" s="1"/>
  <c r="R1005" i="51" a="1"/>
  <c r="R1005" i="51"/>
  <c r="R1006" i="51" a="1"/>
  <c r="R1006" i="51" s="1"/>
  <c r="R1007" i="51" a="1"/>
  <c r="R1007" i="51"/>
  <c r="R1008" i="51" a="1"/>
  <c r="R1008" i="51"/>
  <c r="R1009" i="51" a="1"/>
  <c r="R1009" i="51" s="1"/>
  <c r="R1010" i="51" a="1"/>
  <c r="R1010" i="51" s="1"/>
  <c r="R1011" i="51" a="1"/>
  <c r="R1011" i="51" s="1"/>
  <c r="R1012" i="51" a="1"/>
  <c r="R1012" i="51" s="1"/>
  <c r="R1013" i="51" a="1"/>
  <c r="R1013" i="51" s="1"/>
  <c r="R1014" i="51" a="1"/>
  <c r="R1014" i="51" s="1"/>
  <c r="R1015" i="51" a="1"/>
  <c r="R1015" i="51" s="1"/>
  <c r="R1016" i="51" a="1"/>
  <c r="R1016" i="51"/>
  <c r="R1017" i="51" a="1"/>
  <c r="R1017" i="51"/>
  <c r="R1018" i="51" a="1"/>
  <c r="R1018" i="51" s="1"/>
  <c r="R1019" i="51" a="1"/>
  <c r="R1019" i="51"/>
  <c r="R1020" i="51" a="1"/>
  <c r="R1020" i="51" s="1"/>
  <c r="R1021" i="51" a="1"/>
  <c r="R1021" i="51" s="1"/>
  <c r="R1022" i="51" a="1"/>
  <c r="R1022" i="51" s="1"/>
  <c r="R1023" i="51" a="1"/>
  <c r="R1023" i="51" s="1"/>
  <c r="R1024" i="51" a="1"/>
  <c r="R1024" i="51" s="1"/>
  <c r="R1025" i="51" a="1"/>
  <c r="R1025" i="51"/>
  <c r="R1026" i="51" a="1"/>
  <c r="R1026" i="51" s="1"/>
  <c r="R1027" i="51" a="1"/>
  <c r="R1027" i="51" s="1"/>
  <c r="R1028" i="51" a="1"/>
  <c r="R1028" i="51"/>
  <c r="R1029" i="51" a="1"/>
  <c r="R1029" i="51" s="1"/>
  <c r="R1030" i="51" a="1"/>
  <c r="R1030" i="51" s="1"/>
  <c r="R1031" i="51" a="1"/>
  <c r="R1031" i="51"/>
  <c r="R1032" i="51" a="1"/>
  <c r="R1032" i="51" s="1"/>
  <c r="R1033" i="51" a="1"/>
  <c r="R1033" i="51" s="1"/>
  <c r="R1034" i="51" a="1"/>
  <c r="R1034" i="51" s="1"/>
  <c r="R1035" i="51" a="1"/>
  <c r="R1035" i="51" s="1"/>
  <c r="R1036" i="51" a="1"/>
  <c r="R1036" i="51" s="1"/>
  <c r="R1037" i="51" a="1"/>
  <c r="R1037" i="51"/>
  <c r="R1038" i="51" a="1"/>
  <c r="R1038" i="51" s="1"/>
  <c r="R1039" i="51" a="1"/>
  <c r="R1039" i="51"/>
  <c r="R1040" i="51" a="1"/>
  <c r="R1040" i="51"/>
  <c r="R1041" i="51" a="1"/>
  <c r="R1041" i="51" s="1"/>
  <c r="R1042" i="51" a="1"/>
  <c r="R1042" i="51" s="1"/>
  <c r="R1043" i="51" a="1"/>
  <c r="R1043" i="51" s="1"/>
  <c r="R1044" i="51" a="1"/>
  <c r="R1044" i="51" s="1"/>
  <c r="R1045" i="51" a="1"/>
  <c r="R1045" i="51" s="1"/>
  <c r="R1046" i="51" a="1"/>
  <c r="R1046" i="51" s="1"/>
  <c r="R1047" i="51" a="1"/>
  <c r="R1047" i="51" s="1"/>
  <c r="R1048" i="51" a="1"/>
  <c r="R1048" i="51"/>
  <c r="R1049" i="51" a="1"/>
  <c r="R1049" i="51"/>
  <c r="R1050" i="51" a="1"/>
  <c r="R1050" i="51" s="1"/>
  <c r="R1051" i="51" a="1"/>
  <c r="R1051" i="51"/>
  <c r="R1052" i="51" a="1"/>
  <c r="R1052" i="51" s="1"/>
  <c r="R1053" i="51" a="1"/>
  <c r="R1053" i="51" s="1"/>
  <c r="R1054" i="51" a="1"/>
  <c r="R1054" i="51" s="1"/>
  <c r="R1055" i="51" a="1"/>
  <c r="R1055" i="51" s="1"/>
  <c r="R1056" i="51" a="1"/>
  <c r="R1056" i="51" s="1"/>
  <c r="R1057" i="51" a="1"/>
  <c r="R1057" i="51"/>
  <c r="R1058" i="51" a="1"/>
  <c r="R1058" i="51" s="1"/>
  <c r="R1059" i="51" a="1"/>
  <c r="R1059" i="51" s="1"/>
  <c r="R1060" i="51" a="1"/>
  <c r="R1060" i="51"/>
  <c r="R1061" i="51" a="1"/>
  <c r="R1061" i="51" s="1"/>
  <c r="R1062" i="51" a="1"/>
  <c r="R1062" i="51" s="1"/>
  <c r="R1063" i="51" a="1"/>
  <c r="R1063" i="51"/>
  <c r="R1064" i="51" a="1"/>
  <c r="R1064" i="51" s="1"/>
  <c r="R1065" i="51" a="1"/>
  <c r="R1065" i="51" s="1"/>
  <c r="R1066" i="51" a="1"/>
  <c r="R1066" i="51" s="1"/>
  <c r="R1067" i="51" a="1"/>
  <c r="R1067" i="51" s="1"/>
  <c r="R1068" i="51" a="1"/>
  <c r="R1068" i="51" s="1"/>
  <c r="R1069" i="51" a="1"/>
  <c r="R1069" i="51"/>
  <c r="R1070" i="51" a="1"/>
  <c r="R1070" i="51" s="1"/>
  <c r="R1071" i="51" a="1"/>
  <c r="R1071" i="51"/>
  <c r="R1072" i="51" a="1"/>
  <c r="R1072" i="51"/>
  <c r="R1073" i="51" a="1"/>
  <c r="R1073" i="51" s="1"/>
  <c r="R1074" i="51" a="1"/>
  <c r="R1074" i="51" s="1"/>
  <c r="R1075" i="51" a="1"/>
  <c r="R1075" i="51" s="1"/>
  <c r="R1076" i="51" a="1"/>
  <c r="R1076" i="51" s="1"/>
  <c r="R1077" i="51" a="1"/>
  <c r="R1077" i="51" s="1"/>
  <c r="R1078" i="51" a="1"/>
  <c r="R1078" i="51" s="1"/>
  <c r="R1079" i="51" a="1"/>
  <c r="R1079" i="51" s="1"/>
  <c r="R1080" i="51" a="1"/>
  <c r="R1080" i="51"/>
  <c r="R1081" i="51" a="1"/>
  <c r="R1081" i="51"/>
  <c r="R1082" i="51" a="1"/>
  <c r="R1082" i="51" s="1"/>
  <c r="R1083" i="51" a="1"/>
  <c r="R1083" i="51"/>
  <c r="R1084" i="51" a="1"/>
  <c r="R1084" i="51" s="1"/>
  <c r="R1085" i="51" a="1"/>
  <c r="R1085" i="51" s="1"/>
  <c r="R1086" i="51" a="1"/>
  <c r="R1086" i="51" s="1"/>
  <c r="R1087" i="51" a="1"/>
  <c r="R1087" i="51" s="1"/>
  <c r="R1088" i="51" a="1"/>
  <c r="R1088" i="51" s="1"/>
  <c r="R1089" i="51" a="1"/>
  <c r="R1089" i="51"/>
  <c r="R1090" i="51" a="1"/>
  <c r="R1090" i="51" s="1"/>
  <c r="R1091" i="51" a="1"/>
  <c r="R1091" i="51" s="1"/>
  <c r="R1092" i="51" a="1"/>
  <c r="R1092" i="51"/>
  <c r="R1093" i="51" a="1"/>
  <c r="R1093" i="51" s="1"/>
  <c r="R1094" i="51" a="1"/>
  <c r="R1094" i="51" s="1"/>
  <c r="R1095" i="51" a="1"/>
  <c r="R1095" i="51"/>
  <c r="R1096" i="51" a="1"/>
  <c r="R1096" i="51" s="1"/>
  <c r="R1097" i="51" a="1"/>
  <c r="R1097" i="51" s="1"/>
  <c r="R1098" i="51" a="1"/>
  <c r="R1098" i="51" s="1"/>
  <c r="R1099" i="51" a="1"/>
  <c r="R1099" i="51" s="1"/>
  <c r="R1100" i="51" a="1"/>
  <c r="R1100" i="51" s="1"/>
  <c r="R1101" i="51" a="1"/>
  <c r="R1101" i="51"/>
  <c r="R1102" i="51" a="1"/>
  <c r="R1102" i="51" s="1"/>
  <c r="R1103" i="51" a="1"/>
  <c r="R1103" i="51"/>
  <c r="R1104" i="51" a="1"/>
  <c r="R1104" i="51"/>
  <c r="R1105" i="51" a="1"/>
  <c r="R1105" i="51" s="1"/>
  <c r="R1106" i="51" a="1"/>
  <c r="R1106" i="51" s="1"/>
  <c r="R1107" i="51" a="1"/>
  <c r="R1107" i="51" s="1"/>
  <c r="R1108" i="51" a="1"/>
  <c r="R1108" i="51" s="1"/>
  <c r="R1109" i="51" a="1"/>
  <c r="R1109" i="51" s="1"/>
  <c r="R1110" i="51" a="1"/>
  <c r="R1110" i="51" s="1"/>
  <c r="R1111" i="51" a="1"/>
  <c r="R1111" i="51" s="1"/>
  <c r="R1112" i="51" a="1"/>
  <c r="R1112" i="51"/>
  <c r="R1113" i="51" a="1"/>
  <c r="R1113" i="51"/>
  <c r="R1114" i="51" a="1"/>
  <c r="R1114" i="51" s="1"/>
  <c r="R1115" i="51" a="1"/>
  <c r="R1115" i="51"/>
  <c r="R1116" i="51" a="1"/>
  <c r="R1116" i="51" s="1"/>
  <c r="R1117" i="51" a="1"/>
  <c r="R1117" i="51" s="1"/>
  <c r="R1118" i="51" a="1"/>
  <c r="R1118" i="51" s="1"/>
  <c r="R1119" i="51" a="1"/>
  <c r="R1119" i="51" s="1"/>
  <c r="R1120" i="51" a="1"/>
  <c r="R1120" i="51" s="1"/>
  <c r="R1121" i="51" a="1"/>
  <c r="R1121" i="51"/>
  <c r="R1122" i="51" a="1"/>
  <c r="R1122" i="51" s="1"/>
  <c r="R1123" i="51" a="1"/>
  <c r="R1123" i="51" s="1"/>
  <c r="R1124" i="51" a="1"/>
  <c r="R1124" i="51"/>
  <c r="R1125" i="51" a="1"/>
  <c r="R1125" i="51" s="1"/>
  <c r="R1126" i="51" a="1"/>
  <c r="R1126" i="51" s="1"/>
  <c r="R1127" i="51" a="1"/>
  <c r="R1127" i="51"/>
  <c r="R1128" i="51" a="1"/>
  <c r="R1128" i="51" s="1"/>
  <c r="R1129" i="51" a="1"/>
  <c r="R1129" i="51" s="1"/>
  <c r="R1130" i="51" a="1"/>
  <c r="R1130" i="51" s="1"/>
  <c r="R1131" i="51" a="1"/>
  <c r="R1131" i="51" s="1"/>
  <c r="R1132" i="51" a="1"/>
  <c r="R1132" i="51" s="1"/>
  <c r="R1133" i="51" a="1"/>
  <c r="R1133" i="51"/>
  <c r="R1134" i="51" a="1"/>
  <c r="R1134" i="51" s="1"/>
  <c r="R1135" i="51" a="1"/>
  <c r="R1135" i="51"/>
  <c r="R1136" i="51" a="1"/>
  <c r="R1136" i="51"/>
  <c r="R1137" i="51" a="1"/>
  <c r="R1137" i="51" s="1"/>
  <c r="R1138" i="51" a="1"/>
  <c r="R1138" i="51" s="1"/>
  <c r="R1139" i="51" a="1"/>
  <c r="R1139" i="51" s="1"/>
  <c r="R1140" i="51" a="1"/>
  <c r="R1140" i="51" s="1"/>
  <c r="R1141" i="51" a="1"/>
  <c r="R1141" i="51" s="1"/>
  <c r="R1142" i="51" a="1"/>
  <c r="R1142" i="51" s="1"/>
  <c r="R1143" i="51" a="1"/>
  <c r="R1143" i="51" s="1"/>
  <c r="R1144" i="51" a="1"/>
  <c r="R1144" i="51"/>
  <c r="R1145" i="51" a="1"/>
  <c r="R1145" i="51"/>
  <c r="R1146" i="51" a="1"/>
  <c r="R1146" i="51" s="1"/>
  <c r="R1147" i="51" a="1"/>
  <c r="R1147" i="51"/>
  <c r="R1148" i="51" a="1"/>
  <c r="R1148" i="51" s="1"/>
  <c r="R1149" i="51" a="1"/>
  <c r="R1149" i="51" s="1"/>
  <c r="R1150" i="51" a="1"/>
  <c r="R1150" i="51" s="1"/>
  <c r="R1151" i="51" a="1"/>
  <c r="R1151" i="51" s="1"/>
  <c r="R1152" i="51" a="1"/>
  <c r="R1152" i="51" s="1"/>
  <c r="R1153" i="51" a="1"/>
  <c r="R1153" i="51"/>
  <c r="R1154" i="51" a="1"/>
  <c r="R1154" i="51" s="1"/>
  <c r="R1155" i="51" a="1"/>
  <c r="R1155" i="51" s="1"/>
  <c r="R1156" i="51" a="1"/>
  <c r="R1156" i="51"/>
  <c r="R1157" i="51" a="1"/>
  <c r="R1157" i="51" s="1"/>
  <c r="R1158" i="51" a="1"/>
  <c r="R1158" i="51" s="1"/>
  <c r="R1159" i="51" a="1"/>
  <c r="R1159" i="51"/>
  <c r="R1160" i="51" a="1"/>
  <c r="R1160" i="51" s="1"/>
  <c r="R1161" i="51" a="1"/>
  <c r="R1161" i="51" s="1"/>
  <c r="R1162" i="51" a="1"/>
  <c r="R1162" i="51" s="1"/>
  <c r="R1163" i="51" a="1"/>
  <c r="R1163" i="51" s="1"/>
  <c r="R1164" i="51" a="1"/>
  <c r="R1164" i="51" s="1"/>
  <c r="R1165" i="51" a="1"/>
  <c r="R1165" i="51"/>
  <c r="R1166" i="51" a="1"/>
  <c r="R1166" i="51" s="1"/>
  <c r="R1167" i="51" a="1"/>
  <c r="R1167" i="51"/>
  <c r="R1168" i="51" a="1"/>
  <c r="R1168" i="51"/>
  <c r="R1169" i="51" a="1"/>
  <c r="R1169" i="51" s="1"/>
  <c r="R1170" i="51" a="1"/>
  <c r="R1170" i="51" s="1"/>
  <c r="R1171" i="51" a="1"/>
  <c r="R1171" i="51" s="1"/>
  <c r="R1172" i="51" a="1"/>
  <c r="R1172" i="51" s="1"/>
  <c r="R1173" i="51" a="1"/>
  <c r="R1173" i="51" s="1"/>
  <c r="R1174" i="51" a="1"/>
  <c r="R1174" i="51" s="1"/>
  <c r="R1175" i="51" a="1"/>
  <c r="R1175" i="51" s="1"/>
  <c r="R1176" i="51" a="1"/>
  <c r="R1176" i="51"/>
  <c r="R1177" i="51" a="1"/>
  <c r="R1177" i="51"/>
  <c r="R1178" i="51" a="1"/>
  <c r="R1178" i="51" s="1"/>
  <c r="R1179" i="51" a="1"/>
  <c r="R1179" i="51"/>
  <c r="R1180" i="51" a="1"/>
  <c r="R1180" i="51" s="1"/>
  <c r="R1181" i="51" a="1"/>
  <c r="R1181" i="51" s="1"/>
  <c r="R1182" i="51" a="1"/>
  <c r="R1182" i="51" s="1"/>
  <c r="R1183" i="51" a="1"/>
  <c r="R1183" i="51" s="1"/>
  <c r="R1184" i="51" a="1"/>
  <c r="R1184" i="51" s="1"/>
  <c r="R1185" i="51" a="1"/>
  <c r="R1185" i="51"/>
  <c r="R1186" i="51" a="1"/>
  <c r="R1186" i="51" s="1"/>
  <c r="R1187" i="51" a="1"/>
  <c r="R1187" i="51" s="1"/>
  <c r="R1188" i="51" a="1"/>
  <c r="R1188" i="51"/>
  <c r="R1189" i="51" a="1"/>
  <c r="R1189" i="51" s="1"/>
  <c r="R1190" i="51" a="1"/>
  <c r="R1190" i="51" s="1"/>
  <c r="R1191" i="51" a="1"/>
  <c r="R1191" i="51"/>
  <c r="R1192" i="51" a="1"/>
  <c r="R1192" i="51" s="1"/>
  <c r="R1193" i="51" a="1"/>
  <c r="R1193" i="51" s="1"/>
  <c r="R1194" i="51" a="1"/>
  <c r="R1194" i="51" s="1"/>
  <c r="R1195" i="51" a="1"/>
  <c r="R1195" i="51" s="1"/>
  <c r="R1196" i="51" a="1"/>
  <c r="R1196" i="51" s="1"/>
  <c r="R1197" i="51" a="1"/>
  <c r="R1197" i="51"/>
  <c r="R1198" i="51" a="1"/>
  <c r="R1198" i="51" s="1"/>
  <c r="R1199" i="51" a="1"/>
  <c r="R1199" i="51"/>
  <c r="R1200" i="51" a="1"/>
  <c r="R1200" i="51"/>
  <c r="R1201" i="51" a="1"/>
  <c r="R1201" i="51" s="1"/>
  <c r="R1202" i="51" a="1"/>
  <c r="R1202" i="51" s="1"/>
  <c r="R1203" i="51" a="1"/>
  <c r="R1203" i="51" s="1"/>
  <c r="R1204" i="51" a="1"/>
  <c r="R1204" i="51" s="1"/>
  <c r="R1205" i="51" a="1"/>
  <c r="R1205" i="51" s="1"/>
  <c r="R1206" i="51" a="1"/>
  <c r="R1206" i="51" s="1"/>
  <c r="R1207" i="51" a="1"/>
  <c r="R1207" i="51" s="1"/>
  <c r="R1208" i="51" a="1"/>
  <c r="R1208" i="51"/>
  <c r="R1209" i="51" a="1"/>
  <c r="R1209" i="51"/>
  <c r="R1210" i="51" a="1"/>
  <c r="R1210" i="51" s="1"/>
  <c r="R1211" i="51" a="1"/>
  <c r="R1211" i="51"/>
  <c r="R1212" i="51" a="1"/>
  <c r="R1212" i="51" s="1"/>
  <c r="R1213" i="51" a="1"/>
  <c r="R1213" i="51" s="1"/>
  <c r="R1214" i="51" a="1"/>
  <c r="R1214" i="51" s="1"/>
  <c r="R1215" i="51" a="1"/>
  <c r="R1215" i="51" s="1"/>
  <c r="R1216" i="51" a="1"/>
  <c r="R1216" i="51" s="1"/>
  <c r="R1217" i="51" a="1"/>
  <c r="R1217" i="51"/>
  <c r="R1218" i="51" a="1"/>
  <c r="R1218" i="51" s="1"/>
  <c r="R1219" i="51" a="1"/>
  <c r="R1219" i="51" s="1"/>
  <c r="R1220" i="51" a="1"/>
  <c r="R1220" i="51"/>
  <c r="R1221" i="51" a="1"/>
  <c r="R1221" i="51" s="1"/>
  <c r="R1222" i="51" a="1"/>
  <c r="R1222" i="51" s="1"/>
  <c r="R1223" i="51" a="1"/>
  <c r="R1223" i="51"/>
  <c r="R1224" i="51" a="1"/>
  <c r="R1224" i="51" s="1"/>
  <c r="R1225" i="51" a="1"/>
  <c r="R1225" i="51" s="1"/>
  <c r="R1226" i="51" a="1"/>
  <c r="R1226" i="51" s="1"/>
  <c r="R1227" i="51" a="1"/>
  <c r="R1227" i="51" s="1"/>
  <c r="R1228" i="51" a="1"/>
  <c r="R1228" i="51" s="1"/>
  <c r="R1229" i="51" a="1"/>
  <c r="R1229" i="51"/>
  <c r="R1230" i="51" a="1"/>
  <c r="R1230" i="51" s="1"/>
  <c r="R1231" i="51" a="1"/>
  <c r="R1231" i="51"/>
  <c r="R1232" i="51" a="1"/>
  <c r="R1232" i="51"/>
  <c r="R1233" i="51" a="1"/>
  <c r="R1233" i="51" s="1"/>
  <c r="R1234" i="51" a="1"/>
  <c r="R1234" i="51" s="1"/>
  <c r="R1235" i="51" a="1"/>
  <c r="R1235" i="51" s="1"/>
  <c r="R1236" i="51" a="1"/>
  <c r="R1236" i="51" s="1"/>
  <c r="R1237" i="51" a="1"/>
  <c r="R1237" i="51" s="1"/>
  <c r="R1238" i="51" a="1"/>
  <c r="R1238" i="51" s="1"/>
  <c r="R1239" i="51" a="1"/>
  <c r="R1239" i="51" s="1"/>
  <c r="R1240" i="51" a="1"/>
  <c r="R1240" i="51"/>
  <c r="R1241" i="51" a="1"/>
  <c r="R1241" i="51"/>
  <c r="R1242" i="51" a="1"/>
  <c r="R1242" i="51" s="1"/>
  <c r="R1243" i="51" a="1"/>
  <c r="R1243" i="51"/>
  <c r="R1244" i="51" a="1"/>
  <c r="R1244" i="51" s="1"/>
  <c r="R1245" i="51" a="1"/>
  <c r="R1245" i="51" s="1"/>
  <c r="R1246" i="51" a="1"/>
  <c r="R1246" i="51" s="1"/>
  <c r="R1247" i="51" a="1"/>
  <c r="R1247" i="51" s="1"/>
  <c r="R1248" i="51" a="1"/>
  <c r="R1248" i="51" s="1"/>
  <c r="R1249" i="51" a="1"/>
  <c r="R1249" i="51"/>
  <c r="R1250" i="51" a="1"/>
  <c r="R1250" i="51" s="1"/>
  <c r="R1251" i="51" a="1"/>
  <c r="R1251" i="51" s="1"/>
  <c r="R1252" i="51" a="1"/>
  <c r="R1252" i="51"/>
  <c r="R1253" i="51" a="1"/>
  <c r="R1253" i="51" s="1"/>
  <c r="R1254" i="51" a="1"/>
  <c r="R1254" i="51" s="1"/>
  <c r="R1255" i="51" a="1"/>
  <c r="R1255" i="51"/>
  <c r="R1256" i="51" a="1"/>
  <c r="R1256" i="51" s="1"/>
  <c r="R1257" i="51" a="1"/>
  <c r="R1257" i="51" s="1"/>
  <c r="R1258" i="51" a="1"/>
  <c r="R1258" i="51" s="1"/>
  <c r="R1259" i="51" a="1"/>
  <c r="R1259" i="51" s="1"/>
  <c r="R1260" i="51" a="1"/>
  <c r="R1260" i="51" s="1"/>
  <c r="R1261" i="51" a="1"/>
  <c r="R1261" i="51"/>
  <c r="R1262" i="51" a="1"/>
  <c r="R1262" i="51" s="1"/>
  <c r="R1263" i="51" a="1"/>
  <c r="R1263" i="51"/>
  <c r="R1264" i="51" a="1"/>
  <c r="R1264" i="51"/>
  <c r="R1265" i="51" a="1"/>
  <c r="R1265" i="51" s="1"/>
  <c r="R1266" i="51" a="1"/>
  <c r="R1266" i="51" s="1"/>
  <c r="R1267" i="51" a="1"/>
  <c r="R1267" i="51" s="1"/>
  <c r="R1268" i="51" a="1"/>
  <c r="R1268" i="51" s="1"/>
  <c r="R1269" i="51" a="1"/>
  <c r="R1269" i="51" s="1"/>
  <c r="R1270" i="51" a="1"/>
  <c r="R1270" i="51" s="1"/>
  <c r="R1271" i="51" a="1"/>
  <c r="R1271" i="51" s="1"/>
  <c r="R1272" i="51" a="1"/>
  <c r="R1272" i="51"/>
  <c r="R1273" i="51" a="1"/>
  <c r="R1273" i="51"/>
  <c r="R1274" i="51" a="1"/>
  <c r="R1274" i="51" s="1"/>
  <c r="R1275" i="51" a="1"/>
  <c r="R1275" i="51"/>
  <c r="R1276" i="51" a="1"/>
  <c r="R1276" i="51" s="1"/>
  <c r="R1277" i="51" a="1"/>
  <c r="R1277" i="51" s="1"/>
  <c r="R1278" i="51" a="1"/>
  <c r="R1278" i="51" s="1"/>
  <c r="R1279" i="51" a="1"/>
  <c r="R1279" i="51" s="1"/>
  <c r="R1280" i="51" a="1"/>
  <c r="R1280" i="51" s="1"/>
  <c r="R1281" i="51" a="1"/>
  <c r="R1281" i="51"/>
  <c r="R1282" i="51" a="1"/>
  <c r="R1282" i="51" s="1"/>
  <c r="R1283" i="51" a="1"/>
  <c r="R1283" i="51" s="1"/>
  <c r="R1284" i="51" a="1"/>
  <c r="R1284" i="51"/>
  <c r="R1285" i="51" a="1"/>
  <c r="R1285" i="51" s="1"/>
  <c r="R1286" i="51" a="1"/>
  <c r="R1286" i="51" s="1"/>
  <c r="R1287" i="51" a="1"/>
  <c r="R1287" i="51"/>
  <c r="R1288" i="51" a="1"/>
  <c r="R1288" i="51" s="1"/>
  <c r="R1289" i="51" a="1"/>
  <c r="R1289" i="51" s="1"/>
  <c r="R1290" i="51" a="1"/>
  <c r="R1290" i="51" s="1"/>
  <c r="R1291" i="51" a="1"/>
  <c r="R1291" i="51" s="1"/>
  <c r="R1292" i="51" a="1"/>
  <c r="R1292" i="51" s="1"/>
  <c r="R1293" i="51" a="1"/>
  <c r="R1293" i="51"/>
  <c r="R1294" i="51" a="1"/>
  <c r="R1294" i="51" s="1"/>
  <c r="R1295" i="51" a="1"/>
  <c r="R1295" i="51"/>
  <c r="R1296" i="51" a="1"/>
  <c r="R1296" i="51"/>
  <c r="R1297" i="51" a="1"/>
  <c r="R1297" i="51" s="1"/>
  <c r="R1298" i="51" a="1"/>
  <c r="R1298" i="51" s="1"/>
  <c r="R1299" i="51" a="1"/>
  <c r="R1299" i="51" s="1"/>
  <c r="R1300" i="51" a="1"/>
  <c r="R1300" i="51" s="1"/>
  <c r="R1301" i="51" a="1"/>
  <c r="R1301" i="51" s="1"/>
  <c r="R1302" i="51" a="1"/>
  <c r="R1302" i="51" s="1"/>
  <c r="R1303" i="51" a="1"/>
  <c r="R1303" i="51" s="1"/>
  <c r="R1304" i="51" a="1"/>
  <c r="R1304" i="51"/>
  <c r="R1305" i="51" a="1"/>
  <c r="R1305" i="51"/>
  <c r="R1306" i="51" a="1"/>
  <c r="R1306" i="51" s="1"/>
  <c r="R1307" i="51" a="1"/>
  <c r="R1307" i="51"/>
  <c r="R1308" i="51" a="1"/>
  <c r="R1308" i="51" s="1"/>
  <c r="R1309" i="51" a="1"/>
  <c r="R1309" i="51" s="1"/>
  <c r="R1310" i="51" a="1"/>
  <c r="R1310" i="51" s="1"/>
  <c r="R1311" i="51" a="1"/>
  <c r="R1311" i="51" s="1"/>
  <c r="R1312" i="51" a="1"/>
  <c r="R1312" i="51" s="1"/>
  <c r="R1313" i="51" a="1"/>
  <c r="R1313" i="51"/>
  <c r="R1314" i="51" a="1"/>
  <c r="R1314" i="51" s="1"/>
  <c r="R1315" i="51" a="1"/>
  <c r="R1315" i="51" s="1"/>
  <c r="R1316" i="51" a="1"/>
  <c r="R1316" i="51"/>
  <c r="R1317" i="51" a="1"/>
  <c r="R1317" i="51" s="1"/>
  <c r="R1318" i="51" a="1"/>
  <c r="R1318" i="51" s="1"/>
  <c r="R1319" i="51" a="1"/>
  <c r="R1319" i="51"/>
  <c r="R1320" i="51" a="1"/>
  <c r="R1320" i="51" s="1"/>
  <c r="R1321" i="51" a="1"/>
  <c r="R1321" i="51" s="1"/>
  <c r="R1322" i="51" a="1"/>
  <c r="R1322" i="51" s="1"/>
  <c r="R1323" i="51" a="1"/>
  <c r="R1323" i="51" s="1"/>
  <c r="R1324" i="51" a="1"/>
  <c r="R1324" i="51" s="1"/>
  <c r="R1325" i="51" a="1"/>
  <c r="R1325" i="51"/>
  <c r="R1326" i="51" a="1"/>
  <c r="R1326" i="51" s="1"/>
  <c r="R1327" i="51" a="1"/>
  <c r="R1327" i="51"/>
  <c r="R1328" i="51" a="1"/>
  <c r="R1328" i="51"/>
  <c r="R1329" i="51" a="1"/>
  <c r="R1329" i="51" s="1"/>
  <c r="R1330" i="51" a="1"/>
  <c r="R1330" i="51" s="1"/>
  <c r="R1331" i="51" a="1"/>
  <c r="R1331" i="51" s="1"/>
  <c r="R1332" i="51" a="1"/>
  <c r="R1332" i="51" s="1"/>
  <c r="R1333" i="51" a="1"/>
  <c r="R1333" i="51" s="1"/>
  <c r="R1334" i="51" a="1"/>
  <c r="R1334" i="51" s="1"/>
  <c r="R1335" i="51" a="1"/>
  <c r="R1335" i="51" s="1"/>
  <c r="R1336" i="51" a="1"/>
  <c r="R1336" i="51"/>
  <c r="R1337" i="51" a="1"/>
  <c r="R1337" i="51"/>
  <c r="R1338" i="51" a="1"/>
  <c r="R1338" i="51" s="1"/>
  <c r="R1339" i="51" a="1"/>
  <c r="R1339" i="51"/>
  <c r="R1340" i="51" a="1"/>
  <c r="R1340" i="51" s="1"/>
  <c r="R1341" i="51" a="1"/>
  <c r="R1341" i="51" s="1"/>
  <c r="R1342" i="51" a="1"/>
  <c r="R1342" i="51" s="1"/>
  <c r="R1343" i="51" a="1"/>
  <c r="R1343" i="51" s="1"/>
  <c r="R1344" i="51" a="1"/>
  <c r="R1344" i="51" s="1"/>
  <c r="R1345" i="51" a="1"/>
  <c r="R1345" i="51"/>
  <c r="R1346" i="51" a="1"/>
  <c r="R1346" i="51" s="1"/>
  <c r="R1347" i="51" a="1"/>
  <c r="R1347" i="51" s="1"/>
  <c r="R1348" i="51" a="1"/>
  <c r="R1348" i="51"/>
  <c r="R1349" i="51" a="1"/>
  <c r="R1349" i="51" s="1"/>
  <c r="R1350" i="51" a="1"/>
  <c r="R1350" i="51" s="1"/>
  <c r="R1351" i="51" a="1"/>
  <c r="R1351" i="51"/>
  <c r="R1352" i="51" a="1"/>
  <c r="R1352" i="51" s="1"/>
  <c r="R1353" i="51" a="1"/>
  <c r="R1353" i="51" s="1"/>
  <c r="R1354" i="51" a="1"/>
  <c r="R1354" i="51" s="1"/>
  <c r="R1355" i="51" a="1"/>
  <c r="R1355" i="51" s="1"/>
  <c r="R1356" i="51" a="1"/>
  <c r="R1356" i="51" s="1"/>
  <c r="R1357" i="51" a="1"/>
  <c r="R1357" i="51"/>
  <c r="R1358" i="51" a="1"/>
  <c r="R1358" i="51" s="1"/>
  <c r="R1359" i="51" a="1"/>
  <c r="R1359" i="51"/>
  <c r="R1360" i="51" a="1"/>
  <c r="R1360" i="51"/>
  <c r="R1361" i="51" a="1"/>
  <c r="R1361" i="51" s="1"/>
  <c r="R1362" i="51" a="1"/>
  <c r="R1362" i="51" s="1"/>
  <c r="R1363" i="51" a="1"/>
  <c r="R1363" i="51" s="1"/>
  <c r="R1364" i="51" a="1"/>
  <c r="R1364" i="51" s="1"/>
  <c r="R1365" i="51" a="1"/>
  <c r="R1365" i="51" s="1"/>
  <c r="R1366" i="51" a="1"/>
  <c r="R1366" i="51" s="1"/>
  <c r="R1367" i="51" a="1"/>
  <c r="R1367" i="51" s="1"/>
  <c r="R1368" i="51" a="1"/>
  <c r="R1368" i="51"/>
  <c r="R1369" i="51" a="1"/>
  <c r="R1369" i="51"/>
  <c r="R1370" i="51" a="1"/>
  <c r="R1370" i="51" s="1"/>
  <c r="R1371" i="51" a="1"/>
  <c r="R1371" i="51"/>
  <c r="R1372" i="51" a="1"/>
  <c r="R1372" i="51" s="1"/>
  <c r="R1373" i="51" a="1"/>
  <c r="R1373" i="51" s="1"/>
  <c r="R1374" i="51" a="1"/>
  <c r="R1374" i="51" s="1"/>
  <c r="R1375" i="51" a="1"/>
  <c r="R1375" i="51" s="1"/>
  <c r="R1376" i="51" a="1"/>
  <c r="R1376" i="51" s="1"/>
  <c r="R1377" i="51" a="1"/>
  <c r="R1377" i="51"/>
  <c r="R1378" i="51" a="1"/>
  <c r="R1378" i="51" s="1"/>
  <c r="R1379" i="51" a="1"/>
  <c r="R1379" i="51" s="1"/>
  <c r="R1380" i="51" a="1"/>
  <c r="R1380" i="51"/>
  <c r="R1381" i="51" a="1"/>
  <c r="R1381" i="51" s="1"/>
  <c r="R1382" i="51" a="1"/>
  <c r="R1382" i="51" s="1"/>
  <c r="R1383" i="51" a="1"/>
  <c r="R1383" i="51"/>
  <c r="R1384" i="51" a="1"/>
  <c r="R1384" i="51" s="1"/>
  <c r="R1385" i="51" a="1"/>
  <c r="R1385" i="51" s="1"/>
  <c r="R1386" i="51" a="1"/>
  <c r="R1386" i="51" s="1"/>
  <c r="R1387" i="51" a="1"/>
  <c r="R1387" i="51" s="1"/>
  <c r="R1388" i="51" a="1"/>
  <c r="R1388" i="51" s="1"/>
  <c r="R1389" i="51" a="1"/>
  <c r="R1389" i="51"/>
  <c r="R1390" i="51" a="1"/>
  <c r="R1390" i="51" s="1"/>
  <c r="R1391" i="51" a="1"/>
  <c r="R1391" i="51"/>
  <c r="R1392" i="51" a="1"/>
  <c r="R1392" i="51"/>
  <c r="R1393" i="51" a="1"/>
  <c r="R1393" i="51" s="1"/>
  <c r="R1394" i="51" a="1"/>
  <c r="R1394" i="51" s="1"/>
  <c r="R1395" i="51" a="1"/>
  <c r="R1395" i="51" s="1"/>
  <c r="R1396" i="51" a="1"/>
  <c r="R1396" i="51" s="1"/>
  <c r="R1397" i="51" a="1"/>
  <c r="R1397" i="51" s="1"/>
  <c r="R1398" i="51" a="1"/>
  <c r="R1398" i="51" s="1"/>
  <c r="R1399" i="51" a="1"/>
  <c r="R1399" i="51" s="1"/>
  <c r="R1400" i="51" a="1"/>
  <c r="R1400" i="51"/>
  <c r="R1401" i="51" a="1"/>
  <c r="R1401" i="51"/>
  <c r="R1402" i="51" a="1"/>
  <c r="R1402" i="51" s="1"/>
  <c r="R1403" i="51" a="1"/>
  <c r="R1403" i="51"/>
  <c r="R1404" i="51" a="1"/>
  <c r="R1404" i="51" s="1"/>
  <c r="R1405" i="51" a="1"/>
  <c r="R1405" i="51" s="1"/>
  <c r="R1406" i="51" a="1"/>
  <c r="R1406" i="51" s="1"/>
  <c r="R1407" i="51" a="1"/>
  <c r="R1407" i="51" s="1"/>
  <c r="R1408" i="51" a="1"/>
  <c r="R1408" i="51" s="1"/>
  <c r="R1409" i="51" a="1"/>
  <c r="R1409" i="51"/>
  <c r="R1410" i="51" a="1"/>
  <c r="R1410" i="51" s="1"/>
  <c r="R1411" i="51" a="1"/>
  <c r="R1411" i="51" s="1"/>
  <c r="R1412" i="51" a="1"/>
  <c r="R1412" i="51"/>
  <c r="R1413" i="51" a="1"/>
  <c r="R1413" i="51" s="1"/>
  <c r="R1414" i="51" a="1"/>
  <c r="R1414" i="51" s="1"/>
  <c r="R1415" i="51" a="1"/>
  <c r="R1415" i="51"/>
  <c r="R1416" i="51" a="1"/>
  <c r="R1416" i="51" s="1"/>
  <c r="R1417" i="51" a="1"/>
  <c r="R1417" i="51" s="1"/>
  <c r="R1418" i="51" a="1"/>
  <c r="R1418" i="51" s="1"/>
  <c r="R1419" i="51" a="1"/>
  <c r="R1419" i="51" s="1"/>
  <c r="R1420" i="51" a="1"/>
  <c r="R1420" i="51" s="1"/>
  <c r="R1421" i="51" a="1"/>
  <c r="R1421" i="51"/>
  <c r="R1422" i="51" a="1"/>
  <c r="R1422" i="51" s="1"/>
  <c r="R1423" i="51" a="1"/>
  <c r="R1423" i="51"/>
  <c r="R1424" i="51" a="1"/>
  <c r="R1424" i="51"/>
  <c r="R1425" i="51" a="1"/>
  <c r="R1425" i="51" s="1"/>
  <c r="R1426" i="51" a="1"/>
  <c r="R1426" i="51" s="1"/>
  <c r="R1427" i="51" a="1"/>
  <c r="R1427" i="51" s="1"/>
  <c r="R1428" i="51" a="1"/>
  <c r="R1428" i="51" s="1"/>
  <c r="R1429" i="51" a="1"/>
  <c r="R1429" i="51" s="1"/>
  <c r="R1430" i="51" a="1"/>
  <c r="R1430" i="51" s="1"/>
  <c r="R1431" i="51" a="1"/>
  <c r="R1431" i="51" s="1"/>
  <c r="R1432" i="51" a="1"/>
  <c r="R1432" i="51"/>
  <c r="R1433" i="51" a="1"/>
  <c r="R1433" i="51"/>
  <c r="R1434" i="51" a="1"/>
  <c r="R1434" i="51" s="1"/>
  <c r="R1435" i="51" a="1"/>
  <c r="R1435" i="51"/>
  <c r="R1436" i="51" a="1"/>
  <c r="R1436" i="51" s="1"/>
  <c r="R1437" i="51" a="1"/>
  <c r="R1437" i="51" s="1"/>
  <c r="R1438" i="51" a="1"/>
  <c r="R1438" i="51" s="1"/>
  <c r="R1439" i="51" a="1"/>
  <c r="R1439" i="51"/>
  <c r="R1440" i="51" a="1"/>
  <c r="R1440" i="51" s="1"/>
  <c r="R1441" i="51" a="1"/>
  <c r="R1441" i="51" s="1"/>
  <c r="R1442" i="51" a="1"/>
  <c r="R1442" i="51" s="1"/>
  <c r="R1443" i="51" a="1"/>
  <c r="R1443" i="51"/>
  <c r="R1444" i="51" a="1"/>
  <c r="R1444" i="51" s="1"/>
  <c r="R1445" i="51" a="1"/>
  <c r="R1445" i="51" s="1"/>
  <c r="R1446" i="51" a="1"/>
  <c r="R1446" i="51" s="1"/>
  <c r="R1447" i="51" a="1"/>
  <c r="R1447" i="51" s="1"/>
  <c r="R1448" i="51" a="1"/>
  <c r="R1448" i="51" s="1"/>
  <c r="R1449" i="51" a="1"/>
  <c r="R1449" i="51" s="1"/>
  <c r="R1450" i="51" a="1"/>
  <c r="R1450" i="51" s="1"/>
  <c r="R1451" i="51" a="1"/>
  <c r="R1451" i="51" s="1"/>
  <c r="R1452" i="51" a="1"/>
  <c r="R1452" i="51" s="1"/>
  <c r="R1453" i="51" a="1"/>
  <c r="R1453" i="51" s="1"/>
  <c r="R1454" i="51" a="1"/>
  <c r="R1454" i="51" s="1"/>
  <c r="R1455" i="51" a="1"/>
  <c r="R1455" i="51" s="1"/>
  <c r="R1456" i="51" a="1"/>
  <c r="R1456" i="51" s="1"/>
  <c r="R1457" i="51" a="1"/>
  <c r="R1457" i="51" s="1"/>
  <c r="R1458" i="51" a="1"/>
  <c r="R1458" i="51" s="1"/>
  <c r="R1459" i="51" a="1"/>
  <c r="R1459" i="51" s="1"/>
  <c r="R1460" i="51" a="1"/>
  <c r="R1460" i="51" s="1"/>
  <c r="R1461" i="51" a="1"/>
  <c r="R1461" i="51" s="1"/>
  <c r="R1462" i="51" a="1"/>
  <c r="R1462" i="51" s="1"/>
  <c r="R1463" i="51" a="1"/>
  <c r="R1463" i="51" s="1"/>
  <c r="R1464" i="51" a="1"/>
  <c r="R1464" i="51" s="1"/>
  <c r="R1465" i="51" a="1"/>
  <c r="R1465" i="51" s="1"/>
  <c r="R1466" i="51" a="1"/>
  <c r="R1466" i="51" s="1"/>
  <c r="R1467" i="51" a="1"/>
  <c r="R1467" i="51" s="1"/>
  <c r="R1468" i="51" a="1"/>
  <c r="R1468" i="51" s="1"/>
  <c r="R1469" i="51" a="1"/>
  <c r="R1469" i="51" s="1"/>
  <c r="R1470" i="51" a="1"/>
  <c r="R1470" i="51" s="1"/>
  <c r="R1471" i="51" a="1"/>
  <c r="R1471" i="51" s="1"/>
  <c r="R1472" i="51" a="1"/>
  <c r="R1472" i="51" s="1"/>
  <c r="R1473" i="51" a="1"/>
  <c r="R1473" i="51" s="1"/>
  <c r="R1474" i="51" a="1"/>
  <c r="R1474" i="51" s="1"/>
  <c r="R1475" i="51" a="1"/>
  <c r="R1475" i="51" s="1"/>
  <c r="R1476" i="51" a="1"/>
  <c r="R1476" i="51" s="1"/>
  <c r="R1477" i="51" a="1"/>
  <c r="R1477" i="51" s="1"/>
  <c r="R1478" i="51" a="1"/>
  <c r="R1478" i="51" s="1"/>
  <c r="R1479" i="51" a="1"/>
  <c r="R1479" i="51" s="1"/>
  <c r="R1480" i="51" a="1"/>
  <c r="R1480" i="51" s="1"/>
  <c r="R1481" i="51" a="1"/>
  <c r="R1481" i="51" s="1"/>
  <c r="R1482" i="51" a="1"/>
  <c r="R1482" i="51" s="1"/>
  <c r="R1483" i="51" a="1"/>
  <c r="R1483" i="51" s="1"/>
  <c r="R1484" i="51" a="1"/>
  <c r="R1484" i="51" s="1"/>
  <c r="R1485" i="51" a="1"/>
  <c r="R1485" i="51" s="1"/>
  <c r="R1486" i="51" a="1"/>
  <c r="R1486" i="51" s="1"/>
  <c r="R1487" i="51" a="1"/>
  <c r="R1487" i="51" s="1"/>
  <c r="R1488" i="51" a="1"/>
  <c r="R1488" i="51" s="1"/>
  <c r="R1489" i="51" a="1"/>
  <c r="R1489" i="51" s="1"/>
  <c r="R1490" i="51" a="1"/>
  <c r="R1490" i="51" s="1"/>
  <c r="R1491" i="51" a="1"/>
  <c r="R1491" i="51" s="1"/>
  <c r="R1492" i="51" a="1"/>
  <c r="R1492" i="51" s="1"/>
  <c r="G1739" i="52"/>
  <c r="R510" i="51" s="1" a="1"/>
  <c r="R510" i="51" s="1"/>
  <c r="G1686" i="52"/>
  <c r="S529" i="51" s="1" a="1"/>
  <c r="S529" i="51" s="1"/>
  <c r="G1738" i="52"/>
  <c r="G1737" i="52"/>
  <c r="R293" i="51" s="1" a="1"/>
  <c r="R293" i="51" s="1"/>
  <c r="G1736" i="52"/>
  <c r="G1735" i="52"/>
  <c r="G1734" i="52"/>
  <c r="G1729" i="52"/>
  <c r="G1733" i="52"/>
  <c r="R180" i="51" s="1" a="1"/>
  <c r="R180" i="51" s="1"/>
  <c r="G1732" i="52"/>
  <c r="R171" i="51" s="1" a="1"/>
  <c r="R171" i="51" s="1"/>
  <c r="G1745" i="52"/>
  <c r="R244" i="51" s="1" a="1"/>
  <c r="R244" i="51" s="1"/>
  <c r="G1744" i="52"/>
  <c r="R243" i="51" s="1" a="1"/>
  <c r="R243" i="51" s="1"/>
  <c r="G1743" i="52"/>
  <c r="G1731" i="52"/>
  <c r="R241" i="51" s="1" a="1"/>
  <c r="R241" i="51" s="1"/>
  <c r="G1728" i="52"/>
  <c r="G1727" i="52"/>
  <c r="G1726" i="52"/>
  <c r="S113" i="51" s="1" a="1"/>
  <c r="S113" i="51" s="1"/>
  <c r="G1725" i="52"/>
  <c r="S110" i="51" s="1" a="1"/>
  <c r="S110" i="51" s="1"/>
  <c r="G1724" i="52"/>
  <c r="S100" i="51" s="1" a="1"/>
  <c r="S100" i="51" s="1"/>
  <c r="G1730" i="52"/>
  <c r="S88" i="51" s="1" a="1"/>
  <c r="S88" i="51" s="1"/>
  <c r="G1687" i="52"/>
  <c r="R73" i="51" s="1" a="1"/>
  <c r="R73" i="51" s="1"/>
  <c r="G1723" i="52"/>
  <c r="G1722" i="52"/>
  <c r="G1721" i="52"/>
  <c r="G1720" i="52"/>
  <c r="G1719" i="52"/>
  <c r="R240" i="51" s="1" a="1"/>
  <c r="R240" i="51" s="1"/>
  <c r="G1718" i="52"/>
  <c r="G1717" i="52"/>
  <c r="G1716" i="52"/>
  <c r="S183" i="51" s="1" a="1"/>
  <c r="S183" i="51" s="1"/>
  <c r="G1715" i="52"/>
  <c r="S453" i="51" s="1" a="1"/>
  <c r="S453" i="51" s="1"/>
  <c r="G1714" i="52"/>
  <c r="S448" i="51" s="1" a="1"/>
  <c r="S448" i="51" s="1"/>
  <c r="G1713" i="52"/>
  <c r="G1712" i="52"/>
  <c r="G1711" i="52"/>
  <c r="G1710" i="52"/>
  <c r="G1708" i="52"/>
  <c r="G1707" i="52"/>
  <c r="G1706" i="52"/>
  <c r="G1705" i="52"/>
  <c r="G1709" i="52"/>
  <c r="R454" i="51" s="1" a="1"/>
  <c r="R454" i="51" s="1"/>
  <c r="G1704" i="52"/>
  <c r="G1703" i="52"/>
  <c r="G1702" i="52"/>
  <c r="G1701" i="52"/>
  <c r="R52" i="51" s="1" a="1"/>
  <c r="R52" i="51" s="1"/>
  <c r="G1700" i="52"/>
  <c r="G1699" i="52"/>
  <c r="G1698" i="52"/>
  <c r="G1697" i="52"/>
  <c r="S514" i="51" s="1" a="1"/>
  <c r="S514" i="51" s="1"/>
  <c r="G1696" i="52"/>
  <c r="G1695" i="52"/>
  <c r="G1694" i="52"/>
  <c r="G1693" i="52"/>
  <c r="G1689" i="52"/>
  <c r="G1688" i="52"/>
  <c r="G1692" i="52"/>
  <c r="R448" i="51" s="1" a="1"/>
  <c r="R448" i="51" s="1"/>
  <c r="G1691" i="52"/>
  <c r="G1690" i="52"/>
  <c r="G1685" i="52"/>
  <c r="G1684" i="52"/>
  <c r="G1683" i="52"/>
  <c r="G1682" i="52"/>
  <c r="G1681" i="52"/>
  <c r="S417" i="51" s="1" a="1"/>
  <c r="S417" i="51" s="1"/>
  <c r="G1680" i="52"/>
  <c r="G1677" i="52"/>
  <c r="S206" i="51" s="1" a="1"/>
  <c r="S206" i="51" s="1"/>
  <c r="G1676" i="52"/>
  <c r="G1675" i="52"/>
  <c r="G1674" i="52"/>
  <c r="G1673" i="52"/>
  <c r="R529" i="51" s="1" a="1"/>
  <c r="R529" i="51" s="1"/>
  <c r="G1672" i="52"/>
  <c r="G1671" i="52"/>
  <c r="G1670" i="52"/>
  <c r="G1669" i="52"/>
  <c r="G1668" i="52"/>
  <c r="G1667" i="52"/>
  <c r="S447" i="51" s="1" a="1"/>
  <c r="S447" i="51" s="1"/>
  <c r="G1666" i="52"/>
  <c r="R622" i="51" s="1" a="1"/>
  <c r="R622" i="51" s="1"/>
  <c r="G1665" i="52"/>
  <c r="G1664" i="52"/>
  <c r="G1663" i="52"/>
  <c r="S161" i="51" s="1" a="1"/>
  <c r="S161" i="51" s="1"/>
  <c r="G1679" i="52"/>
  <c r="S452" i="51" s="1" a="1"/>
  <c r="S452" i="51" s="1"/>
  <c r="G1678" i="52"/>
  <c r="S449" i="51" s="1" a="1"/>
  <c r="S449" i="51" s="1"/>
  <c r="G1662" i="52"/>
  <c r="G1661" i="52"/>
  <c r="G1660" i="52"/>
  <c r="S450" i="51" s="1" a="1"/>
  <c r="S450" i="51" s="1"/>
  <c r="G1659" i="52"/>
  <c r="G1658" i="52"/>
  <c r="G1657" i="52"/>
  <c r="G1656" i="52"/>
  <c r="S451" i="51" s="1" a="1"/>
  <c r="S451" i="51" s="1"/>
  <c r="G1640" i="52"/>
  <c r="G1639" i="52"/>
  <c r="G1638" i="52"/>
  <c r="G1655" i="52"/>
  <c r="G1653" i="52"/>
  <c r="G1652" i="52"/>
  <c r="G1654" i="52"/>
  <c r="G1651" i="52"/>
  <c r="G1650" i="52"/>
  <c r="G1649" i="52"/>
  <c r="G1648" i="52"/>
  <c r="G1647" i="52"/>
  <c r="G1637" i="52"/>
  <c r="G1646" i="52"/>
  <c r="G1645" i="52"/>
  <c r="G1644" i="52"/>
  <c r="G1643" i="52"/>
  <c r="G1642" i="52"/>
  <c r="G1641" i="52"/>
  <c r="G1636" i="52"/>
  <c r="G1634" i="52"/>
  <c r="R616" i="51" s="1" a="1"/>
  <c r="R616" i="51" s="1"/>
  <c r="G1633" i="52"/>
  <c r="R620" i="51" s="1" a="1"/>
  <c r="R620" i="51" s="1"/>
  <c r="G1632" i="52"/>
  <c r="G1631" i="52"/>
  <c r="G1635" i="52"/>
  <c r="G1630" i="52"/>
  <c r="G1629" i="52"/>
  <c r="G1628" i="52"/>
  <c r="G1627" i="52"/>
  <c r="G1626" i="52"/>
  <c r="G1625" i="52"/>
  <c r="G1624" i="52"/>
  <c r="G1623" i="52"/>
  <c r="G1622" i="52"/>
  <c r="G1621" i="52"/>
  <c r="G1620" i="52"/>
  <c r="G1619" i="52"/>
  <c r="G1618" i="52"/>
  <c r="G1617" i="52"/>
  <c r="G1616" i="52"/>
  <c r="G1615" i="52"/>
  <c r="G1614" i="52"/>
  <c r="S218" i="51" s="1" a="1"/>
  <c r="S218" i="51" s="1"/>
  <c r="G1613" i="52"/>
  <c r="G1612" i="52"/>
  <c r="S239" i="51" s="1" a="1"/>
  <c r="S239" i="51" s="1"/>
  <c r="G1611" i="52"/>
  <c r="G1610" i="52"/>
  <c r="G1609" i="52"/>
  <c r="G1597" i="52"/>
  <c r="G1596" i="52"/>
  <c r="S432" i="51" s="1" a="1"/>
  <c r="S432" i="51" s="1"/>
  <c r="G1595" i="52"/>
  <c r="G1594" i="52"/>
  <c r="G1593" i="52"/>
  <c r="G1592" i="52"/>
  <c r="G1591" i="52"/>
  <c r="G1590" i="52"/>
  <c r="G1589" i="52"/>
  <c r="G1588" i="52"/>
  <c r="G1587" i="52"/>
  <c r="G1608" i="52"/>
  <c r="S289" i="51" s="1" a="1"/>
  <c r="S289" i="51" s="1"/>
  <c r="G1607" i="52"/>
  <c r="S291" i="51" s="1" a="1"/>
  <c r="S291" i="51" s="1"/>
  <c r="G1606" i="52"/>
  <c r="S294" i="51" s="1" a="1"/>
  <c r="S294" i="51" s="1"/>
  <c r="G1605" i="52"/>
  <c r="G1604" i="52"/>
  <c r="S292" i="51" s="1" a="1"/>
  <c r="S292" i="51" s="1"/>
  <c r="G1603" i="52"/>
  <c r="S286" i="51" s="1" a="1"/>
  <c r="S286" i="51" s="1"/>
  <c r="G1602" i="52"/>
  <c r="S288" i="51" s="1" a="1"/>
  <c r="S288" i="51" s="1"/>
  <c r="G1601" i="52"/>
  <c r="G1600" i="52"/>
  <c r="G1599" i="52"/>
  <c r="G1598" i="52"/>
  <c r="S290" i="51" s="1" a="1"/>
  <c r="S290" i="51" s="1"/>
  <c r="G1586" i="52"/>
  <c r="G1585" i="52"/>
  <c r="S444" i="51" s="1" a="1"/>
  <c r="S444" i="51" s="1"/>
  <c r="G1584" i="52"/>
  <c r="G1583" i="52"/>
  <c r="G1582" i="52"/>
  <c r="G1581" i="52"/>
  <c r="G1580" i="52"/>
  <c r="G1579" i="52"/>
  <c r="G1578" i="52"/>
  <c r="G1577" i="52"/>
  <c r="G1576" i="52"/>
  <c r="G1575" i="52"/>
  <c r="G1574" i="52"/>
  <c r="G1573" i="52"/>
  <c r="G1572" i="52"/>
  <c r="G1571" i="52"/>
  <c r="G1570" i="52"/>
  <c r="G1569" i="52"/>
  <c r="G1568" i="52"/>
  <c r="R619" i="51" s="1" a="1"/>
  <c r="R619" i="51" s="1"/>
  <c r="G1567" i="52"/>
  <c r="R613" i="51" s="1" a="1"/>
  <c r="R613" i="51" s="1"/>
  <c r="G1566" i="52"/>
  <c r="R618" i="51" s="1" a="1"/>
  <c r="R618" i="51" s="1"/>
  <c r="G1565" i="52"/>
  <c r="R617" i="51" s="1" a="1"/>
  <c r="R617" i="51" s="1"/>
  <c r="G1564" i="52"/>
  <c r="R605" i="51" s="1" a="1"/>
  <c r="R605" i="51" s="1"/>
  <c r="G1563" i="52"/>
  <c r="R615" i="51" s="1" a="1"/>
  <c r="R615" i="51" s="1"/>
  <c r="G1562" i="52"/>
  <c r="R614" i="51" s="1" a="1"/>
  <c r="R614" i="51" s="1"/>
  <c r="G1561" i="52"/>
  <c r="G1560" i="52"/>
  <c r="G1559" i="52"/>
  <c r="G1558" i="52"/>
  <c r="R612" i="51" s="1" a="1"/>
  <c r="R612" i="51" s="1"/>
  <c r="G1557" i="52"/>
  <c r="G1556" i="52"/>
  <c r="R606" i="51" s="1" a="1"/>
  <c r="R606" i="51" s="1"/>
  <c r="G1555" i="52"/>
  <c r="G1553" i="52"/>
  <c r="G1552" i="52"/>
  <c r="G1551" i="52"/>
  <c r="G1550" i="52"/>
  <c r="G1549" i="52"/>
  <c r="G1548" i="52"/>
  <c r="G1547" i="52"/>
  <c r="G1546" i="52"/>
  <c r="G1545" i="52"/>
  <c r="G1544" i="52"/>
  <c r="G1543" i="52"/>
  <c r="G1530" i="52"/>
  <c r="G1542" i="52"/>
  <c r="G1541" i="52"/>
  <c r="G1540" i="52"/>
  <c r="G1539" i="52"/>
  <c r="G1538" i="52"/>
  <c r="S247" i="51" s="1" a="1"/>
  <c r="S247" i="51" s="1"/>
  <c r="G1537" i="52"/>
  <c r="S250" i="51" s="1" a="1"/>
  <c r="S250" i="51" s="1"/>
  <c r="G1536" i="52"/>
  <c r="S248" i="51" s="1" a="1"/>
  <c r="S248" i="51" s="1"/>
  <c r="G1535" i="52"/>
  <c r="S254" i="51" s="1" a="1"/>
  <c r="S254" i="51" s="1"/>
  <c r="G1534" i="52"/>
  <c r="S251" i="51" s="1" a="1"/>
  <c r="S251" i="51" s="1"/>
  <c r="G1533" i="52"/>
  <c r="S256" i="51" s="1" a="1"/>
  <c r="S256" i="51" s="1"/>
  <c r="G1532" i="52"/>
  <c r="S252" i="51" s="1" a="1"/>
  <c r="S252" i="51" s="1"/>
  <c r="G1531" i="52"/>
  <c r="S253" i="51" s="1" a="1"/>
  <c r="S253" i="51" s="1"/>
  <c r="G1529" i="52"/>
  <c r="S421" i="51" s="1" a="1"/>
  <c r="S421" i="51" s="1"/>
  <c r="G1528" i="52"/>
  <c r="S443" i="51" s="1" a="1"/>
  <c r="S443" i="51" s="1"/>
  <c r="G1527" i="52"/>
  <c r="G1526" i="52"/>
  <c r="G1525" i="52"/>
  <c r="S407" i="51" s="1" a="1"/>
  <c r="S407" i="51" s="1"/>
  <c r="G1524" i="52"/>
  <c r="S419" i="51" s="1" a="1"/>
  <c r="S419" i="51" s="1"/>
  <c r="G1523" i="52"/>
  <c r="S427" i="51" s="1" a="1"/>
  <c r="S427" i="51" s="1"/>
  <c r="G1522" i="52"/>
  <c r="S428" i="51" s="1" a="1"/>
  <c r="S428" i="51" s="1"/>
  <c r="G1521" i="52"/>
  <c r="S429" i="51" s="1" a="1"/>
  <c r="S429" i="51" s="1"/>
  <c r="G1520" i="52"/>
  <c r="S446" i="51" s="1" a="1"/>
  <c r="S446" i="51" s="1"/>
  <c r="G1518" i="52"/>
  <c r="G1517" i="52"/>
  <c r="G1515" i="52"/>
  <c r="G1514" i="52"/>
  <c r="R611" i="51" s="1" a="1"/>
  <c r="R611" i="51" s="1"/>
  <c r="G1554" i="52"/>
  <c r="G1513" i="52"/>
  <c r="G1512" i="52"/>
  <c r="G1511" i="52"/>
  <c r="G1510" i="52"/>
  <c r="G1509" i="52"/>
  <c r="G1508" i="52"/>
  <c r="G1516" i="52"/>
  <c r="S423" i="51" s="1" a="1"/>
  <c r="S423" i="51" s="1"/>
  <c r="G1507" i="52"/>
  <c r="S278" i="51" s="1" a="1"/>
  <c r="S278" i="51" s="1"/>
  <c r="G1506" i="52"/>
  <c r="S272" i="51" s="1" a="1"/>
  <c r="S272" i="51" s="1"/>
  <c r="G1505" i="52"/>
  <c r="S274" i="51" s="1" a="1"/>
  <c r="S274" i="51" s="1"/>
  <c r="G1504" i="52"/>
  <c r="G1503" i="52"/>
  <c r="G1502" i="52"/>
  <c r="G1501" i="52"/>
  <c r="G1500" i="52"/>
  <c r="G1499" i="52"/>
  <c r="G1498" i="52"/>
  <c r="G1497" i="52"/>
  <c r="G1496" i="52"/>
  <c r="S425" i="51" s="1" a="1"/>
  <c r="S425" i="51" s="1"/>
  <c r="G1495" i="52"/>
  <c r="S426" i="51" s="1" a="1"/>
  <c r="S426" i="51" s="1"/>
  <c r="G1494" i="52"/>
  <c r="G1493" i="52"/>
  <c r="G1492" i="52"/>
  <c r="G1491" i="52"/>
  <c r="G1490" i="52"/>
  <c r="G1489" i="52"/>
  <c r="G1488" i="52"/>
  <c r="G1487" i="52"/>
  <c r="G1486" i="52"/>
  <c r="G1485" i="52"/>
  <c r="G1484" i="52"/>
  <c r="S566" i="51" s="1" a="1"/>
  <c r="S566" i="51" s="1"/>
  <c r="G1483" i="52"/>
  <c r="G1482" i="52"/>
  <c r="G1481" i="52"/>
  <c r="G1480" i="52"/>
  <c r="G1479" i="52"/>
  <c r="G1478" i="52"/>
  <c r="G1477" i="52"/>
  <c r="G1476" i="52"/>
  <c r="G1475" i="52"/>
  <c r="G1474" i="52"/>
  <c r="G1473" i="52"/>
  <c r="G1472" i="52"/>
  <c r="S277" i="51" s="1" a="1"/>
  <c r="S277" i="51" s="1"/>
  <c r="G1471" i="52"/>
  <c r="S282" i="51" s="1" a="1"/>
  <c r="S282" i="51" s="1"/>
  <c r="G1470" i="52"/>
  <c r="S47" i="51" s="1" a="1"/>
  <c r="S47" i="51" s="1"/>
  <c r="G1469" i="52"/>
  <c r="S271" i="51" s="1" a="1"/>
  <c r="S271" i="51" s="1"/>
  <c r="G1468" i="52"/>
  <c r="S279" i="51" s="1" a="1"/>
  <c r="S279" i="51" s="1"/>
  <c r="G1467" i="52"/>
  <c r="G1466" i="52"/>
  <c r="G1465" i="52"/>
  <c r="G1464" i="52"/>
  <c r="G1463" i="52"/>
  <c r="G1462" i="52"/>
  <c r="G1461" i="52"/>
  <c r="G4" i="52"/>
  <c r="G1460" i="52"/>
  <c r="S512" i="51" s="1" a="1"/>
  <c r="S512" i="51" s="1"/>
  <c r="G1459" i="52"/>
  <c r="G1458" i="52"/>
  <c r="S269" i="51" s="1" a="1"/>
  <c r="S269" i="51" s="1"/>
  <c r="G1457" i="52"/>
  <c r="S273" i="51" s="1" a="1"/>
  <c r="S273" i="51" s="1"/>
  <c r="G1456" i="52"/>
  <c r="G1455" i="52"/>
  <c r="S281" i="51" s="1" a="1"/>
  <c r="S281" i="51" s="1"/>
  <c r="G1454" i="52"/>
  <c r="S534" i="51" s="1" a="1"/>
  <c r="S534" i="51" s="1"/>
  <c r="G1453" i="52"/>
  <c r="S533" i="51" s="1" a="1"/>
  <c r="S533" i="51" s="1"/>
  <c r="G1452" i="52"/>
  <c r="S535" i="51" s="1" a="1"/>
  <c r="S535" i="51" s="1"/>
  <c r="G1451" i="52"/>
  <c r="G1432" i="52"/>
  <c r="G1438" i="52"/>
  <c r="S525" i="51" s="1" a="1"/>
  <c r="S525" i="51" s="1"/>
  <c r="G1437" i="52"/>
  <c r="G1450" i="52"/>
  <c r="S309" i="51" s="1" a="1"/>
  <c r="S309" i="51" s="1"/>
  <c r="G1449" i="52"/>
  <c r="S312" i="51" s="1" a="1"/>
  <c r="S312" i="51" s="1"/>
  <c r="G1448" i="52"/>
  <c r="S314" i="51" s="1" a="1"/>
  <c r="S314" i="51" s="1"/>
  <c r="G1447" i="52"/>
  <c r="S313" i="51" s="1" a="1"/>
  <c r="S313" i="51" s="1"/>
  <c r="G1446" i="52"/>
  <c r="S311" i="51" s="1" a="1"/>
  <c r="S311" i="51" s="1"/>
  <c r="G1445" i="52"/>
  <c r="S310" i="51" s="1" a="1"/>
  <c r="S310" i="51" s="1"/>
  <c r="G1444" i="52"/>
  <c r="S283" i="51" s="1" a="1"/>
  <c r="S283" i="51" s="1"/>
  <c r="G1443" i="52"/>
  <c r="S287" i="51" s="1" a="1"/>
  <c r="S287" i="51" s="1"/>
  <c r="G1442" i="52"/>
  <c r="S284" i="51" s="1" a="1"/>
  <c r="S284" i="51" s="1"/>
  <c r="G1441" i="52"/>
  <c r="S246" i="51" s="1" a="1"/>
  <c r="S246" i="51" s="1"/>
  <c r="G1440" i="52"/>
  <c r="S245" i="51" s="1" a="1"/>
  <c r="S245" i="51" s="1"/>
  <c r="G1439" i="52"/>
  <c r="S249" i="51" s="1" a="1"/>
  <c r="S249" i="51" s="1"/>
  <c r="G1431" i="52"/>
  <c r="S89" i="51" s="1" a="1"/>
  <c r="S89" i="51" s="1"/>
  <c r="G1430" i="52"/>
  <c r="S90" i="51" s="1" a="1"/>
  <c r="S90" i="51" s="1"/>
  <c r="G1436" i="52"/>
  <c r="S489" i="51" s="1" a="1"/>
  <c r="S489" i="51" s="1"/>
  <c r="G1435" i="52"/>
  <c r="S484" i="51" s="1" a="1"/>
  <c r="S484" i="51" s="1"/>
  <c r="G1434" i="52"/>
  <c r="S475" i="51" s="1" a="1"/>
  <c r="S475" i="51" s="1"/>
  <c r="G1433" i="52"/>
  <c r="G1429" i="52"/>
  <c r="S179" i="51" s="1" a="1"/>
  <c r="S179" i="51" s="1"/>
  <c r="G1428" i="52"/>
  <c r="S513" i="51" s="1" a="1"/>
  <c r="S513" i="51" s="1"/>
  <c r="G1427" i="52"/>
  <c r="S205" i="51" s="1" a="1"/>
  <c r="S205" i="51" s="1"/>
  <c r="G1426" i="52"/>
  <c r="S203" i="51" s="1" a="1"/>
  <c r="S203" i="51" s="1"/>
  <c r="G1425" i="52"/>
  <c r="S201" i="51" s="1" a="1"/>
  <c r="S201" i="51" s="1"/>
  <c r="G1424" i="52"/>
  <c r="S200" i="51" s="1" a="1"/>
  <c r="S200" i="51" s="1"/>
  <c r="G1423" i="52"/>
  <c r="S204" i="51" s="1" a="1"/>
  <c r="S204" i="51" s="1"/>
  <c r="G1422" i="52"/>
  <c r="S202" i="51" s="1" a="1"/>
  <c r="S202" i="51" s="1"/>
  <c r="G1421" i="52"/>
  <c r="G1420" i="52"/>
  <c r="S473" i="51" s="1" a="1"/>
  <c r="S473" i="51" s="1"/>
  <c r="G1419" i="52"/>
  <c r="S492" i="51" s="1" a="1"/>
  <c r="S492" i="51" s="1"/>
  <c r="G1418" i="52"/>
  <c r="S495" i="51" s="1" a="1"/>
  <c r="S495" i="51" s="1"/>
  <c r="G1417" i="52"/>
  <c r="S496" i="51" s="1" a="1"/>
  <c r="S496" i="51" s="1"/>
  <c r="G1416" i="52"/>
  <c r="S474" i="51" s="1" a="1"/>
  <c r="S474" i="51" s="1"/>
  <c r="G1415" i="52"/>
  <c r="S491" i="51" s="1" a="1"/>
  <c r="S491" i="51" s="1"/>
  <c r="G1414" i="52"/>
  <c r="S237" i="51" s="1" a="1"/>
  <c r="S237" i="51" s="1"/>
  <c r="G1413" i="52"/>
  <c r="S235" i="51" s="1" a="1"/>
  <c r="S235" i="51" s="1"/>
  <c r="G1412" i="52"/>
  <c r="S236" i="51" s="1" a="1"/>
  <c r="S236" i="51" s="1"/>
  <c r="G1411" i="52"/>
  <c r="S233" i="51" s="1" a="1"/>
  <c r="S233" i="51" s="1"/>
  <c r="G1410" i="52"/>
  <c r="S257" i="51" s="1" a="1"/>
  <c r="S257" i="51" s="1"/>
  <c r="G1409" i="52"/>
  <c r="S258" i="51" s="1" a="1"/>
  <c r="S258" i="51" s="1"/>
  <c r="G1408" i="52"/>
  <c r="S260" i="51" s="1" a="1"/>
  <c r="S260" i="51" s="1"/>
  <c r="G1407" i="52"/>
  <c r="S259" i="51" s="1" a="1"/>
  <c r="S259" i="51" s="1"/>
  <c r="G1406" i="52"/>
  <c r="S261" i="51" s="1" a="1"/>
  <c r="S261" i="51" s="1"/>
  <c r="G1405" i="52"/>
  <c r="G1404" i="52"/>
  <c r="G1403" i="52"/>
  <c r="G1402" i="52"/>
  <c r="G1399" i="52"/>
  <c r="S280" i="51" s="1" a="1"/>
  <c r="S280" i="51" s="1"/>
  <c r="G1398" i="52"/>
  <c r="S275" i="51" s="1" a="1"/>
  <c r="S275" i="51" s="1"/>
  <c r="G1397" i="52"/>
  <c r="S276" i="51" s="1" a="1"/>
  <c r="S276" i="51" s="1"/>
  <c r="G1396" i="52"/>
  <c r="G1395" i="52"/>
  <c r="G1394" i="52"/>
  <c r="G1375" i="52"/>
  <c r="G1374" i="52"/>
  <c r="G1373" i="52"/>
  <c r="G1372" i="52"/>
  <c r="G1371" i="52"/>
  <c r="G1400" i="52"/>
  <c r="G1370" i="52"/>
  <c r="S480" i="51" s="1" a="1"/>
  <c r="S480" i="51" s="1"/>
  <c r="G1369" i="52"/>
  <c r="S504" i="51" s="1" a="1"/>
  <c r="S504" i="51" s="1"/>
  <c r="G1393" i="52"/>
  <c r="G1392" i="52"/>
  <c r="G1391" i="52"/>
  <c r="G1390" i="52"/>
  <c r="R310" i="51" s="1" a="1"/>
  <c r="R310" i="51" s="1"/>
  <c r="G1389" i="52"/>
  <c r="R309" i="51" s="1" a="1"/>
  <c r="R309" i="51" s="1"/>
  <c r="G1388" i="52"/>
  <c r="G1387" i="52"/>
  <c r="G1386" i="52"/>
  <c r="R291" i="51" s="1" a="1"/>
  <c r="R291" i="51" s="1"/>
  <c r="G1385" i="52"/>
  <c r="R290" i="51" s="1" a="1"/>
  <c r="R290" i="51" s="1"/>
  <c r="G1384" i="52"/>
  <c r="G1383" i="52"/>
  <c r="R288" i="51" s="1" a="1"/>
  <c r="R288" i="51" s="1"/>
  <c r="G1382" i="52"/>
  <c r="G1381" i="52"/>
  <c r="R284" i="51" s="1" a="1"/>
  <c r="R284" i="51" s="1"/>
  <c r="G1380" i="52"/>
  <c r="G1379" i="52"/>
  <c r="G1378" i="52"/>
  <c r="R294" i="51" s="1" a="1"/>
  <c r="R294" i="51" s="1"/>
  <c r="G1377" i="52"/>
  <c r="R289" i="51" s="1" a="1"/>
  <c r="R289" i="51" s="1"/>
  <c r="G1368" i="52"/>
  <c r="S266" i="51" s="1" a="1"/>
  <c r="S266" i="51" s="1"/>
  <c r="G1367" i="52"/>
  <c r="S267" i="51" s="1" a="1"/>
  <c r="S267" i="51" s="1"/>
  <c r="G1366" i="52"/>
  <c r="S268" i="51" s="1" a="1"/>
  <c r="S268" i="51" s="1"/>
  <c r="G1365" i="52"/>
  <c r="S411" i="51" s="1" a="1"/>
  <c r="S411" i="51" s="1"/>
  <c r="G1401" i="52"/>
  <c r="S526" i="51" s="1" a="1"/>
  <c r="S526" i="51" s="1"/>
  <c r="G1364" i="52"/>
  <c r="G1363" i="52"/>
  <c r="G1362" i="52"/>
  <c r="G1361" i="52"/>
  <c r="G1360" i="52"/>
  <c r="G1359" i="52"/>
  <c r="G1347" i="52"/>
  <c r="G1346" i="52"/>
  <c r="G1345" i="52"/>
  <c r="G1344" i="52"/>
  <c r="G1343" i="52"/>
  <c r="R525" i="51" s="1" a="1"/>
  <c r="R525" i="51" s="1"/>
  <c r="G1358" i="52"/>
  <c r="G1357" i="52"/>
  <c r="S542" i="51" s="1" a="1"/>
  <c r="S542" i="51" s="1"/>
  <c r="G1356" i="52"/>
  <c r="S540" i="51" s="1" a="1"/>
  <c r="S540" i="51" s="1"/>
  <c r="G1355" i="52"/>
  <c r="S550" i="51" s="1" a="1"/>
  <c r="S550" i="51" s="1"/>
  <c r="G1354" i="52"/>
  <c r="S551" i="51" s="1" a="1"/>
  <c r="S551" i="51" s="1"/>
  <c r="G1353" i="52"/>
  <c r="S549" i="51" s="1" a="1"/>
  <c r="S549" i="51" s="1"/>
  <c r="G1352" i="52"/>
  <c r="S545" i="51" s="1" a="1"/>
  <c r="S545" i="51" s="1"/>
  <c r="G1351" i="52"/>
  <c r="S538" i="51" s="1" a="1"/>
  <c r="S538" i="51" s="1"/>
  <c r="G1350" i="52"/>
  <c r="S546" i="51" s="1" a="1"/>
  <c r="S546" i="51" s="1"/>
  <c r="G1349" i="52"/>
  <c r="S547" i="51" s="1" a="1"/>
  <c r="S547" i="51" s="1"/>
  <c r="G1348" i="52"/>
  <c r="S555" i="51" s="1" a="1"/>
  <c r="S555" i="51" s="1"/>
  <c r="G1341" i="52"/>
  <c r="G1340" i="52"/>
  <c r="R239" i="51" s="1" a="1"/>
  <c r="R239" i="51" s="1"/>
  <c r="G1342" i="52"/>
  <c r="S228" i="51" s="1" a="1"/>
  <c r="S228" i="51" s="1"/>
  <c r="G1339" i="52"/>
  <c r="G1338" i="52"/>
  <c r="G1334" i="52"/>
  <c r="S192" i="51" s="1" a="1"/>
  <c r="S192" i="51" s="1"/>
  <c r="G1333" i="52"/>
  <c r="S194" i="51" s="1" a="1"/>
  <c r="S194" i="51" s="1"/>
  <c r="G1332" i="52"/>
  <c r="S189" i="51" s="1" a="1"/>
  <c r="S189" i="51" s="1"/>
  <c r="G1331" i="52"/>
  <c r="S193" i="51" s="1" a="1"/>
  <c r="S193" i="51" s="1"/>
  <c r="G1330" i="52"/>
  <c r="S197" i="51" s="1" a="1"/>
  <c r="S197" i="51" s="1"/>
  <c r="G1329" i="52"/>
  <c r="S198" i="51" s="1" a="1"/>
  <c r="S198" i="51" s="1"/>
  <c r="G1328" i="52"/>
  <c r="S199" i="51" s="1" a="1"/>
  <c r="S199" i="51" s="1"/>
  <c r="G1327" i="52"/>
  <c r="S388" i="51" s="1" a="1"/>
  <c r="S388" i="51" s="1"/>
  <c r="G1337" i="52"/>
  <c r="S76" i="51" s="1" a="1"/>
  <c r="S76" i="51" s="1"/>
  <c r="G1336" i="52"/>
  <c r="S85" i="51" s="1" a="1"/>
  <c r="S85" i="51" s="1"/>
  <c r="G1335" i="52"/>
  <c r="S84" i="51" s="1" a="1"/>
  <c r="S84" i="51" s="1"/>
  <c r="G1326" i="52"/>
  <c r="S229" i="51" s="1" a="1"/>
  <c r="S229" i="51" s="1"/>
  <c r="G1325" i="52"/>
  <c r="S223" i="51" s="1" a="1"/>
  <c r="S223" i="51" s="1"/>
  <c r="G1324" i="52"/>
  <c r="S234" i="51" s="1" a="1"/>
  <c r="S234" i="51" s="1"/>
  <c r="G1323" i="52"/>
  <c r="S217" i="51" s="1" a="1"/>
  <c r="S217" i="51" s="1"/>
  <c r="G1322" i="52"/>
  <c r="S106" i="51" s="1" a="1"/>
  <c r="S106" i="51" s="1"/>
  <c r="G1321" i="52"/>
  <c r="S224" i="51" s="1" a="1"/>
  <c r="S224" i="51" s="1"/>
  <c r="G1320" i="52"/>
  <c r="S26" i="51" s="1" a="1"/>
  <c r="S26" i="51" s="1"/>
  <c r="G1319" i="52"/>
  <c r="G1318" i="52"/>
  <c r="G1317" i="52"/>
  <c r="G1309" i="52"/>
  <c r="S170" i="51" s="1" a="1"/>
  <c r="S170" i="51" s="1"/>
  <c r="G1308" i="52"/>
  <c r="S363" i="51" s="1" a="1"/>
  <c r="S363" i="51" s="1"/>
  <c r="G1316" i="52"/>
  <c r="S114" i="51" s="1" a="1"/>
  <c r="S114" i="51" s="1"/>
  <c r="G1315" i="52"/>
  <c r="S115" i="51" s="1" a="1"/>
  <c r="S115" i="51" s="1"/>
  <c r="G1314" i="52"/>
  <c r="S439" i="51" s="1" a="1"/>
  <c r="S439" i="51" s="1"/>
  <c r="G1307" i="52"/>
  <c r="S482" i="51" s="1" a="1"/>
  <c r="S482" i="51" s="1"/>
  <c r="G1306" i="52"/>
  <c r="S494" i="51" s="1" a="1"/>
  <c r="S494" i="51" s="1"/>
  <c r="G1305" i="52"/>
  <c r="S498" i="51" s="1" a="1"/>
  <c r="S498" i="51" s="1"/>
  <c r="G1304" i="52"/>
  <c r="S508" i="51" s="1" a="1"/>
  <c r="S508" i="51" s="1"/>
  <c r="G1303" i="52"/>
  <c r="S509" i="51" s="1" a="1"/>
  <c r="S509" i="51" s="1"/>
  <c r="G1302" i="52"/>
  <c r="S505" i="51" s="1" a="1"/>
  <c r="S505" i="51" s="1"/>
  <c r="G1301" i="52"/>
  <c r="S75" i="51" s="1" a="1"/>
  <c r="S75" i="51" s="1"/>
  <c r="G1300" i="52"/>
  <c r="S147" i="51" s="1" a="1"/>
  <c r="S147" i="51" s="1"/>
  <c r="G1299" i="52"/>
  <c r="G1298" i="52"/>
  <c r="G1297" i="52"/>
  <c r="S143" i="51" s="1" a="1"/>
  <c r="S143" i="51" s="1"/>
  <c r="G1296" i="52"/>
  <c r="S387" i="51" s="1" a="1"/>
  <c r="S387" i="51" s="1"/>
  <c r="G1295" i="52"/>
  <c r="S71" i="51" s="1" a="1"/>
  <c r="S71" i="51" s="1"/>
  <c r="G1294" i="52"/>
  <c r="G1293" i="52"/>
  <c r="G1292" i="52"/>
  <c r="G1291" i="52"/>
  <c r="G1290" i="52"/>
  <c r="S385" i="51" s="1" a="1"/>
  <c r="S385" i="51" s="1"/>
  <c r="G1289" i="52"/>
  <c r="S262" i="51" s="1" a="1"/>
  <c r="S262" i="51" s="1"/>
  <c r="G1288" i="52"/>
  <c r="S263" i="51" s="1" a="1"/>
  <c r="S263" i="51" s="1"/>
  <c r="G1287" i="52"/>
  <c r="S264" i="51" s="1" a="1"/>
  <c r="S264" i="51" s="1"/>
  <c r="G1286" i="52"/>
  <c r="S265" i="51" s="1" a="1"/>
  <c r="S265" i="51" s="1"/>
  <c r="G1283" i="52"/>
  <c r="G1282" i="52"/>
  <c r="G1281" i="52"/>
  <c r="G1280" i="52"/>
  <c r="G1279" i="52"/>
  <c r="G1278" i="52"/>
  <c r="G1277" i="52"/>
  <c r="S231" i="51" s="1" a="1"/>
  <c r="S231" i="51" s="1"/>
  <c r="G1276" i="52"/>
  <c r="S230" i="51" s="1" a="1"/>
  <c r="S230" i="51" s="1"/>
  <c r="G1275" i="52"/>
  <c r="S226" i="51" s="1" a="1"/>
  <c r="S226" i="51" s="1"/>
  <c r="G1274" i="52"/>
  <c r="S402" i="51" s="1" a="1"/>
  <c r="S402" i="51" s="1"/>
  <c r="G1273" i="52"/>
  <c r="S83" i="51" s="1" a="1"/>
  <c r="S83" i="51" s="1"/>
  <c r="G1272" i="52"/>
  <c r="S80" i="51" s="1" a="1"/>
  <c r="S80" i="51" s="1"/>
  <c r="G1271" i="52"/>
  <c r="S78" i="51" s="1" a="1"/>
  <c r="S78" i="51" s="1"/>
  <c r="G1270" i="52"/>
  <c r="S82" i="51" s="1" a="1"/>
  <c r="S82" i="51" s="1"/>
  <c r="G1269" i="52"/>
  <c r="S386" i="51" s="1" a="1"/>
  <c r="S386" i="51" s="1"/>
  <c r="G1268" i="52"/>
  <c r="S208" i="51" s="1" a="1"/>
  <c r="S208" i="51" s="1"/>
  <c r="G1267" i="52"/>
  <c r="S207" i="51" s="1" a="1"/>
  <c r="S207" i="51" s="1"/>
  <c r="G1266" i="52"/>
  <c r="S212" i="51" s="1" a="1"/>
  <c r="S212" i="51" s="1"/>
  <c r="G1265" i="52"/>
  <c r="S209" i="51" s="1" a="1"/>
  <c r="S209" i="51" s="1"/>
  <c r="G1264" i="52"/>
  <c r="S210" i="51" s="1" a="1"/>
  <c r="S210" i="51" s="1"/>
  <c r="G1263" i="52"/>
  <c r="S211" i="51" s="1" a="1"/>
  <c r="S211" i="51" s="1"/>
  <c r="G1262" i="52"/>
  <c r="S213" i="51" s="1" a="1"/>
  <c r="S213" i="51" s="1"/>
  <c r="G1261" i="52"/>
  <c r="S214" i="51" s="1" a="1"/>
  <c r="S214" i="51" s="1"/>
  <c r="G1260" i="52"/>
  <c r="S368" i="51" s="1" a="1"/>
  <c r="S368" i="51" s="1"/>
  <c r="G1259" i="52"/>
  <c r="G1258" i="52"/>
  <c r="S159" i="51" s="1" a="1"/>
  <c r="S159" i="51" s="1"/>
  <c r="G1257" i="52"/>
  <c r="S155" i="51" s="1" a="1"/>
  <c r="S155" i="51" s="1"/>
  <c r="G1256" i="52"/>
  <c r="S567" i="51" s="1" a="1"/>
  <c r="S567" i="51" s="1"/>
  <c r="G1255" i="52"/>
  <c r="S436" i="51" s="1" a="1"/>
  <c r="S436" i="51" s="1"/>
  <c r="G1243" i="52"/>
  <c r="R170" i="51" s="1" a="1"/>
  <c r="R170" i="51" s="1"/>
  <c r="G1242" i="52"/>
  <c r="R566" i="51" s="1" a="1"/>
  <c r="R566" i="51" s="1"/>
  <c r="G1313" i="52"/>
  <c r="G1241" i="52"/>
  <c r="G1240" i="52"/>
  <c r="G1239" i="52"/>
  <c r="S196" i="51" s="1" a="1"/>
  <c r="S196" i="51" s="1"/>
  <c r="G1238" i="52"/>
  <c r="S195" i="51" s="1" a="1"/>
  <c r="S195" i="51" s="1"/>
  <c r="G1237" i="52"/>
  <c r="G1236" i="52"/>
  <c r="G1235" i="52"/>
  <c r="G1234" i="52"/>
  <c r="G1233" i="52"/>
  <c r="G1232" i="52"/>
  <c r="G1253" i="52"/>
  <c r="S324" i="51" s="1" a="1"/>
  <c r="S324" i="51" s="1"/>
  <c r="G1252" i="52"/>
  <c r="S333" i="51" s="1" a="1"/>
  <c r="S333" i="51" s="1"/>
  <c r="G1251" i="52"/>
  <c r="S334" i="51" s="1" a="1"/>
  <c r="S334" i="51" s="1"/>
  <c r="G1250" i="52"/>
  <c r="S336" i="51" s="1" a="1"/>
  <c r="S336" i="51" s="1"/>
  <c r="G1249" i="52"/>
  <c r="S338" i="51" s="1" a="1"/>
  <c r="S338" i="51" s="1"/>
  <c r="G1248" i="52"/>
  <c r="S332" i="51" s="1" a="1"/>
  <c r="S332" i="51" s="1"/>
  <c r="G1247" i="52"/>
  <c r="S321" i="51" s="1" a="1"/>
  <c r="S321" i="51" s="1"/>
  <c r="G1231" i="52"/>
  <c r="G1230" i="52"/>
  <c r="G1229" i="52"/>
  <c r="G1228" i="52"/>
  <c r="S165" i="51" s="1" a="1"/>
  <c r="S165" i="51" s="1"/>
  <c r="G1227" i="52"/>
  <c r="S174" i="51" s="1" a="1"/>
  <c r="S174" i="51" s="1"/>
  <c r="G1226" i="52"/>
  <c r="S548" i="51" s="1" a="1"/>
  <c r="S548" i="51" s="1"/>
  <c r="G1225" i="52"/>
  <c r="G1224" i="52"/>
  <c r="G1223" i="52"/>
  <c r="G1222" i="52"/>
  <c r="S539" i="51" s="1" a="1"/>
  <c r="S539" i="51" s="1"/>
  <c r="G1221" i="52"/>
  <c r="G1220" i="52"/>
  <c r="G1219" i="52"/>
  <c r="G1218" i="52"/>
  <c r="S216" i="51" s="1" a="1"/>
  <c r="S216" i="51" s="1"/>
  <c r="G1217" i="52"/>
  <c r="S215" i="51" s="1" a="1"/>
  <c r="S215" i="51" s="1"/>
  <c r="G1216" i="52"/>
  <c r="G1246" i="52"/>
  <c r="G1245" i="52"/>
  <c r="G1244" i="52"/>
  <c r="G1215" i="52"/>
  <c r="S238" i="51" s="1" a="1"/>
  <c r="S238" i="51" s="1"/>
  <c r="G1214" i="52"/>
  <c r="S232" i="51" s="1" a="1"/>
  <c r="S232" i="51" s="1"/>
  <c r="G1213" i="52"/>
  <c r="G1202" i="52"/>
  <c r="S157" i="51" s="1" a="1"/>
  <c r="S157" i="51" s="1"/>
  <c r="G1201" i="52"/>
  <c r="G1200" i="52"/>
  <c r="G1207" i="52"/>
  <c r="G1206" i="52"/>
  <c r="G1205" i="52"/>
  <c r="G1204" i="52"/>
  <c r="G1199" i="52"/>
  <c r="S148" i="51" s="1" a="1"/>
  <c r="S148" i="51" s="1"/>
  <c r="G1212" i="52"/>
  <c r="G1211" i="52"/>
  <c r="G1210" i="52"/>
  <c r="G1209" i="52"/>
  <c r="G1208" i="52"/>
  <c r="G1198" i="52"/>
  <c r="S162" i="51" s="1" a="1"/>
  <c r="S162" i="51" s="1"/>
  <c r="G1197" i="52"/>
  <c r="S77" i="51" s="1" a="1"/>
  <c r="S77" i="51" s="1"/>
  <c r="G1196" i="52"/>
  <c r="S81" i="51" s="1" a="1"/>
  <c r="S81" i="51" s="1"/>
  <c r="G1203" i="52"/>
  <c r="G1195" i="52"/>
  <c r="S220" i="51" s="1" a="1"/>
  <c r="S220" i="51" s="1"/>
  <c r="G1194" i="52"/>
  <c r="S227" i="51" s="1" a="1"/>
  <c r="S227" i="51" s="1"/>
  <c r="G1193" i="52"/>
  <c r="S369" i="51" s="1" a="1"/>
  <c r="S369" i="51" s="1"/>
  <c r="G1192" i="52"/>
  <c r="S563" i="51" s="1" a="1"/>
  <c r="S563" i="51" s="1"/>
  <c r="G1191" i="52"/>
  <c r="G1190" i="52"/>
  <c r="S586" i="51" s="1" a="1"/>
  <c r="S586" i="51" s="1"/>
  <c r="G1189" i="52"/>
  <c r="S593" i="51" s="1" a="1"/>
  <c r="S593" i="51" s="1"/>
  <c r="G1188" i="52"/>
  <c r="S570" i="51" s="1" a="1"/>
  <c r="S570" i="51" s="1"/>
  <c r="G1187" i="52"/>
  <c r="S571" i="51" s="1" a="1"/>
  <c r="S571" i="51" s="1"/>
  <c r="G1186" i="52"/>
  <c r="S573" i="51" s="1" a="1"/>
  <c r="S573" i="51" s="1"/>
  <c r="G1185" i="52"/>
  <c r="S574" i="51" s="1" a="1"/>
  <c r="S574" i="51" s="1"/>
  <c r="G1184" i="52"/>
  <c r="G1183" i="52"/>
  <c r="G1182" i="52"/>
  <c r="S594" i="51" s="1" a="1"/>
  <c r="S594" i="51" s="1"/>
  <c r="G1181" i="52"/>
  <c r="S595" i="51" s="1" a="1"/>
  <c r="S595" i="51" s="1"/>
  <c r="G1180" i="52"/>
  <c r="S222" i="51" s="1" a="1"/>
  <c r="S222" i="51" s="1"/>
  <c r="G1179" i="52"/>
  <c r="S219" i="51" s="1" a="1"/>
  <c r="S219" i="51" s="1"/>
  <c r="G1178" i="52"/>
  <c r="S221" i="51" s="1" a="1"/>
  <c r="S221" i="51" s="1"/>
  <c r="G1177" i="52"/>
  <c r="S225" i="51" s="1" a="1"/>
  <c r="S225" i="51" s="1"/>
  <c r="G1176" i="52"/>
  <c r="S46" i="51" s="1" a="1"/>
  <c r="S46" i="51" s="1"/>
  <c r="G1175" i="52"/>
  <c r="G1174" i="52"/>
  <c r="S389" i="51" s="1" a="1"/>
  <c r="S389" i="51" s="1"/>
  <c r="G1173" i="52"/>
  <c r="S96" i="51" s="1" a="1"/>
  <c r="S96" i="51" s="1"/>
  <c r="G1172" i="52"/>
  <c r="S330" i="51" s="1" a="1"/>
  <c r="S330" i="51" s="1"/>
  <c r="G1171" i="52"/>
  <c r="G1170" i="52"/>
  <c r="G1169" i="52"/>
  <c r="G1168" i="52"/>
  <c r="G1167" i="52"/>
  <c r="S188" i="51" s="1" a="1"/>
  <c r="S188" i="51" s="1"/>
  <c r="G1166" i="52"/>
  <c r="S185" i="51" s="1" a="1"/>
  <c r="S185" i="51" s="1"/>
  <c r="G1165" i="52"/>
  <c r="S184" i="51" s="1" a="1"/>
  <c r="S184" i="51" s="1"/>
  <c r="G1164" i="52"/>
  <c r="S191" i="51" s="1" a="1"/>
  <c r="S191" i="51" s="1"/>
  <c r="G1163" i="52"/>
  <c r="S186" i="51" s="1" a="1"/>
  <c r="S186" i="51" s="1"/>
  <c r="G1162" i="52"/>
  <c r="S187" i="51" s="1" a="1"/>
  <c r="S187" i="51" s="1"/>
  <c r="G1161" i="52"/>
  <c r="S190" i="51" s="1" a="1"/>
  <c r="S190" i="51" s="1"/>
  <c r="G1160" i="52"/>
  <c r="S511" i="51" s="1" a="1"/>
  <c r="S511" i="51" s="1"/>
  <c r="G1159" i="52"/>
  <c r="S463" i="51" s="1" a="1"/>
  <c r="S463" i="51" s="1"/>
  <c r="G1158" i="52"/>
  <c r="S467" i="51" s="1" a="1"/>
  <c r="S467" i="51" s="1"/>
  <c r="G1157" i="52"/>
  <c r="S481" i="51" s="1" a="1"/>
  <c r="S481" i="51" s="1"/>
  <c r="G1156" i="52"/>
  <c r="S486" i="51" s="1" a="1"/>
  <c r="S486" i="51" s="1"/>
  <c r="G1155" i="52"/>
  <c r="S487" i="51" s="1" a="1"/>
  <c r="S487" i="51" s="1"/>
  <c r="G1154" i="52"/>
  <c r="S490" i="51" s="1" a="1"/>
  <c r="S490" i="51" s="1"/>
  <c r="G1153" i="52"/>
  <c r="G1152" i="52"/>
  <c r="S501" i="51" s="1" a="1"/>
  <c r="S501" i="51" s="1"/>
  <c r="G1151" i="52"/>
  <c r="S502" i="51" s="1" a="1"/>
  <c r="S502" i="51" s="1"/>
  <c r="G1150" i="52"/>
  <c r="S415" i="51" s="1" a="1"/>
  <c r="S415" i="51" s="1"/>
  <c r="G1149" i="52"/>
  <c r="S418" i="51" s="1" a="1"/>
  <c r="S418" i="51" s="1"/>
  <c r="G1148" i="52"/>
  <c r="R114" i="51" s="1" a="1"/>
  <c r="R114" i="51" s="1"/>
  <c r="G1147" i="52"/>
  <c r="R115" i="51" s="1" a="1"/>
  <c r="R115" i="51" s="1"/>
  <c r="G1146" i="52"/>
  <c r="S163" i="51" s="1" a="1"/>
  <c r="S163" i="51" s="1"/>
  <c r="G1145" i="52"/>
  <c r="S172" i="51" s="1" a="1"/>
  <c r="S172" i="51" s="1"/>
  <c r="G1144" i="52"/>
  <c r="S164" i="51" s="1" a="1"/>
  <c r="S164" i="51" s="1"/>
  <c r="G1143" i="52"/>
  <c r="S173" i="51" s="1" a="1"/>
  <c r="S173" i="51" s="1"/>
  <c r="G1142" i="52"/>
  <c r="S175" i="51" s="1" a="1"/>
  <c r="S175" i="51" s="1"/>
  <c r="G1141" i="52"/>
  <c r="S167" i="51" s="1" a="1"/>
  <c r="S167" i="51" s="1"/>
  <c r="G1140" i="52"/>
  <c r="S176" i="51" s="1" a="1"/>
  <c r="S176" i="51" s="1"/>
  <c r="G1139" i="52"/>
  <c r="G1138" i="52"/>
  <c r="G1137" i="52"/>
  <c r="S430" i="51" s="1" a="1"/>
  <c r="S430" i="51" s="1"/>
  <c r="G1136" i="52"/>
  <c r="G1135" i="52"/>
  <c r="R534" i="51" s="1" a="1"/>
  <c r="R534" i="51" s="1"/>
  <c r="G1134" i="52"/>
  <c r="G1133" i="52"/>
  <c r="G1079" i="52"/>
  <c r="S158" i="51" s="1" a="1"/>
  <c r="S158" i="51" s="1"/>
  <c r="G1078" i="52"/>
  <c r="S160" i="51" s="1" a="1"/>
  <c r="S160" i="51" s="1"/>
  <c r="G1132" i="52"/>
  <c r="G1131" i="52"/>
  <c r="G1130" i="52"/>
  <c r="S327" i="51" s="1" a="1"/>
  <c r="S327" i="51" s="1"/>
  <c r="G1129" i="52"/>
  <c r="S335" i="51" s="1" a="1"/>
  <c r="S335" i="51" s="1"/>
  <c r="G1128" i="52"/>
  <c r="S337" i="51" s="1" a="1"/>
  <c r="S337" i="51" s="1"/>
  <c r="G1127" i="52"/>
  <c r="G1077" i="52"/>
  <c r="S440" i="51" s="1" a="1"/>
  <c r="S440" i="51" s="1"/>
  <c r="G1076" i="52"/>
  <c r="S442" i="51" s="1" a="1"/>
  <c r="S442" i="51" s="1"/>
  <c r="G1075" i="52"/>
  <c r="S488" i="51" s="1" a="1"/>
  <c r="S488" i="51" s="1"/>
  <c r="G1126" i="52"/>
  <c r="G1125" i="52"/>
  <c r="G1124" i="52"/>
  <c r="G1074" i="52"/>
  <c r="S168" i="51" s="1" a="1"/>
  <c r="S168" i="51" s="1"/>
  <c r="G1073" i="52"/>
  <c r="S177" i="51" s="1" a="1"/>
  <c r="S177" i="51" s="1"/>
  <c r="G1123" i="52"/>
  <c r="G1122" i="52"/>
  <c r="G1072" i="52"/>
  <c r="S329" i="51" s="1" a="1"/>
  <c r="S329" i="51" s="1"/>
  <c r="G1121" i="52"/>
  <c r="G1120" i="52"/>
  <c r="G1119" i="52"/>
  <c r="G1118" i="52"/>
  <c r="G1117" i="52"/>
  <c r="G1116" i="52"/>
  <c r="G1071" i="52"/>
  <c r="S416" i="51" s="1" a="1"/>
  <c r="S416" i="51" s="1"/>
  <c r="G1115" i="52"/>
  <c r="G1070" i="52"/>
  <c r="S328" i="51" s="1" a="1"/>
  <c r="S328" i="51" s="1"/>
  <c r="G1069" i="52"/>
  <c r="S634" i="51" s="1" a="1"/>
  <c r="S634" i="51" s="1"/>
  <c r="G1068" i="52"/>
  <c r="G1067" i="52"/>
  <c r="S633" i="51" s="1" a="1"/>
  <c r="S633" i="51" s="1"/>
  <c r="G1066" i="52"/>
  <c r="S588" i="51" s="1" a="1"/>
  <c r="S588" i="51" s="1"/>
  <c r="G1065" i="52"/>
  <c r="S565" i="51" s="1" a="1"/>
  <c r="S565" i="51" s="1"/>
  <c r="G1064" i="52"/>
  <c r="S132" i="51" s="1" a="1"/>
  <c r="S132" i="51" s="1"/>
  <c r="G1063" i="52"/>
  <c r="S133" i="51" s="1" a="1"/>
  <c r="S133" i="51" s="1"/>
  <c r="G1062" i="52"/>
  <c r="S139" i="51" s="1" a="1"/>
  <c r="S139" i="51" s="1"/>
  <c r="G1061" i="52"/>
  <c r="S135" i="51" s="1" a="1"/>
  <c r="S135" i="51" s="1"/>
  <c r="G1060" i="52"/>
  <c r="S146" i="51" s="1" a="1"/>
  <c r="S146" i="51" s="1"/>
  <c r="G1059" i="52"/>
  <c r="S145" i="51" s="1" a="1"/>
  <c r="S145" i="51" s="1"/>
  <c r="G1058" i="52"/>
  <c r="S144" i="51" s="1" a="1"/>
  <c r="S144" i="51" s="1"/>
  <c r="G1057" i="52"/>
  <c r="S138" i="51" s="1" a="1"/>
  <c r="S138" i="51" s="1"/>
  <c r="G1056" i="52"/>
  <c r="S532" i="51" s="1" a="1"/>
  <c r="S532" i="51" s="1"/>
  <c r="G1055" i="52"/>
  <c r="S531" i="51" s="1" a="1"/>
  <c r="S531" i="51" s="1"/>
  <c r="G1054" i="52"/>
  <c r="S530" i="51" s="1" a="1"/>
  <c r="S530" i="51" s="1"/>
  <c r="G1114" i="52"/>
  <c r="G1053" i="52"/>
  <c r="S460" i="51" s="1" a="1"/>
  <c r="S460" i="51" s="1"/>
  <c r="G1052" i="52"/>
  <c r="S485" i="51" s="1" a="1"/>
  <c r="S485" i="51" s="1"/>
  <c r="G1113" i="52"/>
  <c r="G1112" i="52"/>
  <c r="G1111" i="52"/>
  <c r="G1051" i="52"/>
  <c r="S116" i="51" s="1" a="1"/>
  <c r="S116" i="51" s="1"/>
  <c r="G1050" i="52"/>
  <c r="S117" i="51" s="1" a="1"/>
  <c r="S117" i="51" s="1"/>
  <c r="G1110" i="52"/>
  <c r="G1109" i="52"/>
  <c r="G1108" i="52"/>
  <c r="G1107" i="52"/>
  <c r="R423" i="51" s="1" a="1"/>
  <c r="R423" i="51" s="1"/>
  <c r="G1106" i="52"/>
  <c r="G1105" i="52"/>
  <c r="G1104" i="52"/>
  <c r="G1103" i="52"/>
  <c r="R427" i="51" s="1" a="1"/>
  <c r="R427" i="51" s="1"/>
  <c r="G1102" i="52"/>
  <c r="R428" i="51" s="1" a="1"/>
  <c r="R428" i="51" s="1"/>
  <c r="G1101" i="52"/>
  <c r="R407" i="51" s="1" a="1"/>
  <c r="R407" i="51" s="1"/>
  <c r="G1100" i="52"/>
  <c r="R419" i="51" s="1" a="1"/>
  <c r="R419" i="51" s="1"/>
  <c r="G1049" i="52"/>
  <c r="S181" i="51" s="1" a="1"/>
  <c r="S181" i="51" s="1"/>
  <c r="G1048" i="52"/>
  <c r="S182" i="51" s="1" a="1"/>
  <c r="S182" i="51" s="1"/>
  <c r="G1099" i="52"/>
  <c r="G1098" i="52"/>
  <c r="G1097" i="52"/>
  <c r="G1096" i="52"/>
  <c r="G1095" i="52"/>
  <c r="G1047" i="52"/>
  <c r="G1046" i="52"/>
  <c r="G1045" i="52"/>
  <c r="S149" i="51" s="1" a="1"/>
  <c r="S149" i="51" s="1"/>
  <c r="G1044" i="52"/>
  <c r="S414" i="51" s="1" a="1"/>
  <c r="S414" i="51" s="1"/>
  <c r="G1043" i="52"/>
  <c r="S343" i="51" s="1" a="1"/>
  <c r="S343" i="51" s="1"/>
  <c r="G1042" i="52"/>
  <c r="S355" i="51" s="1" a="1"/>
  <c r="S355" i="51" s="1"/>
  <c r="G1041" i="52"/>
  <c r="S422" i="51" s="1" a="1"/>
  <c r="S422" i="51" s="1"/>
  <c r="G1094" i="52"/>
  <c r="G1093" i="52"/>
  <c r="G1040" i="52"/>
  <c r="S365" i="51" s="1" a="1"/>
  <c r="S365" i="51" s="1"/>
  <c r="G1039" i="52"/>
  <c r="S366" i="51" s="1" a="1"/>
  <c r="S366" i="51" s="1"/>
  <c r="G1038" i="52"/>
  <c r="S367" i="51" s="1" a="1"/>
  <c r="S367" i="51" s="1"/>
  <c r="G1037" i="52"/>
  <c r="S364" i="51" s="1" a="1"/>
  <c r="S364" i="51" s="1"/>
  <c r="G1092" i="52"/>
  <c r="R257" i="51" s="1" a="1"/>
  <c r="R257" i="51" s="1"/>
  <c r="G1091" i="52"/>
  <c r="R258" i="51" s="1" a="1"/>
  <c r="R258" i="51" s="1"/>
  <c r="G1090" i="52"/>
  <c r="G1089" i="52"/>
  <c r="R259" i="51" s="1" a="1"/>
  <c r="R259" i="51" s="1"/>
  <c r="G1088" i="52"/>
  <c r="R261" i="51" s="1" a="1"/>
  <c r="R261" i="51" s="1"/>
  <c r="G1036" i="52"/>
  <c r="G1035" i="52"/>
  <c r="G1034" i="52"/>
  <c r="S560" i="51" s="1" a="1"/>
  <c r="S560" i="51" s="1"/>
  <c r="G1033" i="52"/>
  <c r="S585" i="51" s="1" a="1"/>
  <c r="S585" i="51" s="1"/>
  <c r="G1032" i="52"/>
  <c r="S561" i="51" s="1" a="1"/>
  <c r="S561" i="51" s="1"/>
  <c r="G1031" i="52"/>
  <c r="S584" i="51" s="1" a="1"/>
  <c r="S584" i="51" s="1"/>
  <c r="G1087" i="52"/>
  <c r="G1086" i="52"/>
  <c r="G1085" i="52"/>
  <c r="G1084" i="52"/>
  <c r="G1083" i="52"/>
  <c r="G1082" i="52"/>
  <c r="G1081" i="52"/>
  <c r="G1080" i="52"/>
  <c r="G1009" i="52"/>
  <c r="S537" i="51" s="1" a="1"/>
  <c r="S537" i="51" s="1"/>
  <c r="G1008" i="52"/>
  <c r="S543" i="51" s="1" a="1"/>
  <c r="S543" i="51" s="1"/>
  <c r="G1007" i="52"/>
  <c r="S552" i="51" s="1" a="1"/>
  <c r="S552" i="51" s="1"/>
  <c r="G1006" i="52"/>
  <c r="S556" i="51" s="1" a="1"/>
  <c r="S556" i="51" s="1"/>
  <c r="G1005" i="52"/>
  <c r="S536" i="51" s="1" a="1"/>
  <c r="S536" i="51" s="1"/>
  <c r="G1004" i="52"/>
  <c r="S554" i="51" s="1" a="1"/>
  <c r="S554" i="51" s="1"/>
  <c r="G1030" i="52"/>
  <c r="G1029" i="52"/>
  <c r="G1028" i="52"/>
  <c r="G1027" i="52"/>
  <c r="G1003" i="52"/>
  <c r="R179" i="51" s="1" a="1"/>
  <c r="R179" i="51" s="1"/>
  <c r="G1026" i="52"/>
  <c r="S98" i="51" s="1" a="1"/>
  <c r="S98" i="51" s="1"/>
  <c r="G1025" i="52"/>
  <c r="S108" i="51" s="1" a="1"/>
  <c r="S108" i="51" s="1"/>
  <c r="G1002" i="52"/>
  <c r="G1001" i="52"/>
  <c r="G1000" i="52"/>
  <c r="S97" i="51" s="1" a="1"/>
  <c r="S97" i="51" s="1"/>
  <c r="G999" i="52"/>
  <c r="S107" i="51" s="1" a="1"/>
  <c r="S107" i="51" s="1"/>
  <c r="G998" i="52"/>
  <c r="S86" i="51" s="1" a="1"/>
  <c r="S86" i="51" s="1"/>
  <c r="G997" i="52"/>
  <c r="S87" i="51" s="1" a="1"/>
  <c r="S87" i="51" s="1"/>
  <c r="G996" i="52"/>
  <c r="G995" i="52"/>
  <c r="G994" i="52"/>
  <c r="G993" i="52"/>
  <c r="G992" i="52"/>
  <c r="S79" i="51" s="1" a="1"/>
  <c r="S79" i="51" s="1"/>
  <c r="G991" i="52"/>
  <c r="S74" i="51" s="1" a="1"/>
  <c r="S74" i="51" s="1"/>
  <c r="G969" i="52"/>
  <c r="G990" i="52"/>
  <c r="R573" i="51" s="1" a="1"/>
  <c r="R573" i="51" s="1"/>
  <c r="G989" i="52"/>
  <c r="G988" i="52"/>
  <c r="G987" i="52"/>
  <c r="G986" i="52"/>
  <c r="G985" i="52"/>
  <c r="G984" i="52"/>
  <c r="G983" i="52"/>
  <c r="G982" i="52"/>
  <c r="G981" i="52"/>
  <c r="G968" i="52"/>
  <c r="G967" i="52"/>
  <c r="G966" i="52"/>
  <c r="G980" i="52"/>
  <c r="S320" i="51" s="1" a="1"/>
  <c r="S320" i="51" s="1"/>
  <c r="G979" i="52"/>
  <c r="G1024" i="52"/>
  <c r="S305" i="51" s="1" a="1"/>
  <c r="S305" i="51" s="1"/>
  <c r="G1023" i="52"/>
  <c r="S304" i="51" s="1" a="1"/>
  <c r="S304" i="51" s="1"/>
  <c r="G1022" i="52"/>
  <c r="S303" i="51" s="1" a="1"/>
  <c r="S303" i="51" s="1"/>
  <c r="G1021" i="52"/>
  <c r="S302" i="51" s="1" a="1"/>
  <c r="S302" i="51" s="1"/>
  <c r="G1020" i="52"/>
  <c r="S319" i="51" s="1" a="1"/>
  <c r="S319" i="51" s="1"/>
  <c r="G978" i="52"/>
  <c r="S345" i="51" s="1" a="1"/>
  <c r="S345" i="51" s="1"/>
  <c r="G977" i="52"/>
  <c r="S361" i="51" s="1" a="1"/>
  <c r="S361" i="51" s="1"/>
  <c r="G976" i="52"/>
  <c r="S360" i="51" s="1" a="1"/>
  <c r="S360" i="51" s="1"/>
  <c r="G975" i="52"/>
  <c r="S349" i="51" s="1" a="1"/>
  <c r="S349" i="51" s="1"/>
  <c r="G974" i="52"/>
  <c r="S348" i="51" s="1" a="1"/>
  <c r="S348" i="51" s="1"/>
  <c r="G973" i="52"/>
  <c r="S358" i="51" s="1" a="1"/>
  <c r="S358" i="51" s="1"/>
  <c r="G972" i="52"/>
  <c r="S346" i="51" s="1" a="1"/>
  <c r="S346" i="51" s="1"/>
  <c r="G971" i="52"/>
  <c r="S357" i="51" s="1" a="1"/>
  <c r="S357" i="51" s="1"/>
  <c r="G970" i="52"/>
  <c r="S112" i="51" s="1" a="1"/>
  <c r="S112" i="51" s="1"/>
  <c r="G965" i="52"/>
  <c r="G964" i="52"/>
  <c r="G963" i="52"/>
  <c r="G962" i="52"/>
  <c r="G961" i="52"/>
  <c r="G960" i="52"/>
  <c r="G959" i="52"/>
  <c r="G958" i="52"/>
  <c r="G957" i="52"/>
  <c r="G956" i="52"/>
  <c r="G955" i="52"/>
  <c r="G954" i="52"/>
  <c r="G953" i="52"/>
  <c r="G952" i="52"/>
  <c r="G951" i="52"/>
  <c r="G950" i="52"/>
  <c r="R236" i="51" s="1" a="1"/>
  <c r="R236" i="51" s="1"/>
  <c r="G949" i="52"/>
  <c r="G948" i="52"/>
  <c r="S438" i="51" s="1" a="1"/>
  <c r="S438" i="51" s="1"/>
  <c r="G947" i="52"/>
  <c r="S409" i="51" s="1" a="1"/>
  <c r="S409" i="51" s="1"/>
  <c r="G946" i="52"/>
  <c r="G945" i="52"/>
  <c r="G944" i="52"/>
  <c r="G943" i="52"/>
  <c r="S433" i="51" s="1" a="1"/>
  <c r="S433" i="51" s="1"/>
  <c r="G942" i="52"/>
  <c r="S434" i="51" s="1" a="1"/>
  <c r="S434" i="51" s="1"/>
  <c r="G941" i="52"/>
  <c r="G940" i="52"/>
  <c r="G1019" i="52"/>
  <c r="S23" i="51" s="1" a="1"/>
  <c r="S23" i="51" s="1"/>
  <c r="G1018" i="52"/>
  <c r="S22" i="51" s="1" a="1"/>
  <c r="S22" i="51" s="1"/>
  <c r="G1017" i="52"/>
  <c r="S21" i="51" s="1" a="1"/>
  <c r="S21" i="51" s="1"/>
  <c r="G1016" i="52"/>
  <c r="S20" i="51" s="1" a="1"/>
  <c r="S20" i="51" s="1"/>
  <c r="G1015" i="52"/>
  <c r="S19" i="51" s="1" a="1"/>
  <c r="S19" i="51" s="1"/>
  <c r="G1014" i="52"/>
  <c r="S18" i="51" s="1" a="1"/>
  <c r="S18" i="51" s="1"/>
  <c r="G1013" i="52"/>
  <c r="S17" i="51" s="1" a="1"/>
  <c r="S17" i="51" s="1"/>
  <c r="G1012" i="52"/>
  <c r="S16" i="51" s="1" a="1"/>
  <c r="S16" i="51" s="1"/>
  <c r="G1011" i="52"/>
  <c r="S15" i="51" s="1" a="1"/>
  <c r="S15" i="51" s="1"/>
  <c r="G1010" i="52"/>
  <c r="S14" i="51" s="1" a="1"/>
  <c r="S14" i="51" s="1"/>
  <c r="G939" i="52"/>
  <c r="G938" i="52"/>
  <c r="S558" i="51" s="1" a="1"/>
  <c r="S558" i="51" s="1"/>
  <c r="G937" i="52"/>
  <c r="S589" i="51" s="1" a="1"/>
  <c r="S589" i="51" s="1"/>
  <c r="G936" i="52"/>
  <c r="S568" i="51" s="1" a="1"/>
  <c r="S568" i="51" s="1"/>
  <c r="G935" i="52"/>
  <c r="S596" i="51" s="1" a="1"/>
  <c r="S596" i="51" s="1"/>
  <c r="G934" i="52"/>
  <c r="S575" i="51" s="1" a="1"/>
  <c r="S575" i="51" s="1"/>
  <c r="G933" i="52"/>
  <c r="S134" i="51" s="1" a="1"/>
  <c r="S134" i="51" s="1"/>
  <c r="G932" i="52"/>
  <c r="G931" i="52"/>
  <c r="S391" i="51" s="1" a="1"/>
  <c r="S391" i="51" s="1"/>
  <c r="G930" i="52"/>
  <c r="G929" i="52"/>
  <c r="G928" i="52"/>
  <c r="S24" i="51" s="1" a="1"/>
  <c r="S24" i="51" s="1"/>
  <c r="G927" i="52"/>
  <c r="S577" i="51" s="1" a="1"/>
  <c r="S577" i="51" s="1"/>
  <c r="G926" i="52"/>
  <c r="S598" i="51" s="1" a="1"/>
  <c r="S598" i="51" s="1"/>
  <c r="G925" i="52"/>
  <c r="S559" i="51" s="1" a="1"/>
  <c r="S559" i="51" s="1"/>
  <c r="G924" i="52"/>
  <c r="S583" i="51" s="1" a="1"/>
  <c r="S583" i="51" s="1"/>
  <c r="G923" i="52"/>
  <c r="S569" i="51" s="1" a="1"/>
  <c r="S569" i="51" s="1"/>
  <c r="G922" i="52"/>
  <c r="S590" i="51" s="1" a="1"/>
  <c r="S590" i="51" s="1"/>
  <c r="G921" i="52"/>
  <c r="S576" i="51" s="1" a="1"/>
  <c r="S576" i="51" s="1"/>
  <c r="G920" i="52"/>
  <c r="S597" i="51" s="1" a="1"/>
  <c r="S597" i="51" s="1"/>
  <c r="G919" i="52"/>
  <c r="S562" i="51" s="1" a="1"/>
  <c r="S562" i="51" s="1"/>
  <c r="G918" i="52"/>
  <c r="S564" i="51" s="1" a="1"/>
  <c r="S564" i="51" s="1"/>
  <c r="G917" i="52"/>
  <c r="S587" i="51" s="1" a="1"/>
  <c r="S587" i="51" s="1"/>
  <c r="G916" i="52"/>
  <c r="S412" i="51" s="1" a="1"/>
  <c r="S412" i="51" s="1"/>
  <c r="G915" i="52"/>
  <c r="S437" i="51" s="1" a="1"/>
  <c r="S437" i="51" s="1"/>
  <c r="G914" i="52"/>
  <c r="G913" i="52"/>
  <c r="S507" i="51" s="1" a="1"/>
  <c r="S507" i="51" s="1"/>
  <c r="G912" i="52"/>
  <c r="S493" i="51" s="1" a="1"/>
  <c r="S493" i="51" s="1"/>
  <c r="G911" i="52"/>
  <c r="S472" i="51" s="1" a="1"/>
  <c r="S472" i="51" s="1"/>
  <c r="G910" i="52"/>
  <c r="S464" i="51" s="1" a="1"/>
  <c r="S464" i="51" s="1"/>
  <c r="G909" i="52"/>
  <c r="S459" i="51" s="1" a="1"/>
  <c r="S459" i="51" s="1"/>
  <c r="G908" i="52"/>
  <c r="R491" i="51" s="1" a="1"/>
  <c r="R491" i="51" s="1"/>
  <c r="G907" i="52"/>
  <c r="G906" i="52"/>
  <c r="G905" i="52"/>
  <c r="R495" i="51" s="1" a="1"/>
  <c r="R495" i="51" s="1"/>
  <c r="G904" i="52"/>
  <c r="R496" i="51" s="1" a="1"/>
  <c r="R496" i="51" s="1"/>
  <c r="G903" i="52"/>
  <c r="G902" i="52"/>
  <c r="G901" i="52"/>
  <c r="R492" i="51" s="1" a="1"/>
  <c r="R492" i="51" s="1"/>
  <c r="G900" i="52"/>
  <c r="G899" i="52"/>
  <c r="G898" i="52"/>
  <c r="G897" i="52"/>
  <c r="G896" i="52"/>
  <c r="G895" i="52"/>
  <c r="G894" i="52"/>
  <c r="S169" i="51" s="1" a="1"/>
  <c r="S169" i="51" s="1"/>
  <c r="G893" i="52"/>
  <c r="S178" i="51" s="1" a="1"/>
  <c r="S178" i="51" s="1"/>
  <c r="G892" i="52"/>
  <c r="G891" i="52"/>
  <c r="G890" i="52"/>
  <c r="S166" i="51" s="1" a="1"/>
  <c r="S166" i="51" s="1"/>
  <c r="G889" i="52"/>
  <c r="G888" i="52"/>
  <c r="G880" i="52"/>
  <c r="S8" i="51" s="1" a="1"/>
  <c r="S8" i="51" s="1"/>
  <c r="G887" i="52"/>
  <c r="G886" i="52"/>
  <c r="G885" i="52"/>
  <c r="S341" i="51" s="1" a="1"/>
  <c r="S341" i="51" s="1"/>
  <c r="G884" i="52"/>
  <c r="S353" i="51" s="1" a="1"/>
  <c r="S353" i="51" s="1"/>
  <c r="G879" i="52"/>
  <c r="S408" i="51" s="1" a="1"/>
  <c r="S408" i="51" s="1"/>
  <c r="G878" i="52"/>
  <c r="G877" i="52"/>
  <c r="G883" i="52"/>
  <c r="S141" i="51" s="1" a="1"/>
  <c r="S141" i="51" s="1"/>
  <c r="G882" i="52"/>
  <c r="S142" i="51" s="1" a="1"/>
  <c r="S142" i="51" s="1"/>
  <c r="G881" i="52"/>
  <c r="S140" i="51" s="1" a="1"/>
  <c r="S140" i="51" s="1"/>
  <c r="G876" i="52"/>
  <c r="S136" i="51" s="1" a="1"/>
  <c r="S136" i="51" s="1"/>
  <c r="G875" i="52"/>
  <c r="S137" i="51" s="1" a="1"/>
  <c r="S137" i="51" s="1"/>
  <c r="G874" i="52"/>
  <c r="S131" i="51" s="1" a="1"/>
  <c r="S131" i="51" s="1"/>
  <c r="G873" i="52"/>
  <c r="G872" i="52"/>
  <c r="S517" i="51" s="1" a="1"/>
  <c r="S517" i="51" s="1"/>
  <c r="G871" i="52"/>
  <c r="G870" i="52"/>
  <c r="S515" i="51" s="1" a="1"/>
  <c r="S515" i="51" s="1"/>
  <c r="G869" i="52"/>
  <c r="S516" i="51" s="1" a="1"/>
  <c r="S516" i="51" s="1"/>
  <c r="G868" i="52"/>
  <c r="S521" i="51" s="1" a="1"/>
  <c r="S521" i="51" s="1"/>
  <c r="G867" i="52"/>
  <c r="G866" i="52"/>
  <c r="G865" i="52"/>
  <c r="G864" i="52"/>
  <c r="G863" i="52"/>
  <c r="S581" i="51" s="1" a="1"/>
  <c r="S581" i="51" s="1"/>
  <c r="G862" i="52"/>
  <c r="S602" i="51" s="1" a="1"/>
  <c r="S602" i="51" s="1"/>
  <c r="G861" i="52"/>
  <c r="R365" i="51" s="1" a="1"/>
  <c r="R365" i="51" s="1"/>
  <c r="G860" i="52"/>
  <c r="R366" i="51" s="1" a="1"/>
  <c r="R366" i="51" s="1"/>
  <c r="G859" i="52"/>
  <c r="R367" i="51" s="1" a="1"/>
  <c r="R367" i="51" s="1"/>
  <c r="G858" i="52"/>
  <c r="G857" i="52"/>
  <c r="G845" i="52"/>
  <c r="S91" i="51" s="1" a="1"/>
  <c r="S91" i="51" s="1"/>
  <c r="G844" i="52"/>
  <c r="S101" i="51" s="1" a="1"/>
  <c r="S101" i="51" s="1"/>
  <c r="G843" i="52"/>
  <c r="S102" i="51" s="1" a="1"/>
  <c r="S102" i="51" s="1"/>
  <c r="G856" i="52"/>
  <c r="R86" i="51" s="1" a="1"/>
  <c r="R86" i="51" s="1"/>
  <c r="G855" i="52"/>
  <c r="R87" i="51" s="1" a="1"/>
  <c r="R87" i="51" s="1"/>
  <c r="G854" i="52"/>
  <c r="G842" i="52"/>
  <c r="S390" i="51" s="1" a="1"/>
  <c r="S390" i="51" s="1"/>
  <c r="G853" i="52"/>
  <c r="R205" i="51" s="1" a="1"/>
  <c r="R205" i="51" s="1"/>
  <c r="G852" i="52"/>
  <c r="R204" i="51" s="1" a="1"/>
  <c r="R204" i="51" s="1"/>
  <c r="G851" i="52"/>
  <c r="R203" i="51" s="1" a="1"/>
  <c r="R203" i="51" s="1"/>
  <c r="G850" i="52"/>
  <c r="G849" i="52"/>
  <c r="G848" i="52"/>
  <c r="G847" i="52"/>
  <c r="G846" i="52"/>
  <c r="G841" i="52"/>
  <c r="G840" i="52"/>
  <c r="G839" i="52"/>
  <c r="G838" i="52"/>
  <c r="S356" i="51" s="1" a="1"/>
  <c r="S356" i="51" s="1"/>
  <c r="G837" i="52"/>
  <c r="S354" i="51" s="1" a="1"/>
  <c r="S354" i="51" s="1"/>
  <c r="G836" i="52"/>
  <c r="S342" i="51" s="1" a="1"/>
  <c r="S342" i="51" s="1"/>
  <c r="G835" i="52"/>
  <c r="S340" i="51" s="1" a="1"/>
  <c r="S340" i="51" s="1"/>
  <c r="G834" i="52"/>
  <c r="S325" i="51" s="1" a="1"/>
  <c r="S325" i="51" s="1"/>
  <c r="G833" i="52"/>
  <c r="S403" i="51" s="1" a="1"/>
  <c r="S403" i="51" s="1"/>
  <c r="G832" i="52"/>
  <c r="S401" i="51" s="1" a="1"/>
  <c r="S401" i="51" s="1"/>
  <c r="G831" i="52"/>
  <c r="S400" i="51" s="1" a="1"/>
  <c r="S400" i="51" s="1"/>
  <c r="G830" i="52"/>
  <c r="S399" i="51" s="1" a="1"/>
  <c r="S399" i="51" s="1"/>
  <c r="G829" i="52"/>
  <c r="S398" i="51" s="1" a="1"/>
  <c r="S398" i="51" s="1"/>
  <c r="G828" i="52"/>
  <c r="S397" i="51" s="1" a="1"/>
  <c r="S397" i="51" s="1"/>
  <c r="G827" i="52"/>
  <c r="S396" i="51" s="1" a="1"/>
  <c r="S396" i="51" s="1"/>
  <c r="G826" i="52"/>
  <c r="S395" i="51" s="1" a="1"/>
  <c r="S395" i="51" s="1"/>
  <c r="G825" i="52"/>
  <c r="S394" i="51" s="1" a="1"/>
  <c r="S394" i="51" s="1"/>
  <c r="G824" i="52"/>
  <c r="S393" i="51" s="1" a="1"/>
  <c r="S393" i="51" s="1"/>
  <c r="G823" i="52"/>
  <c r="S392" i="51" s="1" a="1"/>
  <c r="S392" i="51" s="1"/>
  <c r="G822" i="52"/>
  <c r="S497" i="51" s="1" a="1"/>
  <c r="S497" i="51" s="1"/>
  <c r="G821" i="52"/>
  <c r="R509" i="51" s="1" a="1"/>
  <c r="R509" i="51" s="1"/>
  <c r="G820" i="52"/>
  <c r="R508" i="51" s="1" a="1"/>
  <c r="R508" i="51" s="1"/>
  <c r="G819" i="52"/>
  <c r="R480" i="51" s="1" a="1"/>
  <c r="R480" i="51" s="1"/>
  <c r="G818" i="52"/>
  <c r="G813" i="52"/>
  <c r="G803" i="52"/>
  <c r="S384" i="51" s="1" a="1"/>
  <c r="S384" i="51" s="1"/>
  <c r="G802" i="52"/>
  <c r="S347" i="51" s="1" a="1"/>
  <c r="S347" i="51" s="1"/>
  <c r="G812" i="52"/>
  <c r="G811" i="52"/>
  <c r="G810" i="52"/>
  <c r="R116" i="51" s="1" a="1"/>
  <c r="R116" i="51" s="1"/>
  <c r="G801" i="52"/>
  <c r="S420" i="51" s="1" a="1"/>
  <c r="S420" i="51" s="1"/>
  <c r="G809" i="52"/>
  <c r="G808" i="52"/>
  <c r="G807" i="52"/>
  <c r="G806" i="52"/>
  <c r="G805" i="52"/>
  <c r="G804" i="52"/>
  <c r="G800" i="52"/>
  <c r="S323" i="51" s="1" a="1"/>
  <c r="S323" i="51" s="1"/>
  <c r="G799" i="52"/>
  <c r="S109" i="51" s="1" a="1"/>
  <c r="S109" i="51" s="1"/>
  <c r="G798" i="52"/>
  <c r="S44" i="51" s="1" a="1"/>
  <c r="S44" i="51" s="1"/>
  <c r="G797" i="52"/>
  <c r="S11" i="51" s="1" a="1"/>
  <c r="S11" i="51" s="1"/>
  <c r="G796" i="52"/>
  <c r="R238" i="51" s="1" a="1"/>
  <c r="R238" i="51" s="1"/>
  <c r="G795" i="52"/>
  <c r="R234" i="51" s="1" a="1"/>
  <c r="R234" i="51" s="1"/>
  <c r="G794" i="52"/>
  <c r="S600" i="51" s="1" a="1"/>
  <c r="S600" i="51" s="1"/>
  <c r="G793" i="52"/>
  <c r="S579" i="51" s="1" a="1"/>
  <c r="S579" i="51" s="1"/>
  <c r="G792" i="52"/>
  <c r="S601" i="51" s="1" a="1"/>
  <c r="S601" i="51" s="1"/>
  <c r="G791" i="52"/>
  <c r="S599" i="51" s="1" a="1"/>
  <c r="S599" i="51" s="1"/>
  <c r="G790" i="52"/>
  <c r="S580" i="51" s="1" a="1"/>
  <c r="S580" i="51" s="1"/>
  <c r="G789" i="52"/>
  <c r="S578" i="51" s="1" a="1"/>
  <c r="S578" i="51" s="1"/>
  <c r="G788" i="52"/>
  <c r="R90" i="51" s="1" a="1"/>
  <c r="R90" i="51" s="1"/>
  <c r="G787" i="52"/>
  <c r="R89" i="51" s="1" a="1"/>
  <c r="R89" i="51" s="1"/>
  <c r="G786" i="52"/>
  <c r="R634" i="51" s="1" a="1"/>
  <c r="R634" i="51" s="1"/>
  <c r="G785" i="52"/>
  <c r="R633" i="51" s="1" a="1"/>
  <c r="R633" i="51" s="1"/>
  <c r="G784" i="52"/>
  <c r="G817" i="52"/>
  <c r="G816" i="52"/>
  <c r="G815" i="52"/>
  <c r="G814" i="52"/>
  <c r="G765" i="52"/>
  <c r="S49" i="51" s="1" a="1"/>
  <c r="S49" i="51" s="1"/>
  <c r="G783" i="52"/>
  <c r="G782" i="52"/>
  <c r="R22" i="51" s="1" a="1"/>
  <c r="R22" i="51" s="1"/>
  <c r="G781" i="52"/>
  <c r="G780" i="52"/>
  <c r="G779" i="52"/>
  <c r="G778" i="52"/>
  <c r="G777" i="52"/>
  <c r="G776" i="52"/>
  <c r="G775" i="52"/>
  <c r="G774" i="52"/>
  <c r="R14" i="51" s="1" a="1"/>
  <c r="R14" i="51" s="1"/>
  <c r="G773" i="52"/>
  <c r="R195" i="51" s="1" a="1"/>
  <c r="R195" i="51" s="1"/>
  <c r="G772" i="52"/>
  <c r="G771" i="52"/>
  <c r="G770" i="52"/>
  <c r="R443" i="51" s="1" a="1"/>
  <c r="R443" i="51" s="1"/>
  <c r="G769" i="52"/>
  <c r="G768" i="52"/>
  <c r="R440" i="51" s="1" a="1"/>
  <c r="R440" i="51" s="1"/>
  <c r="G767" i="52"/>
  <c r="G766" i="52"/>
  <c r="G764" i="52"/>
  <c r="G763" i="52"/>
  <c r="G762" i="52"/>
  <c r="G761" i="52"/>
  <c r="G760" i="52"/>
  <c r="G759" i="52"/>
  <c r="G758" i="52"/>
  <c r="S105" i="51" s="1" a="1"/>
  <c r="S105" i="51" s="1"/>
  <c r="G757" i="52"/>
  <c r="S104" i="51" s="1" a="1"/>
  <c r="S104" i="51" s="1"/>
  <c r="G756" i="52"/>
  <c r="S95" i="51" s="1" a="1"/>
  <c r="S95" i="51" s="1"/>
  <c r="G755" i="52"/>
  <c r="S94" i="51" s="1" a="1"/>
  <c r="S94" i="51" s="1"/>
  <c r="G754" i="52"/>
  <c r="S92" i="51" s="1" a="1"/>
  <c r="S92" i="51" s="1"/>
  <c r="G753" i="52"/>
  <c r="S103" i="51" s="1" a="1"/>
  <c r="S103" i="51" s="1"/>
  <c r="G752" i="52"/>
  <c r="S93" i="51" s="1" a="1"/>
  <c r="S93" i="51" s="1"/>
  <c r="G751" i="52"/>
  <c r="R387" i="51" s="1" a="1"/>
  <c r="R387" i="51" s="1"/>
  <c r="G750" i="52"/>
  <c r="R386" i="51" s="1" a="1"/>
  <c r="R386" i="51" s="1"/>
  <c r="G749" i="52"/>
  <c r="R78" i="51" s="1" a="1"/>
  <c r="R78" i="51" s="1"/>
  <c r="G748" i="52"/>
  <c r="R77" i="51" s="1" a="1"/>
  <c r="R77" i="51" s="1"/>
  <c r="G720" i="52"/>
  <c r="S483" i="51" s="1" a="1"/>
  <c r="S483" i="51" s="1"/>
  <c r="G719" i="52"/>
  <c r="S477" i="51" s="1" a="1"/>
  <c r="S477" i="51" s="1"/>
  <c r="G718" i="52"/>
  <c r="S476" i="51" s="1" a="1"/>
  <c r="S476" i="51" s="1"/>
  <c r="G717" i="52"/>
  <c r="S462" i="51" s="1" a="1"/>
  <c r="S462" i="51" s="1"/>
  <c r="G747" i="52"/>
  <c r="G746" i="52"/>
  <c r="G745" i="52"/>
  <c r="G716" i="52"/>
  <c r="S466" i="51" s="1" a="1"/>
  <c r="S466" i="51" s="1"/>
  <c r="G744" i="52"/>
  <c r="G743" i="52"/>
  <c r="G742" i="52"/>
  <c r="G741" i="52"/>
  <c r="G740" i="52"/>
  <c r="G739" i="52"/>
  <c r="G738" i="52"/>
  <c r="R588" i="51" s="1" a="1"/>
  <c r="R588" i="51" s="1"/>
  <c r="G737" i="52"/>
  <c r="G736" i="52"/>
  <c r="G735" i="52"/>
  <c r="G734" i="52"/>
  <c r="G733" i="52"/>
  <c r="R565" i="51" s="1" a="1"/>
  <c r="R565" i="51" s="1"/>
  <c r="G732" i="52"/>
  <c r="G731" i="52"/>
  <c r="G730" i="52"/>
  <c r="G729" i="52"/>
  <c r="R551" i="51" s="1" a="1"/>
  <c r="R551" i="51" s="1"/>
  <c r="G728" i="52"/>
  <c r="R550" i="51" s="1" a="1"/>
  <c r="R550" i="51" s="1"/>
  <c r="G727" i="52"/>
  <c r="G726" i="52"/>
  <c r="G725" i="52"/>
  <c r="R542" i="51" s="1" a="1"/>
  <c r="R542" i="51" s="1"/>
  <c r="G724" i="52"/>
  <c r="R541" i="51" s="1" a="1"/>
  <c r="R541" i="51" s="1"/>
  <c r="G723" i="52"/>
  <c r="G722" i="52"/>
  <c r="G715" i="52"/>
  <c r="R199" i="51" s="1" a="1"/>
  <c r="R199" i="51" s="1"/>
  <c r="G714" i="52"/>
  <c r="R198" i="51" s="1" a="1"/>
  <c r="R198" i="51" s="1"/>
  <c r="G713" i="52"/>
  <c r="G712" i="52"/>
  <c r="R196" i="51" s="1" a="1"/>
  <c r="R196" i="51" s="1"/>
  <c r="G711" i="52"/>
  <c r="R194" i="51" s="1" a="1"/>
  <c r="R194" i="51" s="1"/>
  <c r="G710" i="52"/>
  <c r="G709" i="52"/>
  <c r="R213" i="51" s="1" a="1"/>
  <c r="R213" i="51" s="1"/>
  <c r="G721" i="52"/>
  <c r="R47" i="51" s="1" a="1"/>
  <c r="R47" i="51" s="1"/>
  <c r="G708" i="52"/>
  <c r="S318" i="51" s="1" a="1"/>
  <c r="S318" i="51" s="1"/>
  <c r="G707" i="52"/>
  <c r="G706" i="52"/>
  <c r="G705" i="52"/>
  <c r="G704" i="52"/>
  <c r="G703" i="52"/>
  <c r="G702" i="52"/>
  <c r="G701" i="52"/>
  <c r="G700" i="52"/>
  <c r="G699" i="52"/>
  <c r="G698" i="52"/>
  <c r="G697" i="52"/>
  <c r="G696" i="52"/>
  <c r="G695" i="52"/>
  <c r="G693" i="52"/>
  <c r="R71" i="51" s="1" a="1"/>
  <c r="R71" i="51" s="1"/>
  <c r="G692" i="52"/>
  <c r="R498" i="51" s="1" a="1"/>
  <c r="R498" i="51" s="1"/>
  <c r="G691" i="52"/>
  <c r="G690" i="52"/>
  <c r="G689" i="52"/>
  <c r="G688" i="52"/>
  <c r="R589" i="51" s="1" a="1"/>
  <c r="R589" i="51" s="1"/>
  <c r="G687" i="52"/>
  <c r="G686" i="52"/>
  <c r="R584" i="51" s="1" a="1"/>
  <c r="R584" i="51" s="1"/>
  <c r="G685" i="52"/>
  <c r="R575" i="51" s="1" a="1"/>
  <c r="R575" i="51" s="1"/>
  <c r="G684" i="52"/>
  <c r="R568" i="51" s="1" a="1"/>
  <c r="R568" i="51" s="1"/>
  <c r="G683" i="52"/>
  <c r="R561" i="51" s="1" a="1"/>
  <c r="R561" i="51" s="1"/>
  <c r="G682" i="52"/>
  <c r="G694" i="52"/>
  <c r="S153" i="51" s="1" a="1"/>
  <c r="S153" i="51" s="1"/>
  <c r="G681" i="52"/>
  <c r="G680" i="52"/>
  <c r="S111" i="51" s="1" a="1"/>
  <c r="S111" i="51" s="1"/>
  <c r="G679" i="52"/>
  <c r="G678" i="52"/>
  <c r="G677" i="52"/>
  <c r="G676" i="52"/>
  <c r="S99" i="51" s="1" a="1"/>
  <c r="S99" i="51" s="1"/>
  <c r="G675" i="52"/>
  <c r="S61" i="51" s="1" a="1"/>
  <c r="S61" i="51" s="1"/>
  <c r="G674" i="52"/>
  <c r="S43" i="51" s="1" a="1"/>
  <c r="S43" i="51" s="1"/>
  <c r="G673" i="52"/>
  <c r="S297" i="51" s="1" a="1"/>
  <c r="S297" i="51" s="1"/>
  <c r="G672" i="52"/>
  <c r="S295" i="51" s="1" a="1"/>
  <c r="S295" i="51" s="1"/>
  <c r="G671" i="52"/>
  <c r="S154" i="51" s="1" a="1"/>
  <c r="S154" i="51" s="1"/>
  <c r="G670" i="52"/>
  <c r="S152" i="51" s="1" a="1"/>
  <c r="S152" i="51" s="1"/>
  <c r="G669" i="52"/>
  <c r="S156" i="51" s="1" a="1"/>
  <c r="S156" i="51" s="1"/>
  <c r="G668" i="52"/>
  <c r="S151" i="51" s="1" a="1"/>
  <c r="S151" i="51" s="1"/>
  <c r="G667" i="52"/>
  <c r="S150" i="51" s="1" a="1"/>
  <c r="S150" i="51" s="1"/>
  <c r="G666" i="52"/>
  <c r="S130" i="51" s="1" a="1"/>
  <c r="S130" i="51" s="1"/>
  <c r="G665" i="52"/>
  <c r="S125" i="51" s="1" a="1"/>
  <c r="S125" i="51" s="1"/>
  <c r="G664" i="52"/>
  <c r="S124" i="51" s="1" a="1"/>
  <c r="S124" i="51" s="1"/>
  <c r="G663" i="52"/>
  <c r="S120" i="51" s="1" a="1"/>
  <c r="S120" i="51" s="1"/>
  <c r="G662" i="52"/>
  <c r="S119" i="51" s="1" a="1"/>
  <c r="S119" i="51" s="1"/>
  <c r="G661" i="52"/>
  <c r="S118" i="51" s="1" a="1"/>
  <c r="S118" i="51" s="1"/>
  <c r="G660" i="52"/>
  <c r="R256" i="51" s="1" a="1"/>
  <c r="R256" i="51" s="1"/>
  <c r="G659" i="52"/>
  <c r="G658" i="52"/>
  <c r="G657" i="52"/>
  <c r="G656" i="52"/>
  <c r="G655" i="52"/>
  <c r="G654" i="52"/>
  <c r="G653" i="52"/>
  <c r="G652" i="52"/>
  <c r="G651" i="52"/>
  <c r="G650" i="52"/>
  <c r="G649" i="52"/>
  <c r="S406" i="51" s="1" a="1"/>
  <c r="S406" i="51" s="1"/>
  <c r="G648" i="52"/>
  <c r="S405" i="51" s="1" a="1"/>
  <c r="S405" i="51" s="1"/>
  <c r="G647" i="52"/>
  <c r="S441" i="51" s="1" a="1"/>
  <c r="S441" i="51" s="1"/>
  <c r="G646" i="52"/>
  <c r="S435" i="51" s="1" a="1"/>
  <c r="S435" i="51" s="1"/>
  <c r="G645" i="52"/>
  <c r="S431" i="51" s="1" a="1"/>
  <c r="S431" i="51" s="1"/>
  <c r="G644" i="52"/>
  <c r="S413" i="51" s="1" a="1"/>
  <c r="S413" i="51" s="1"/>
  <c r="G643" i="52"/>
  <c r="G642" i="52"/>
  <c r="G641" i="52"/>
  <c r="G640" i="52"/>
  <c r="G639" i="52"/>
  <c r="G638" i="52"/>
  <c r="G637" i="52"/>
  <c r="G636" i="52"/>
  <c r="G635" i="52"/>
  <c r="G634" i="52"/>
  <c r="G633" i="52"/>
  <c r="G632" i="52"/>
  <c r="R600" i="51" s="1" a="1"/>
  <c r="R600" i="51" s="1"/>
  <c r="G631" i="52"/>
  <c r="G630" i="52"/>
  <c r="R602" i="51" s="1" a="1"/>
  <c r="R602" i="51" s="1"/>
  <c r="G629" i="52"/>
  <c r="R601" i="51" s="1" a="1"/>
  <c r="R601" i="51" s="1"/>
  <c r="G628" i="52"/>
  <c r="G627" i="52"/>
  <c r="G626" i="52"/>
  <c r="G625" i="52"/>
  <c r="G624" i="52"/>
  <c r="R586" i="51" s="1" a="1"/>
  <c r="R586" i="51" s="1"/>
  <c r="G623" i="52"/>
  <c r="R581" i="51" s="1" a="1"/>
  <c r="R581" i="51" s="1"/>
  <c r="G622" i="52"/>
  <c r="R580" i="51" s="1" a="1"/>
  <c r="R580" i="51" s="1"/>
  <c r="G621" i="52"/>
  <c r="G620" i="52"/>
  <c r="R577" i="51" s="1" a="1"/>
  <c r="R577" i="51" s="1"/>
  <c r="G619" i="52"/>
  <c r="R572" i="51" s="1" a="1"/>
  <c r="R572" i="51" s="1"/>
  <c r="G618" i="52"/>
  <c r="G617" i="52"/>
  <c r="G591" i="52"/>
  <c r="G590" i="52"/>
  <c r="R80" i="51" s="1" a="1"/>
  <c r="R80" i="51" s="1"/>
  <c r="G589" i="52"/>
  <c r="R76" i="51" s="1" a="1"/>
  <c r="R76" i="51" s="1"/>
  <c r="G616" i="52"/>
  <c r="G615" i="52"/>
  <c r="G614" i="52"/>
  <c r="G613" i="52"/>
  <c r="G612" i="52"/>
  <c r="G611" i="52"/>
  <c r="G610" i="52"/>
  <c r="G609" i="52"/>
  <c r="G608" i="52"/>
  <c r="R278" i="51" s="1" a="1"/>
  <c r="R278" i="51" s="1"/>
  <c r="G607" i="52"/>
  <c r="G606" i="52"/>
  <c r="R276" i="51" s="1" a="1"/>
  <c r="R276" i="51" s="1"/>
  <c r="G605" i="52"/>
  <c r="G604" i="52"/>
  <c r="G602" i="52"/>
  <c r="S344" i="51" s="1" a="1"/>
  <c r="S344" i="51" s="1"/>
  <c r="G601" i="52"/>
  <c r="S362" i="51" s="1" a="1"/>
  <c r="S362" i="51" s="1"/>
  <c r="G600" i="52"/>
  <c r="S359" i="51" s="1" a="1"/>
  <c r="S359" i="51" s="1"/>
  <c r="G599" i="52"/>
  <c r="S350" i="51" s="1" a="1"/>
  <c r="S350" i="51" s="1"/>
  <c r="G588" i="52"/>
  <c r="G587" i="52"/>
  <c r="G586" i="52"/>
  <c r="G598" i="52"/>
  <c r="S13" i="51" s="1" a="1"/>
  <c r="S13" i="51" s="1"/>
  <c r="G597" i="52"/>
  <c r="S12" i="51" s="1" a="1"/>
  <c r="S12" i="51" s="1"/>
  <c r="G596" i="52"/>
  <c r="S10" i="51" s="1" a="1"/>
  <c r="S10" i="51" s="1"/>
  <c r="G595" i="52"/>
  <c r="S9" i="51" s="1" a="1"/>
  <c r="S9" i="51" s="1"/>
  <c r="G594" i="52"/>
  <c r="S300" i="51" s="1" a="1"/>
  <c r="S300" i="51" s="1"/>
  <c r="G593" i="52"/>
  <c r="S299" i="51" s="1" a="1"/>
  <c r="S299" i="51" s="1"/>
  <c r="G592" i="52"/>
  <c r="S298" i="51" s="1" a="1"/>
  <c r="S298" i="51" s="1"/>
  <c r="G585" i="52"/>
  <c r="G584" i="52"/>
  <c r="G583" i="52"/>
  <c r="R177" i="51" s="1" a="1"/>
  <c r="R177" i="51" s="1"/>
  <c r="G582" i="52"/>
  <c r="R168" i="51" s="1" a="1"/>
  <c r="R168" i="51" s="1"/>
  <c r="G575" i="52"/>
  <c r="G574" i="52"/>
  <c r="G573" i="52"/>
  <c r="G581" i="52"/>
  <c r="S322" i="51" s="1" a="1"/>
  <c r="S322" i="51" s="1"/>
  <c r="G580" i="52"/>
  <c r="S331" i="51" s="1" a="1"/>
  <c r="S331" i="51" s="1"/>
  <c r="G572" i="52"/>
  <c r="G571" i="52"/>
  <c r="G570" i="52"/>
  <c r="G569" i="52"/>
  <c r="G568" i="52"/>
  <c r="R231" i="51" s="1" a="1"/>
  <c r="R231" i="51" s="1"/>
  <c r="G567" i="52"/>
  <c r="G579" i="52"/>
  <c r="S129" i="51" s="1" a="1"/>
  <c r="S129" i="51" s="1"/>
  <c r="G578" i="52"/>
  <c r="S128" i="51" s="1" a="1"/>
  <c r="S128" i="51" s="1"/>
  <c r="G577" i="52"/>
  <c r="S127" i="51" s="1" a="1"/>
  <c r="S127" i="51" s="1"/>
  <c r="G576" i="52"/>
  <c r="S126" i="51" s="1" a="1"/>
  <c r="S126" i="51" s="1"/>
  <c r="G566" i="52"/>
  <c r="G547" i="52"/>
  <c r="S123" i="51" s="1" a="1"/>
  <c r="S123" i="51" s="1"/>
  <c r="G565" i="52"/>
  <c r="G564" i="52"/>
  <c r="G563" i="52"/>
  <c r="G562" i="52"/>
  <c r="G561" i="52"/>
  <c r="R84" i="51" s="1" a="1"/>
  <c r="R84" i="51" s="1"/>
  <c r="G560" i="52"/>
  <c r="R82" i="51" s="1" a="1"/>
  <c r="R82" i="51" s="1"/>
  <c r="G546" i="52"/>
  <c r="S307" i="51" s="1" a="1"/>
  <c r="S307" i="51" s="1"/>
  <c r="G559" i="52"/>
  <c r="G558" i="52"/>
  <c r="R79" i="51" s="1" a="1"/>
  <c r="R79" i="51" s="1"/>
  <c r="G557" i="52"/>
  <c r="R75" i="51" s="1" a="1"/>
  <c r="R75" i="51" s="1"/>
  <c r="G556" i="52"/>
  <c r="G545" i="52"/>
  <c r="S301" i="51" s="1" a="1"/>
  <c r="S301" i="51" s="1"/>
  <c r="G603" i="52"/>
  <c r="R389" i="51" s="1" a="1"/>
  <c r="R389" i="51" s="1"/>
  <c r="G555" i="52"/>
  <c r="G554" i="52"/>
  <c r="G553" i="52"/>
  <c r="G552" i="52"/>
  <c r="G551" i="52"/>
  <c r="G550" i="52"/>
  <c r="R211" i="51" s="1" a="1"/>
  <c r="R211" i="51" s="1"/>
  <c r="G549" i="52"/>
  <c r="G548" i="52"/>
  <c r="R212" i="51" s="1" a="1"/>
  <c r="R212" i="51" s="1"/>
  <c r="G532" i="52"/>
  <c r="G531" i="52"/>
  <c r="G530" i="52"/>
  <c r="G529" i="52"/>
  <c r="G528" i="52"/>
  <c r="G527" i="52"/>
  <c r="G526" i="52"/>
  <c r="G525" i="52"/>
  <c r="G524" i="52"/>
  <c r="R279" i="51" s="1" a="1"/>
  <c r="R279" i="51" s="1"/>
  <c r="G523" i="52"/>
  <c r="R274" i="51" s="1" a="1"/>
  <c r="R274" i="51" s="1"/>
  <c r="G522" i="52"/>
  <c r="R273" i="51" s="1" a="1"/>
  <c r="R273" i="51" s="1"/>
  <c r="G521" i="52"/>
  <c r="R272" i="51" s="1" a="1"/>
  <c r="R272" i="51" s="1"/>
  <c r="G544" i="52"/>
  <c r="S499" i="51" s="1" a="1"/>
  <c r="S499" i="51" s="1"/>
  <c r="G543" i="52"/>
  <c r="S471" i="51" s="1" a="1"/>
  <c r="S471" i="51" s="1"/>
  <c r="G542" i="52"/>
  <c r="S470" i="51" s="1" a="1"/>
  <c r="S470" i="51" s="1"/>
  <c r="G541" i="52"/>
  <c r="S469" i="51" s="1" a="1"/>
  <c r="S469" i="51" s="1"/>
  <c r="G540" i="52"/>
  <c r="S468" i="51" s="1" a="1"/>
  <c r="S468" i="51" s="1"/>
  <c r="G539" i="52"/>
  <c r="S461" i="51" s="1" a="1"/>
  <c r="S461" i="51" s="1"/>
  <c r="G520" i="52"/>
  <c r="G519" i="52"/>
  <c r="G518" i="52"/>
  <c r="R502" i="51" s="1" a="1"/>
  <c r="R502" i="51" s="1"/>
  <c r="G517" i="52"/>
  <c r="G516" i="52"/>
  <c r="G515" i="52"/>
  <c r="R490" i="51" s="1" a="1"/>
  <c r="R490" i="51" s="1"/>
  <c r="G514" i="52"/>
  <c r="R488" i="51" s="1" a="1"/>
  <c r="R488" i="51" s="1"/>
  <c r="G513" i="52"/>
  <c r="G512" i="52"/>
  <c r="R486" i="51" s="1" a="1"/>
  <c r="R486" i="51" s="1"/>
  <c r="G511" i="52"/>
  <c r="R485" i="51" s="1" a="1"/>
  <c r="R485" i="51" s="1"/>
  <c r="G510" i="52"/>
  <c r="G509" i="52"/>
  <c r="G508" i="52"/>
  <c r="G538" i="52"/>
  <c r="S316" i="51" s="1" a="1"/>
  <c r="S316" i="51" s="1"/>
  <c r="G537" i="52"/>
  <c r="S315" i="51" s="1" a="1"/>
  <c r="S315" i="51" s="1"/>
  <c r="G536" i="52"/>
  <c r="S317" i="51" s="1" a="1"/>
  <c r="S317" i="51" s="1"/>
  <c r="G507" i="52"/>
  <c r="R107" i="51" s="1" a="1"/>
  <c r="R107" i="51" s="1"/>
  <c r="G506" i="52"/>
  <c r="R97" i="51" s="1" a="1"/>
  <c r="R97" i="51" s="1"/>
  <c r="G505" i="52"/>
  <c r="R385" i="51" s="1" a="1"/>
  <c r="R385" i="51" s="1"/>
  <c r="G504" i="52"/>
  <c r="G535" i="52"/>
  <c r="S326" i="51" s="1" a="1"/>
  <c r="S326" i="51" s="1"/>
  <c r="G534" i="52"/>
  <c r="S308" i="51" s="1" a="1"/>
  <c r="S308" i="51" s="1"/>
  <c r="G533" i="52"/>
  <c r="S306" i="51" s="1" a="1"/>
  <c r="S306" i="51" s="1"/>
  <c r="G502" i="52"/>
  <c r="G493" i="52"/>
  <c r="S528" i="51" s="1" a="1"/>
  <c r="S528" i="51" s="1"/>
  <c r="G492" i="52"/>
  <c r="S527" i="51" s="1" a="1"/>
  <c r="S527" i="51" s="1"/>
  <c r="G501" i="52"/>
  <c r="S72" i="51" s="1" a="1"/>
  <c r="S72" i="51" s="1"/>
  <c r="G500" i="52"/>
  <c r="S51" i="51" s="1" a="1"/>
  <c r="S51" i="51" s="1"/>
  <c r="G499" i="52"/>
  <c r="S50" i="51" s="1" a="1"/>
  <c r="S50" i="51" s="1"/>
  <c r="G491" i="52"/>
  <c r="S60" i="51" s="1" a="1"/>
  <c r="S60" i="51" s="1"/>
  <c r="G490" i="52"/>
  <c r="S42" i="51" s="1" a="1"/>
  <c r="S42" i="51" s="1"/>
  <c r="G489" i="52"/>
  <c r="S41" i="51" s="1" a="1"/>
  <c r="S41" i="51" s="1"/>
  <c r="G498" i="52"/>
  <c r="R281" i="51" s="1" a="1"/>
  <c r="R281" i="51" s="1"/>
  <c r="G497" i="52"/>
  <c r="R280" i="51" s="1" a="1"/>
  <c r="R280" i="51" s="1"/>
  <c r="G496" i="52"/>
  <c r="G495" i="52"/>
  <c r="G494" i="52"/>
  <c r="G483" i="52"/>
  <c r="G488" i="52"/>
  <c r="G487" i="52"/>
  <c r="G482" i="52"/>
  <c r="S45" i="51" s="1" a="1"/>
  <c r="S45" i="51" s="1"/>
  <c r="G481" i="52"/>
  <c r="S40" i="51" s="1" a="1"/>
  <c r="S40" i="51" s="1"/>
  <c r="G480" i="52"/>
  <c r="S39" i="51" s="1" a="1"/>
  <c r="S39" i="51" s="1"/>
  <c r="G479" i="52"/>
  <c r="S38" i="51" s="1" a="1"/>
  <c r="S38" i="51" s="1"/>
  <c r="G461" i="52"/>
  <c r="G460" i="52"/>
  <c r="G459" i="52"/>
  <c r="G458" i="52"/>
  <c r="G457" i="52"/>
  <c r="G478" i="52"/>
  <c r="S352" i="51" s="1" a="1"/>
  <c r="S352" i="51" s="1"/>
  <c r="G477" i="52"/>
  <c r="S351" i="51" s="1" a="1"/>
  <c r="S351" i="51" s="1"/>
  <c r="G476" i="52"/>
  <c r="S339" i="51" s="1" a="1"/>
  <c r="S339" i="51" s="1"/>
  <c r="G456" i="52"/>
  <c r="G455" i="52"/>
  <c r="G454" i="52"/>
  <c r="G475" i="52"/>
  <c r="S479" i="51" s="1" a="1"/>
  <c r="S479" i="51" s="1"/>
  <c r="G474" i="52"/>
  <c r="S458" i="51" s="1" a="1"/>
  <c r="S458" i="51" s="1"/>
  <c r="G453" i="52"/>
  <c r="R229" i="51" s="1" a="1"/>
  <c r="R229" i="51" s="1"/>
  <c r="G452" i="52"/>
  <c r="R228" i="51" s="1" a="1"/>
  <c r="R228" i="51" s="1"/>
  <c r="G451" i="52"/>
  <c r="R227" i="51" s="1" a="1"/>
  <c r="R227" i="51" s="1"/>
  <c r="G450" i="52"/>
  <c r="G449" i="52"/>
  <c r="G448" i="52"/>
  <c r="G447" i="52"/>
  <c r="R223" i="51" s="1" a="1"/>
  <c r="R223" i="51" s="1"/>
  <c r="G446" i="52"/>
  <c r="G445" i="52"/>
  <c r="R191" i="51" s="1" a="1"/>
  <c r="R191" i="51" s="1"/>
  <c r="G444" i="52"/>
  <c r="G443" i="52"/>
  <c r="G442" i="52"/>
  <c r="G441" i="52"/>
  <c r="R187" i="51" s="1" a="1"/>
  <c r="R187" i="51" s="1"/>
  <c r="G440" i="52"/>
  <c r="R186" i="51" s="1" a="1"/>
  <c r="R186" i="51" s="1"/>
  <c r="G439" i="52"/>
  <c r="R185" i="51" s="1" a="1"/>
  <c r="R185" i="51" s="1"/>
  <c r="G438" i="52"/>
  <c r="R184" i="51" s="1" a="1"/>
  <c r="R184" i="51" s="1"/>
  <c r="G473" i="52"/>
  <c r="S54" i="51" s="1" a="1"/>
  <c r="S54" i="51" s="1"/>
  <c r="G472" i="52"/>
  <c r="S53" i="51" s="1" a="1"/>
  <c r="S53" i="51" s="1"/>
  <c r="G471" i="52"/>
  <c r="S69" i="51" s="1" a="1"/>
  <c r="S69" i="51" s="1"/>
  <c r="G437" i="52"/>
  <c r="G436" i="52"/>
  <c r="R267" i="51" s="1" a="1"/>
  <c r="R267" i="51" s="1"/>
  <c r="G435" i="52"/>
  <c r="R266" i="51" s="1" a="1"/>
  <c r="R266" i="51" s="1"/>
  <c r="G470" i="52"/>
  <c r="S374" i="51" s="1" a="1"/>
  <c r="S374" i="51" s="1"/>
  <c r="G469" i="52"/>
  <c r="S373" i="51" s="1" a="1"/>
  <c r="S373" i="51" s="1"/>
  <c r="G468" i="52"/>
  <c r="S372" i="51" s="1" a="1"/>
  <c r="S372" i="51" s="1"/>
  <c r="G467" i="52"/>
  <c r="S371" i="51" s="1" a="1"/>
  <c r="S371" i="51" s="1"/>
  <c r="G466" i="52"/>
  <c r="S370" i="51" s="1" a="1"/>
  <c r="S370" i="51" s="1"/>
  <c r="G434" i="52"/>
  <c r="G433" i="52"/>
  <c r="G432" i="52"/>
  <c r="G486" i="52"/>
  <c r="G485" i="52"/>
  <c r="G484" i="52"/>
  <c r="G465" i="52"/>
  <c r="S67" i="51" s="1" a="1"/>
  <c r="S67" i="51" s="1"/>
  <c r="G464" i="52"/>
  <c r="S66" i="51" s="1" a="1"/>
  <c r="S66" i="51" s="1"/>
  <c r="G463" i="52"/>
  <c r="S58" i="51" s="1" a="1"/>
  <c r="S58" i="51" s="1"/>
  <c r="G462" i="52"/>
  <c r="S57" i="51" s="1" a="1"/>
  <c r="S57" i="51" s="1"/>
  <c r="G431" i="52"/>
  <c r="R590" i="51" s="1" a="1"/>
  <c r="R590" i="51" s="1"/>
  <c r="G430" i="52"/>
  <c r="R582" i="51" s="1" a="1"/>
  <c r="R582" i="51" s="1"/>
  <c r="G429" i="52"/>
  <c r="G428" i="52"/>
  <c r="G427" i="52"/>
  <c r="R254" i="51" s="1" a="1"/>
  <c r="R254" i="51" s="1"/>
  <c r="G426" i="52"/>
  <c r="R253" i="51" s="1" a="1"/>
  <c r="R253" i="51" s="1"/>
  <c r="G425" i="52"/>
  <c r="G424" i="52"/>
  <c r="G423" i="52"/>
  <c r="G422" i="52"/>
  <c r="G421" i="52"/>
  <c r="G420" i="52"/>
  <c r="G419" i="52"/>
  <c r="G418" i="52"/>
  <c r="G417" i="52"/>
  <c r="G416" i="52"/>
  <c r="G415" i="52"/>
  <c r="G414" i="52"/>
  <c r="G364" i="52"/>
  <c r="S36" i="51" s="1" a="1"/>
  <c r="S36" i="51" s="1"/>
  <c r="G403" i="52"/>
  <c r="G402" i="52"/>
  <c r="G401" i="52"/>
  <c r="G400" i="52"/>
  <c r="G399" i="52"/>
  <c r="G369" i="52"/>
  <c r="S506" i="51" s="1" a="1"/>
  <c r="S506" i="51" s="1"/>
  <c r="G368" i="52"/>
  <c r="S478" i="51" s="1" a="1"/>
  <c r="S478" i="51" s="1"/>
  <c r="G367" i="52"/>
  <c r="S465" i="51" s="1" a="1"/>
  <c r="S465" i="51" s="1"/>
  <c r="G398" i="52"/>
  <c r="R159" i="51" s="1" a="1"/>
  <c r="R159" i="51" s="1"/>
  <c r="G397" i="52"/>
  <c r="G396" i="52"/>
  <c r="G395" i="52"/>
  <c r="G394" i="52"/>
  <c r="R562" i="51" s="1" a="1"/>
  <c r="R562" i="51" s="1"/>
  <c r="G393" i="52"/>
  <c r="G413" i="52"/>
  <c r="G412" i="52"/>
  <c r="G411" i="52"/>
  <c r="R247" i="51" s="1" a="1"/>
  <c r="R247" i="51" s="1"/>
  <c r="G410" i="52"/>
  <c r="R305" i="51" s="1" a="1"/>
  <c r="R305" i="51" s="1"/>
  <c r="G409" i="52"/>
  <c r="G408" i="52"/>
  <c r="G407" i="52"/>
  <c r="G406" i="52"/>
  <c r="G405" i="52"/>
  <c r="G404" i="52"/>
  <c r="G392" i="52"/>
  <c r="G391" i="52"/>
  <c r="G390" i="52"/>
  <c r="G366" i="52"/>
  <c r="S56" i="51" s="1" a="1"/>
  <c r="S56" i="51" s="1"/>
  <c r="G365" i="52"/>
  <c r="S55" i="51" s="1" a="1"/>
  <c r="S55" i="51" s="1"/>
  <c r="G389" i="52"/>
  <c r="G388" i="52"/>
  <c r="G387" i="52"/>
  <c r="G386" i="52"/>
  <c r="G385" i="52"/>
  <c r="G384" i="52"/>
  <c r="G383" i="52"/>
  <c r="G382" i="52"/>
  <c r="R208" i="51" s="1" a="1"/>
  <c r="R208" i="51" s="1"/>
  <c r="G381" i="52"/>
  <c r="R207" i="51" s="1" a="1"/>
  <c r="R207" i="51" s="1"/>
  <c r="G380" i="52"/>
  <c r="S64" i="51" s="1" a="1"/>
  <c r="S64" i="51" s="1"/>
  <c r="G379" i="52"/>
  <c r="R160" i="51" s="1" a="1"/>
  <c r="R160" i="51" s="1"/>
  <c r="G378" i="52"/>
  <c r="G377" i="52"/>
  <c r="R153" i="51" s="1" a="1"/>
  <c r="R153" i="51" s="1"/>
  <c r="G376" i="52"/>
  <c r="R26" i="51" s="1" a="1"/>
  <c r="R26" i="51" s="1"/>
  <c r="G375" i="52"/>
  <c r="G374" i="52"/>
  <c r="G373" i="52"/>
  <c r="G372" i="52"/>
  <c r="R10" i="51" s="1" a="1"/>
  <c r="R10" i="51" s="1"/>
  <c r="G371" i="52"/>
  <c r="R9" i="51" s="1" a="1"/>
  <c r="R9" i="51" s="1"/>
  <c r="G370" i="52"/>
  <c r="R12" i="51" s="1" a="1"/>
  <c r="R12" i="51" s="1"/>
  <c r="G363" i="52"/>
  <c r="S404" i="51" s="1" a="1"/>
  <c r="S404" i="51" s="1"/>
  <c r="G362" i="52"/>
  <c r="G361" i="52"/>
  <c r="G360" i="52"/>
  <c r="R483" i="51" s="1" a="1"/>
  <c r="R483" i="51" s="1"/>
  <c r="G359" i="52"/>
  <c r="R182" i="51" s="1" a="1"/>
  <c r="R182" i="51" s="1"/>
  <c r="G358" i="52"/>
  <c r="G357" i="52"/>
  <c r="S68" i="51" s="1" a="1"/>
  <c r="S68" i="51" s="1"/>
  <c r="G356" i="52"/>
  <c r="S63" i="51" s="1" a="1"/>
  <c r="S63" i="51" s="1"/>
  <c r="G355" i="52"/>
  <c r="S62" i="51" s="1" a="1"/>
  <c r="S62" i="51" s="1"/>
  <c r="G354" i="52"/>
  <c r="S59" i="51" s="1" a="1"/>
  <c r="S59" i="51" s="1"/>
  <c r="G353" i="52"/>
  <c r="S410" i="51" s="1" a="1"/>
  <c r="S410" i="51" s="1"/>
  <c r="G352" i="52"/>
  <c r="R250" i="51" s="1" a="1"/>
  <c r="R250" i="51" s="1"/>
  <c r="G351" i="52"/>
  <c r="R249" i="51" s="1" a="1"/>
  <c r="R249" i="51" s="1"/>
  <c r="G350" i="52"/>
  <c r="G349" i="52"/>
  <c r="R245" i="51" s="1" a="1"/>
  <c r="R245" i="51" s="1"/>
  <c r="G348" i="52"/>
  <c r="R301" i="51" s="1" a="1"/>
  <c r="R301" i="51" s="1"/>
  <c r="G347" i="52"/>
  <c r="G346" i="52"/>
  <c r="G345" i="52"/>
  <c r="G503" i="52"/>
  <c r="G344" i="52"/>
  <c r="G343" i="52"/>
  <c r="G342" i="52"/>
  <c r="G341" i="52"/>
  <c r="G340" i="52"/>
  <c r="G339" i="52"/>
  <c r="G335" i="52"/>
  <c r="S121" i="51" s="1" a="1"/>
  <c r="S121" i="51" s="1"/>
  <c r="G338" i="52"/>
  <c r="R131" i="51" s="1" a="1"/>
  <c r="R131" i="51" s="1"/>
  <c r="G337" i="52"/>
  <c r="G334" i="52"/>
  <c r="S296" i="51" s="1" a="1"/>
  <c r="S296" i="51" s="1"/>
  <c r="G336" i="52"/>
  <c r="G333" i="52"/>
  <c r="G332" i="52"/>
  <c r="G331" i="52"/>
  <c r="G330" i="52"/>
  <c r="G329" i="52"/>
  <c r="R139" i="51" s="1" a="1"/>
  <c r="R139" i="51" s="1"/>
  <c r="G328" i="52"/>
  <c r="G327" i="52"/>
  <c r="G326" i="52"/>
  <c r="G325" i="52"/>
  <c r="R106" i="51" s="1" a="1"/>
  <c r="R106" i="51" s="1"/>
  <c r="G324" i="52"/>
  <c r="R105" i="51" s="1" a="1"/>
  <c r="R105" i="51" s="1"/>
  <c r="G323" i="52"/>
  <c r="G322" i="52"/>
  <c r="G321" i="52"/>
  <c r="G320" i="52"/>
  <c r="G319" i="52"/>
  <c r="G318" i="52"/>
  <c r="R146" i="51" s="1" a="1"/>
  <c r="R146" i="51" s="1"/>
  <c r="G317" i="52"/>
  <c r="R142" i="51" s="1" a="1"/>
  <c r="R142" i="51" s="1"/>
  <c r="G316" i="52"/>
  <c r="R138" i="51" s="1" a="1"/>
  <c r="R138" i="51" s="1"/>
  <c r="G315" i="52"/>
  <c r="S70" i="51" s="1" a="1"/>
  <c r="S70" i="51" s="1"/>
  <c r="G314" i="52"/>
  <c r="G313" i="52"/>
  <c r="G312" i="52"/>
  <c r="R101" i="51" s="1" a="1"/>
  <c r="R101" i="51" s="1"/>
  <c r="G311" i="52"/>
  <c r="R93" i="51" s="1" a="1"/>
  <c r="R93" i="51" s="1"/>
  <c r="G310" i="52"/>
  <c r="G309" i="52"/>
  <c r="G308" i="52"/>
  <c r="R458" i="51" s="1" a="1"/>
  <c r="R458" i="51" s="1"/>
  <c r="G307" i="52"/>
  <c r="G306" i="52"/>
  <c r="G305" i="52"/>
  <c r="G304" i="52"/>
  <c r="G303" i="52"/>
  <c r="G302" i="52"/>
  <c r="R49" i="51" s="1" a="1"/>
  <c r="R49" i="51" s="1"/>
  <c r="G301" i="52"/>
  <c r="G300" i="52"/>
  <c r="G299" i="52"/>
  <c r="G298" i="52"/>
  <c r="G297" i="52"/>
  <c r="G296" i="52"/>
  <c r="G295" i="52"/>
  <c r="G294" i="52"/>
  <c r="G293" i="52"/>
  <c r="G292" i="52"/>
  <c r="R306" i="51" s="1" a="1"/>
  <c r="R306" i="51" s="1"/>
  <c r="G282" i="52"/>
  <c r="G281" i="52"/>
  <c r="G280" i="52"/>
  <c r="R137" i="51" s="1" a="1"/>
  <c r="R137" i="51" s="1"/>
  <c r="G279" i="52"/>
  <c r="R136" i="51" s="1" a="1"/>
  <c r="R136" i="51" s="1"/>
  <c r="G291" i="52"/>
  <c r="S383" i="51" s="1" a="1"/>
  <c r="S383" i="51" s="1"/>
  <c r="G290" i="52"/>
  <c r="S382" i="51" s="1" a="1"/>
  <c r="S382" i="51" s="1"/>
  <c r="G289" i="52"/>
  <c r="S381" i="51" s="1" a="1"/>
  <c r="S381" i="51" s="1"/>
  <c r="G288" i="52"/>
  <c r="S380" i="51" s="1" a="1"/>
  <c r="S380" i="51" s="1"/>
  <c r="G287" i="52"/>
  <c r="S379" i="51" s="1" a="1"/>
  <c r="S379" i="51" s="1"/>
  <c r="G286" i="52"/>
  <c r="S378" i="51" s="1" a="1"/>
  <c r="S378" i="51" s="1"/>
  <c r="G285" i="52"/>
  <c r="S377" i="51" s="1" a="1"/>
  <c r="S377" i="51" s="1"/>
  <c r="G284" i="52"/>
  <c r="S376" i="51" s="1" a="1"/>
  <c r="S376" i="51" s="1"/>
  <c r="G283" i="52"/>
  <c r="S375" i="51" s="1" a="1"/>
  <c r="S375" i="51" s="1"/>
  <c r="G278" i="52"/>
  <c r="G277" i="52"/>
  <c r="G276" i="52"/>
  <c r="G275" i="52"/>
  <c r="R175" i="51" s="1" a="1"/>
  <c r="R175" i="51" s="1"/>
  <c r="G274" i="52"/>
  <c r="G273" i="52"/>
  <c r="R166" i="51" s="1" a="1"/>
  <c r="R166" i="51" s="1"/>
  <c r="G272" i="52"/>
  <c r="G271" i="52"/>
  <c r="R141" i="51" s="1" a="1"/>
  <c r="R141" i="51" s="1"/>
  <c r="G270" i="52"/>
  <c r="R140" i="51" s="1" a="1"/>
  <c r="R140" i="51" s="1"/>
  <c r="G269" i="52"/>
  <c r="R145" i="51" s="1" a="1"/>
  <c r="R145" i="51" s="1"/>
  <c r="G268" i="52"/>
  <c r="G267" i="52"/>
  <c r="G266" i="52"/>
  <c r="G265" i="52"/>
  <c r="G264" i="52"/>
  <c r="G263" i="52"/>
  <c r="R220" i="51" s="1" a="1"/>
  <c r="R220" i="51" s="1"/>
  <c r="G262" i="52"/>
  <c r="R219" i="51" s="1" a="1"/>
  <c r="R219" i="51" s="1"/>
  <c r="G261" i="52"/>
  <c r="G260" i="52"/>
  <c r="G259" i="52"/>
  <c r="G258" i="52"/>
  <c r="G257" i="52"/>
  <c r="G256" i="52"/>
  <c r="G255" i="52"/>
  <c r="G254" i="52"/>
  <c r="G253" i="52"/>
  <c r="G252" i="52"/>
  <c r="G251" i="52"/>
  <c r="G250" i="52"/>
  <c r="G249" i="52"/>
  <c r="G248" i="52"/>
  <c r="G247" i="52"/>
  <c r="G246" i="52"/>
  <c r="R466" i="51" s="1" a="1"/>
  <c r="R466" i="51" s="1"/>
  <c r="G245" i="52"/>
  <c r="R465" i="51" s="1" a="1"/>
  <c r="R465" i="51" s="1"/>
  <c r="G244" i="52"/>
  <c r="G243" i="52"/>
  <c r="G242" i="52"/>
  <c r="S65" i="51" s="1" a="1"/>
  <c r="S65" i="51" s="1"/>
  <c r="G241" i="52"/>
  <c r="G240" i="52"/>
  <c r="G239" i="52"/>
  <c r="G238" i="52"/>
  <c r="R134" i="51" s="1" a="1"/>
  <c r="R134" i="51" s="1"/>
  <c r="G237" i="52"/>
  <c r="R133" i="51" s="1" a="1"/>
  <c r="R133" i="51" s="1"/>
  <c r="G236" i="52"/>
  <c r="R132" i="51" s="1" a="1"/>
  <c r="R132" i="51" s="1"/>
  <c r="G235" i="52"/>
  <c r="R438" i="51" s="1" a="1"/>
  <c r="R438" i="51" s="1"/>
  <c r="G234" i="52"/>
  <c r="G233" i="52"/>
  <c r="G232" i="52"/>
  <c r="R450" i="51" s="1" a="1"/>
  <c r="R450" i="51" s="1"/>
  <c r="G231" i="52"/>
  <c r="R420" i="51" s="1" a="1"/>
  <c r="R420" i="51" s="1"/>
  <c r="G230" i="52"/>
  <c r="R415" i="51" s="1" a="1"/>
  <c r="R415" i="51" s="1"/>
  <c r="G229" i="52"/>
  <c r="R414" i="51" s="1" a="1"/>
  <c r="R414" i="51" s="1"/>
  <c r="G228" i="52"/>
  <c r="G227" i="52"/>
  <c r="R412" i="51" s="1" a="1"/>
  <c r="R412" i="51" s="1"/>
  <c r="G226" i="52"/>
  <c r="G225" i="52"/>
  <c r="G224" i="52"/>
  <c r="G223" i="52"/>
  <c r="G222" i="52"/>
  <c r="R506" i="51" s="1" a="1"/>
  <c r="R506" i="51" s="1"/>
  <c r="G221" i="52"/>
  <c r="G220" i="52"/>
  <c r="G219" i="52"/>
  <c r="G218" i="52"/>
  <c r="G217" i="52"/>
  <c r="G216" i="52"/>
  <c r="G215" i="52"/>
  <c r="G214" i="52"/>
  <c r="G213" i="52"/>
  <c r="R434" i="51" s="1" a="1"/>
  <c r="R434" i="51" s="1"/>
  <c r="G212" i="52"/>
  <c r="G211" i="52"/>
  <c r="G210" i="52"/>
  <c r="G209" i="52"/>
  <c r="R422" i="51" s="1" a="1"/>
  <c r="R422" i="51" s="1"/>
  <c r="G208" i="52"/>
  <c r="G207" i="52"/>
  <c r="R359" i="51" s="1" a="1"/>
  <c r="R359" i="51" s="1"/>
  <c r="G206" i="52"/>
  <c r="R347" i="51" s="1" a="1"/>
  <c r="R347" i="51" s="1"/>
  <c r="G205" i="52"/>
  <c r="R362" i="51" s="1" a="1"/>
  <c r="R362" i="51" s="1"/>
  <c r="G204" i="52"/>
  <c r="G203" i="52"/>
  <c r="R360" i="51" s="1" a="1"/>
  <c r="R360" i="51" s="1"/>
  <c r="G202" i="52"/>
  <c r="G201" i="52"/>
  <c r="G200" i="52"/>
  <c r="R348" i="51" s="1" a="1"/>
  <c r="R348" i="51" s="1"/>
  <c r="G199" i="52"/>
  <c r="G198" i="52"/>
  <c r="R176" i="51" s="1" a="1"/>
  <c r="R176" i="51" s="1"/>
  <c r="G197" i="52"/>
  <c r="R174" i="51" s="1" a="1"/>
  <c r="R174" i="51" s="1"/>
  <c r="G196" i="52"/>
  <c r="G195" i="52"/>
  <c r="R167" i="51" s="1" a="1"/>
  <c r="R167" i="51" s="1"/>
  <c r="G194" i="52"/>
  <c r="G193" i="52"/>
  <c r="R163" i="51" s="1" a="1"/>
  <c r="R163" i="51" s="1"/>
  <c r="G192" i="52"/>
  <c r="G191" i="52"/>
  <c r="R344" i="51" s="1" a="1"/>
  <c r="R344" i="51" s="1"/>
  <c r="G190" i="52"/>
  <c r="G189" i="52"/>
  <c r="R130" i="51" s="1" a="1"/>
  <c r="R130" i="51" s="1"/>
  <c r="G188" i="52"/>
  <c r="G187" i="52"/>
  <c r="S523" i="51" s="1" a="1"/>
  <c r="S523" i="51" s="1"/>
  <c r="G186" i="52"/>
  <c r="S522" i="51" s="1" a="1"/>
  <c r="S522" i="51" s="1"/>
  <c r="G185" i="52"/>
  <c r="S520" i="51" s="1" a="1"/>
  <c r="S520" i="51" s="1"/>
  <c r="G184" i="52"/>
  <c r="S519" i="51" s="1" a="1"/>
  <c r="S519" i="51" s="1"/>
  <c r="G183" i="52"/>
  <c r="G182" i="52"/>
  <c r="R345" i="51" s="1" a="1"/>
  <c r="R345" i="51" s="1"/>
  <c r="G181" i="52"/>
  <c r="R337" i="51" s="1" a="1"/>
  <c r="R337" i="51" s="1"/>
  <c r="G180" i="52"/>
  <c r="R331" i="51" s="1" a="1"/>
  <c r="R331" i="51" s="1"/>
  <c r="G179" i="52"/>
  <c r="R329" i="51" s="1" a="1"/>
  <c r="R329" i="51" s="1"/>
  <c r="G178" i="52"/>
  <c r="G177" i="52"/>
  <c r="R327" i="51" s="1" a="1"/>
  <c r="R327" i="51" s="1"/>
  <c r="G176" i="52"/>
  <c r="R326" i="51" s="1" a="1"/>
  <c r="R326" i="51" s="1"/>
  <c r="G175" i="52"/>
  <c r="R323" i="51" s="1" a="1"/>
  <c r="R323" i="51" s="1"/>
  <c r="G174" i="52"/>
  <c r="R322" i="51" s="1" a="1"/>
  <c r="R322" i="51" s="1"/>
  <c r="G173" i="52"/>
  <c r="R478" i="51" s="1" a="1"/>
  <c r="R478" i="51" s="1"/>
  <c r="G172" i="52"/>
  <c r="G171" i="52"/>
  <c r="G170" i="52"/>
  <c r="G169" i="52"/>
  <c r="G168" i="52"/>
  <c r="R150" i="51" s="1" a="1"/>
  <c r="R150" i="51" s="1"/>
  <c r="G167" i="52"/>
  <c r="R149" i="51" s="1" a="1"/>
  <c r="R149" i="51" s="1"/>
  <c r="G166" i="52"/>
  <c r="R129" i="51" s="1" a="1"/>
  <c r="R129" i="51" s="1"/>
  <c r="G165" i="52"/>
  <c r="R128" i="51" s="1" a="1"/>
  <c r="R128" i="51" s="1"/>
  <c r="G164" i="52"/>
  <c r="G163" i="52"/>
  <c r="G162" i="52"/>
  <c r="G161" i="52"/>
  <c r="G160" i="52"/>
  <c r="G159" i="52"/>
  <c r="G158" i="52"/>
  <c r="R346" i="51" s="1" a="1"/>
  <c r="R346" i="51" s="1"/>
  <c r="G157" i="52"/>
  <c r="R556" i="51" s="1" a="1"/>
  <c r="R556" i="51" s="1"/>
  <c r="G156" i="52"/>
  <c r="R555" i="51" s="1" a="1"/>
  <c r="R555" i="51" s="1"/>
  <c r="G155" i="52"/>
  <c r="R554" i="51" s="1" a="1"/>
  <c r="R554" i="51" s="1"/>
  <c r="G154" i="52"/>
  <c r="G153" i="52"/>
  <c r="R547" i="51" s="1" a="1"/>
  <c r="R547" i="51" s="1"/>
  <c r="G152" i="52"/>
  <c r="R546" i="51" s="1" a="1"/>
  <c r="R546" i="51" s="1"/>
  <c r="G151" i="52"/>
  <c r="G150" i="52"/>
  <c r="R543" i="51" s="1" a="1"/>
  <c r="R543" i="51" s="1"/>
  <c r="G149" i="52"/>
  <c r="R538" i="51" s="1" a="1"/>
  <c r="R538" i="51" s="1"/>
  <c r="G148" i="52"/>
  <c r="R537" i="51" s="1" a="1"/>
  <c r="R537" i="51" s="1"/>
  <c r="G147" i="52"/>
  <c r="R536" i="51" s="1" a="1"/>
  <c r="R536" i="51" s="1"/>
  <c r="G146" i="52"/>
  <c r="G145" i="52"/>
  <c r="G144" i="52"/>
  <c r="G143" i="52"/>
  <c r="R401" i="51" s="1" a="1"/>
  <c r="R401" i="51" s="1"/>
  <c r="G142" i="52"/>
  <c r="R400" i="51" s="1" a="1"/>
  <c r="R400" i="51" s="1"/>
  <c r="G141" i="52"/>
  <c r="R399" i="51" s="1" a="1"/>
  <c r="R399" i="51" s="1"/>
  <c r="G140" i="52"/>
  <c r="R398" i="51" s="1" a="1"/>
  <c r="R398" i="51" s="1"/>
  <c r="G139" i="52"/>
  <c r="R397" i="51" s="1" a="1"/>
  <c r="R397" i="51" s="1"/>
  <c r="G138" i="52"/>
  <c r="G137" i="52"/>
  <c r="R395" i="51" s="1" a="1"/>
  <c r="R395" i="51" s="1"/>
  <c r="G136" i="52"/>
  <c r="G135" i="52"/>
  <c r="R393" i="51" s="1" a="1"/>
  <c r="R393" i="51" s="1"/>
  <c r="G134" i="52"/>
  <c r="R392" i="51" s="1" a="1"/>
  <c r="R392" i="51" s="1"/>
  <c r="G133" i="52"/>
  <c r="R354" i="51" s="1" a="1"/>
  <c r="R354" i="51" s="1"/>
  <c r="G132" i="52"/>
  <c r="G131" i="52"/>
  <c r="R109" i="51" s="1" a="1"/>
  <c r="R109" i="51" s="1"/>
  <c r="G130" i="52"/>
  <c r="G129" i="52"/>
  <c r="R435" i="51" s="1" a="1"/>
  <c r="R435" i="51" s="1"/>
  <c r="G128" i="52"/>
  <c r="S7" i="51" s="1" a="1"/>
  <c r="S7" i="51" s="1"/>
  <c r="G127" i="52"/>
  <c r="S6" i="51" s="1" a="1"/>
  <c r="S6" i="51" s="1"/>
  <c r="G126" i="52"/>
  <c r="G125" i="52"/>
  <c r="R320" i="51" s="1" a="1"/>
  <c r="R320" i="51" s="1"/>
  <c r="G124" i="52"/>
  <c r="R352" i="51" s="1" a="1"/>
  <c r="R352" i="51" s="1"/>
  <c r="G123" i="52"/>
  <c r="G122" i="52"/>
  <c r="G121" i="52"/>
  <c r="R339" i="51" s="1" a="1"/>
  <c r="R339" i="51" s="1"/>
  <c r="G120" i="52"/>
  <c r="R338" i="51" s="1" a="1"/>
  <c r="R338" i="51" s="1"/>
  <c r="G119" i="52"/>
  <c r="R336" i="51" s="1" a="1"/>
  <c r="R336" i="51" s="1"/>
  <c r="G118" i="52"/>
  <c r="R335" i="51" s="1" a="1"/>
  <c r="R335" i="51" s="1"/>
  <c r="G117" i="52"/>
  <c r="R334" i="51" s="1" a="1"/>
  <c r="R334" i="51" s="1"/>
  <c r="G116" i="52"/>
  <c r="R333" i="51" s="1" a="1"/>
  <c r="R333" i="51" s="1"/>
  <c r="G115" i="52"/>
  <c r="R325" i="51" s="1" a="1"/>
  <c r="R325" i="51" s="1"/>
  <c r="G114" i="52"/>
  <c r="G113" i="52"/>
  <c r="G112" i="52"/>
  <c r="G111" i="52"/>
  <c r="R436" i="51" s="1" a="1"/>
  <c r="R436" i="51" s="1"/>
  <c r="G110" i="52"/>
  <c r="R296" i="51" s="1" a="1"/>
  <c r="R296" i="51" s="1"/>
  <c r="G109" i="52"/>
  <c r="G108" i="52"/>
  <c r="R319" i="51" s="1" a="1"/>
  <c r="R319" i="51" s="1"/>
  <c r="G107" i="52"/>
  <c r="S122" i="51" s="1" a="1"/>
  <c r="S122" i="51" s="1"/>
  <c r="G106" i="52"/>
  <c r="G105" i="52"/>
  <c r="G104" i="52"/>
  <c r="G103" i="52"/>
  <c r="G102" i="52"/>
  <c r="R299" i="51" s="1" a="1"/>
  <c r="R299" i="51" s="1"/>
  <c r="G101" i="52"/>
  <c r="R298" i="51" s="1" a="1"/>
  <c r="R298" i="51" s="1"/>
  <c r="G100" i="52"/>
  <c r="R470" i="51" s="1" a="1"/>
  <c r="R470" i="51" s="1"/>
  <c r="G99" i="52"/>
  <c r="G98" i="52"/>
  <c r="G97" i="52"/>
  <c r="G96" i="52"/>
  <c r="G95" i="52"/>
  <c r="G94" i="52"/>
  <c r="R499" i="51" s="1" a="1"/>
  <c r="R499" i="51" s="1"/>
  <c r="G93" i="52"/>
  <c r="R481" i="51" s="1" a="1"/>
  <c r="R481" i="51" s="1"/>
  <c r="G92" i="52"/>
  <c r="G91" i="52"/>
  <c r="G90" i="52"/>
  <c r="R28" i="51" s="1" a="1"/>
  <c r="R28" i="51" s="1"/>
  <c r="G89" i="52"/>
  <c r="G88" i="52"/>
  <c r="R493" i="51" s="1" a="1"/>
  <c r="R493" i="51" s="1"/>
  <c r="G87" i="52"/>
  <c r="G86" i="52"/>
  <c r="G85" i="52"/>
  <c r="G84" i="52"/>
  <c r="R32" i="51" s="1" a="1"/>
  <c r="R32" i="51" s="1"/>
  <c r="G83" i="52"/>
  <c r="G82" i="52"/>
  <c r="G81" i="52"/>
  <c r="R29" i="51" s="1" a="1"/>
  <c r="R29" i="51" s="1"/>
  <c r="G80" i="52"/>
  <c r="G79" i="52"/>
  <c r="S27" i="51" s="1" a="1"/>
  <c r="S27" i="51" s="1"/>
  <c r="G78" i="52"/>
  <c r="R416" i="51" s="1" a="1"/>
  <c r="R416" i="51" s="1"/>
  <c r="G77" i="52"/>
  <c r="G76" i="52"/>
  <c r="R409" i="51" s="1" a="1"/>
  <c r="R409" i="51" s="1"/>
  <c r="G75" i="52"/>
  <c r="G74" i="52"/>
  <c r="G73" i="52"/>
  <c r="G72" i="52"/>
  <c r="G71" i="52"/>
  <c r="G70" i="52"/>
  <c r="G69" i="52"/>
  <c r="R380" i="51" s="1" a="1"/>
  <c r="R380" i="51" s="1"/>
  <c r="G68" i="52"/>
  <c r="R379" i="51" s="1" a="1"/>
  <c r="R379" i="51" s="1"/>
  <c r="G67" i="52"/>
  <c r="R378" i="51" s="1" a="1"/>
  <c r="R378" i="51" s="1"/>
  <c r="G66" i="52"/>
  <c r="G65" i="52"/>
  <c r="G64" i="52"/>
  <c r="G63" i="52"/>
  <c r="R374" i="51" s="1" a="1"/>
  <c r="R374" i="51" s="1"/>
  <c r="G62" i="52"/>
  <c r="R373" i="51" s="1" a="1"/>
  <c r="R373" i="51" s="1"/>
  <c r="G61" i="52"/>
  <c r="R372" i="51" s="1" a="1"/>
  <c r="R372" i="51" s="1"/>
  <c r="G60" i="52"/>
  <c r="R371" i="51" s="1" a="1"/>
  <c r="R371" i="51" s="1"/>
  <c r="G59" i="52"/>
  <c r="R370" i="51" s="1" a="1"/>
  <c r="R370" i="51" s="1"/>
  <c r="G58" i="52"/>
  <c r="G57" i="52"/>
  <c r="R511" i="51" s="1" a="1"/>
  <c r="R511" i="51" s="1"/>
  <c r="G56" i="52"/>
  <c r="G53" i="52"/>
  <c r="G52" i="52"/>
  <c r="G55" i="52"/>
  <c r="R121" i="51" s="1" a="1"/>
  <c r="R121" i="51" s="1"/>
  <c r="G54" i="52"/>
  <c r="G51" i="52"/>
  <c r="G50" i="52"/>
  <c r="G49" i="52"/>
  <c r="R523" i="51" s="1" a="1"/>
  <c r="R523" i="51" s="1"/>
  <c r="G48" i="52"/>
  <c r="R522" i="51" s="1" a="1"/>
  <c r="R522" i="51" s="1"/>
  <c r="G47" i="52"/>
  <c r="G46" i="52"/>
  <c r="G45" i="52"/>
  <c r="G44" i="52"/>
  <c r="R518" i="51" s="1" a="1"/>
  <c r="R518" i="51" s="1"/>
  <c r="G43" i="52"/>
  <c r="R517" i="51" s="1" a="1"/>
  <c r="R517" i="51" s="1"/>
  <c r="G42" i="52"/>
  <c r="G41" i="52"/>
  <c r="R515" i="51" s="1" a="1"/>
  <c r="R515" i="51" s="1"/>
  <c r="G40" i="52"/>
  <c r="R65" i="51" s="1" a="1"/>
  <c r="R65" i="51" s="1"/>
  <c r="G39" i="52"/>
  <c r="R64" i="51" s="1" a="1"/>
  <c r="R64" i="51" s="1"/>
  <c r="G38" i="52"/>
  <c r="R68" i="51" s="1" a="1"/>
  <c r="R68" i="51" s="1"/>
  <c r="G37" i="52"/>
  <c r="R63" i="51" s="1" a="1"/>
  <c r="R63" i="51" s="1"/>
  <c r="G36" i="52"/>
  <c r="R62" i="51" s="1" a="1"/>
  <c r="R62" i="51" s="1"/>
  <c r="G35" i="52"/>
  <c r="R295" i="51" s="1" a="1"/>
  <c r="R295" i="51" s="1"/>
  <c r="G34" i="52"/>
  <c r="G33" i="52"/>
  <c r="G32" i="52"/>
  <c r="G31" i="52"/>
  <c r="R67" i="51" s="1" a="1"/>
  <c r="R67" i="51" s="1"/>
  <c r="G30" i="52"/>
  <c r="R66" i="51" s="1" a="1"/>
  <c r="R66" i="51" s="1"/>
  <c r="G29" i="52"/>
  <c r="R59" i="51" s="1" a="1"/>
  <c r="R59" i="51" s="1"/>
  <c r="G28" i="52"/>
  <c r="G27" i="52"/>
  <c r="G26" i="52"/>
  <c r="R56" i="51" s="1" a="1"/>
  <c r="R56" i="51" s="1"/>
  <c r="G25" i="52"/>
  <c r="R55" i="51" s="1" a="1"/>
  <c r="R55" i="51" s="1"/>
  <c r="G24" i="52"/>
  <c r="G23" i="52"/>
  <c r="R53" i="51" s="1" a="1"/>
  <c r="R53" i="51" s="1"/>
  <c r="G22" i="52"/>
  <c r="R123" i="51" s="1" a="1"/>
  <c r="R123" i="51" s="1"/>
  <c r="G21" i="52"/>
  <c r="G11" i="52"/>
  <c r="G10" i="52"/>
  <c r="G9" i="52"/>
  <c r="G8" i="52"/>
  <c r="G7" i="52"/>
  <c r="G20" i="52"/>
  <c r="G19" i="52"/>
  <c r="R44" i="51" s="1" a="1"/>
  <c r="R44" i="51" s="1"/>
  <c r="G18" i="52"/>
  <c r="R43" i="51" s="1" a="1"/>
  <c r="R43" i="51" s="1"/>
  <c r="G17" i="52"/>
  <c r="R42" i="51" s="1" a="1"/>
  <c r="R42" i="51" s="1"/>
  <c r="G16" i="52"/>
  <c r="R41" i="51" s="1" a="1"/>
  <c r="R41" i="51" s="1"/>
  <c r="G15" i="52"/>
  <c r="G14" i="52"/>
  <c r="R39" i="51" s="1" a="1"/>
  <c r="R39" i="51" s="1"/>
  <c r="G13" i="52"/>
  <c r="R38" i="51" s="1" a="1"/>
  <c r="R38" i="51" s="1"/>
  <c r="G12" i="52"/>
  <c r="R37" i="51" s="1" a="1"/>
  <c r="R37" i="51" s="1"/>
  <c r="G6" i="52"/>
  <c r="R7" i="51" s="1" a="1"/>
  <c r="R7" i="51" s="1"/>
  <c r="G5" i="52"/>
  <c r="R45" i="51" l="1" a="1"/>
  <c r="R45" i="51" s="1"/>
  <c r="R521" i="51" a="1"/>
  <c r="R521" i="51" s="1"/>
  <c r="R54" i="51" a="1"/>
  <c r="R54" i="51" s="1"/>
  <c r="R119" i="51" a="1"/>
  <c r="R119" i="51" s="1"/>
  <c r="R36" i="51" a="1"/>
  <c r="R36" i="51" s="1"/>
  <c r="R408" i="51" a="1"/>
  <c r="R408" i="51" s="1"/>
  <c r="R471" i="51" a="1"/>
  <c r="R471" i="51" s="1"/>
  <c r="R351" i="51" a="1"/>
  <c r="R351" i="51" s="1"/>
  <c r="R126" i="51" a="1"/>
  <c r="R126" i="51" s="1"/>
  <c r="R461" i="51" a="1"/>
  <c r="R461" i="51" s="1"/>
  <c r="R431" i="51" a="1"/>
  <c r="R431" i="51" s="1"/>
  <c r="R459" i="51" a="1"/>
  <c r="R459" i="51" s="1"/>
  <c r="R104" i="51" a="1"/>
  <c r="R104" i="51" s="1"/>
  <c r="R381" i="51" a="1"/>
  <c r="R381" i="51" s="1"/>
  <c r="R34" i="51" a="1"/>
  <c r="R34" i="51" s="1"/>
  <c r="R35" i="51" a="1"/>
  <c r="R35" i="51" s="1"/>
  <c r="R300" i="51" a="1"/>
  <c r="R300" i="51" s="1"/>
  <c r="R545" i="51" a="1"/>
  <c r="R545" i="51" s="1"/>
  <c r="R343" i="51" a="1"/>
  <c r="R343" i="51" s="1"/>
  <c r="R467" i="51" a="1"/>
  <c r="R467" i="51" s="1"/>
  <c r="R46" i="51" a="1"/>
  <c r="R46" i="51" s="1"/>
  <c r="R487" i="51" a="1"/>
  <c r="R487" i="51" s="1"/>
  <c r="R61" i="51" a="1"/>
  <c r="R61" i="51" s="1"/>
  <c r="R404" i="51" a="1"/>
  <c r="R404" i="51" s="1"/>
  <c r="R460" i="51" a="1"/>
  <c r="R460" i="51" s="1"/>
  <c r="R527" i="51" a="1"/>
  <c r="R527" i="51" s="1"/>
  <c r="R51" i="51" a="1"/>
  <c r="R51" i="51" s="1"/>
  <c r="R341" i="51" a="1"/>
  <c r="R341" i="51" s="1"/>
  <c r="R124" i="51" a="1"/>
  <c r="R124" i="51" s="1"/>
  <c r="R151" i="51" a="1"/>
  <c r="R151" i="51" s="1"/>
  <c r="R349" i="51" a="1"/>
  <c r="R349" i="51" s="1"/>
  <c r="R154" i="51" a="1"/>
  <c r="R154" i="51" s="1"/>
  <c r="R222" i="51" a="1"/>
  <c r="R222" i="51" s="1"/>
  <c r="R102" i="51" a="1"/>
  <c r="R102" i="51" s="1"/>
  <c r="R95" i="51" a="1"/>
  <c r="R95" i="51" s="1"/>
  <c r="R118" i="51" a="1"/>
  <c r="R118" i="51" s="1"/>
  <c r="R297" i="51" a="1"/>
  <c r="R297" i="51" s="1"/>
  <c r="R531" i="51" a="1"/>
  <c r="R531" i="51" s="1"/>
  <c r="R376" i="51" a="1"/>
  <c r="R376" i="51" s="1"/>
  <c r="R405" i="51" a="1"/>
  <c r="R405" i="51" s="1"/>
  <c r="R516" i="51" a="1"/>
  <c r="R516" i="51" s="1"/>
  <c r="R583" i="51" a="1"/>
  <c r="R583" i="51" s="1"/>
  <c r="R111" i="51" a="1"/>
  <c r="R111" i="51" s="1"/>
  <c r="R497" i="51" a="1"/>
  <c r="R497" i="51" s="1"/>
  <c r="R304" i="51" a="1"/>
  <c r="R304" i="51" s="1"/>
  <c r="R390" i="51" a="1"/>
  <c r="R390" i="51" s="1"/>
  <c r="R501" i="51" a="1"/>
  <c r="R501" i="51" s="1"/>
  <c r="R598" i="51" a="1"/>
  <c r="R598" i="51" s="1"/>
  <c r="R108" i="51" a="1"/>
  <c r="R108" i="51" s="1"/>
  <c r="R560" i="51" a="1"/>
  <c r="R560" i="51" s="1"/>
  <c r="R193" i="51" a="1"/>
  <c r="R193" i="51" s="1"/>
  <c r="R20" i="51" a="1"/>
  <c r="R20" i="51" s="1"/>
  <c r="R147" i="51" a="1"/>
  <c r="R147" i="51" s="1"/>
  <c r="R570" i="51" a="1"/>
  <c r="R570" i="51" s="1"/>
  <c r="R505" i="51" a="1"/>
  <c r="R505" i="51" s="1"/>
  <c r="S582" i="51" a="1"/>
  <c r="S582" i="51" s="1"/>
  <c r="R216" i="51" a="1"/>
  <c r="R216" i="51" s="1"/>
  <c r="R368" i="51" a="1"/>
  <c r="R368" i="51" s="1"/>
  <c r="R425" i="51" a="1"/>
  <c r="R425" i="51" s="1"/>
  <c r="R512" i="51" a="1"/>
  <c r="R512" i="51" s="1"/>
  <c r="R432" i="51" a="1"/>
  <c r="R432" i="51" s="1"/>
  <c r="S541" i="51" a="1"/>
  <c r="S541" i="51" s="1"/>
  <c r="R292" i="51" a="1"/>
  <c r="R292" i="51" s="1"/>
  <c r="S424" i="51" a="1"/>
  <c r="S424" i="51" s="1"/>
  <c r="R608" i="51" a="1"/>
  <c r="R608" i="51" s="1"/>
  <c r="R514" i="51" a="1"/>
  <c r="R514" i="51" s="1"/>
  <c r="R110" i="51" a="1"/>
  <c r="R110" i="51" s="1"/>
  <c r="R88" i="51" a="1"/>
  <c r="R88" i="51" s="1"/>
  <c r="R363" i="51" a="1"/>
  <c r="R363" i="51" s="1"/>
  <c r="R579" i="51" a="1"/>
  <c r="R579" i="51" s="1"/>
  <c r="R214" i="51" a="1"/>
  <c r="R214" i="51" s="1"/>
  <c r="R597" i="51" a="1"/>
  <c r="R597" i="51" s="1"/>
  <c r="R16" i="51" a="1"/>
  <c r="R16" i="51" s="1"/>
  <c r="R148" i="51" a="1"/>
  <c r="R148" i="51" s="1"/>
  <c r="S518" i="51" a="1"/>
  <c r="S518" i="51" s="1"/>
  <c r="R473" i="51" a="1"/>
  <c r="R473" i="51" s="1"/>
  <c r="R233" i="51" a="1"/>
  <c r="R233" i="51" s="1"/>
  <c r="R388" i="51" a="1"/>
  <c r="R388" i="51" s="1"/>
  <c r="R265" i="51" a="1"/>
  <c r="R265" i="51" s="1"/>
  <c r="R513" i="51" a="1"/>
  <c r="R513" i="51" s="1"/>
  <c r="S592" i="51" a="1"/>
  <c r="S592" i="51" s="1"/>
  <c r="S572" i="51" a="1"/>
  <c r="S572" i="51" s="1"/>
  <c r="R314" i="51" a="1"/>
  <c r="R314" i="51" s="1"/>
  <c r="S503" i="51" a="1"/>
  <c r="S503" i="51" s="1"/>
  <c r="S285" i="51" a="1"/>
  <c r="S285" i="51" s="1"/>
  <c r="S591" i="51" a="1"/>
  <c r="S591" i="51" s="1"/>
  <c r="R135" i="51" a="1"/>
  <c r="R135" i="51" s="1"/>
  <c r="R302" i="51" a="1"/>
  <c r="R302" i="51" s="1"/>
  <c r="R225" i="51" a="1"/>
  <c r="R225" i="51" s="1"/>
  <c r="R384" i="51" a="1"/>
  <c r="R384" i="51" s="1"/>
  <c r="R169" i="51" a="1"/>
  <c r="R169" i="51" s="1"/>
  <c r="R563" i="51" a="1"/>
  <c r="R563" i="51" s="1"/>
  <c r="R587" i="51" a="1"/>
  <c r="R587" i="51" s="1"/>
  <c r="R548" i="51" a="1"/>
  <c r="R548" i="51" s="1"/>
  <c r="R18" i="51" a="1"/>
  <c r="R18" i="51" s="1"/>
  <c r="R364" i="51" a="1"/>
  <c r="R364" i="51" s="1"/>
  <c r="R591" i="51" a="1"/>
  <c r="R591" i="51" s="1"/>
  <c r="R595" i="51" a="1"/>
  <c r="R595" i="51" s="1"/>
  <c r="R235" i="51" a="1"/>
  <c r="R235" i="51" s="1"/>
  <c r="R263" i="51" a="1"/>
  <c r="R263" i="51" s="1"/>
  <c r="S500" i="51" a="1"/>
  <c r="S500" i="51" s="1"/>
  <c r="R285" i="51" a="1"/>
  <c r="R285" i="51" s="1"/>
  <c r="S524" i="51" a="1"/>
  <c r="S524" i="51" s="1"/>
  <c r="S270" i="51" a="1"/>
  <c r="S270" i="51" s="1"/>
  <c r="R447" i="51" a="1"/>
  <c r="R447" i="51" s="1"/>
  <c r="R592" i="51" a="1"/>
  <c r="R592" i="51" s="1"/>
  <c r="R332" i="51" a="1"/>
  <c r="R332" i="51" s="1"/>
  <c r="R533" i="51" a="1"/>
  <c r="R533" i="51" s="1"/>
  <c r="R40" i="51" a="1"/>
  <c r="R40" i="51" s="1"/>
  <c r="R120" i="51" a="1"/>
  <c r="R120" i="51" s="1"/>
  <c r="R30" i="51" a="1"/>
  <c r="R30" i="51" s="1"/>
  <c r="R468" i="51" a="1"/>
  <c r="R468" i="51" s="1"/>
  <c r="R318" i="51" a="1"/>
  <c r="R318" i="51" s="1"/>
  <c r="R340" i="51" a="1"/>
  <c r="R340" i="51" s="1"/>
  <c r="R99" i="51" a="1"/>
  <c r="R99" i="51" s="1"/>
  <c r="R396" i="51" a="1"/>
  <c r="R396" i="51" s="1"/>
  <c r="R353" i="51" a="1"/>
  <c r="R353" i="51" s="1"/>
  <c r="R552" i="51" a="1"/>
  <c r="R552" i="51" s="1"/>
  <c r="R156" i="51" a="1"/>
  <c r="R156" i="51" s="1"/>
  <c r="R165" i="51" a="1"/>
  <c r="R165" i="51" s="1"/>
  <c r="R418" i="51" a="1"/>
  <c r="R418" i="51" s="1"/>
  <c r="R173" i="51" a="1"/>
  <c r="R173" i="51" s="1"/>
  <c r="R96" i="51" a="1"/>
  <c r="R96" i="51" s="1"/>
  <c r="R143" i="51" a="1"/>
  <c r="R143" i="51" s="1"/>
  <c r="R559" i="51" a="1"/>
  <c r="R559" i="51" s="1"/>
  <c r="R489" i="51" a="1"/>
  <c r="R489" i="51" s="1"/>
  <c r="R144" i="51" a="1"/>
  <c r="R144" i="51" s="1"/>
  <c r="R251" i="51" a="1"/>
  <c r="R251" i="51" s="1"/>
  <c r="R269" i="51" a="1"/>
  <c r="R269" i="51" s="1"/>
  <c r="R226" i="51" a="1"/>
  <c r="R226" i="51" s="1"/>
  <c r="R210" i="51" a="1"/>
  <c r="R210" i="51" s="1"/>
  <c r="R564" i="51" a="1"/>
  <c r="R564" i="51" s="1"/>
  <c r="R549" i="51" a="1"/>
  <c r="R549" i="51" s="1"/>
  <c r="R312" i="51" a="1"/>
  <c r="R312" i="51" s="1"/>
  <c r="R48" i="51" a="1"/>
  <c r="R48" i="51" s="1"/>
  <c r="R503" i="51" a="1"/>
  <c r="R503" i="51" s="1"/>
  <c r="R113" i="51" a="1"/>
  <c r="R113" i="51" s="1"/>
  <c r="R441" i="51" a="1"/>
  <c r="R441" i="51" s="1"/>
  <c r="R382" i="51" a="1"/>
  <c r="R382" i="51" s="1"/>
  <c r="R530" i="51" a="1"/>
  <c r="R530" i="51" s="1"/>
  <c r="R375" i="51" a="1"/>
  <c r="R375" i="51" s="1"/>
  <c r="R383" i="51" a="1"/>
  <c r="R383" i="51" s="1"/>
  <c r="R8" i="51" a="1"/>
  <c r="R8" i="51" s="1"/>
  <c r="R317" i="51" a="1"/>
  <c r="R317" i="51" s="1"/>
  <c r="R316" i="51" a="1"/>
  <c r="R316" i="51" s="1"/>
  <c r="R50" i="51" a="1"/>
  <c r="R50" i="51" s="1"/>
  <c r="R394" i="51" a="1"/>
  <c r="R394" i="51" s="1"/>
  <c r="R403" i="51" a="1"/>
  <c r="R403" i="51" s="1"/>
  <c r="R477" i="51" a="1"/>
  <c r="R477" i="51" s="1"/>
  <c r="R356" i="51" a="1"/>
  <c r="R356" i="51" s="1"/>
  <c r="R94" i="51" a="1"/>
  <c r="R94" i="51" s="1"/>
  <c r="R444" i="51" a="1"/>
  <c r="R444" i="51" s="1"/>
  <c r="R417" i="51" a="1"/>
  <c r="R417" i="51" s="1"/>
  <c r="R453" i="51" a="1"/>
  <c r="R453" i="51" s="1"/>
  <c r="R532" i="51" a="1"/>
  <c r="R532" i="51" s="1"/>
  <c r="R315" i="51" a="1"/>
  <c r="R315" i="51" s="1"/>
  <c r="R350" i="51" a="1"/>
  <c r="R350" i="51" s="1"/>
  <c r="R178" i="51" a="1"/>
  <c r="R178" i="51" s="1"/>
  <c r="R69" i="51" a="1"/>
  <c r="R69" i="51" s="1"/>
  <c r="R479" i="51" a="1"/>
  <c r="R479" i="51" s="1"/>
  <c r="R413" i="51" a="1"/>
  <c r="R413" i="51" s="1"/>
  <c r="R161" i="51" a="1"/>
  <c r="R161" i="51" s="1"/>
  <c r="R283" i="51" a="1"/>
  <c r="R283" i="51" s="1"/>
  <c r="R206" i="51" a="1"/>
  <c r="R206" i="51" s="1"/>
  <c r="R610" i="51" a="1"/>
  <c r="R610" i="51" s="1"/>
  <c r="R472" i="51" a="1"/>
  <c r="R472" i="51" s="1"/>
  <c r="R358" i="51" a="1"/>
  <c r="R358" i="51" s="1"/>
  <c r="R357" i="51" a="1"/>
  <c r="R357" i="51" s="1"/>
  <c r="R369" i="51" a="1"/>
  <c r="R369" i="51" s="1"/>
  <c r="R246" i="51" a="1"/>
  <c r="R246" i="51" s="1"/>
  <c r="R181" i="51" a="1"/>
  <c r="R181" i="51" s="1"/>
  <c r="R252" i="51" a="1"/>
  <c r="R252" i="51" s="1"/>
  <c r="R260" i="51" a="1"/>
  <c r="R260" i="51" s="1"/>
  <c r="R355" i="51" a="1"/>
  <c r="R355" i="51" s="1"/>
  <c r="R152" i="51" a="1"/>
  <c r="R152" i="51" s="1"/>
  <c r="R221" i="51" a="1"/>
  <c r="R221" i="51" s="1"/>
  <c r="R164" i="51" a="1"/>
  <c r="R164" i="51" s="1"/>
  <c r="R11" i="51" a="1"/>
  <c r="R11" i="51" s="1"/>
  <c r="R224" i="51" a="1"/>
  <c r="R224" i="51" s="1"/>
  <c r="R402" i="51" a="1"/>
  <c r="R402" i="51" s="1"/>
  <c r="R83" i="51" a="1"/>
  <c r="R83" i="51" s="1"/>
  <c r="R585" i="51" a="1"/>
  <c r="R585" i="51" s="1"/>
  <c r="R442" i="51" a="1"/>
  <c r="R442" i="51" s="1"/>
  <c r="R17" i="51" a="1"/>
  <c r="R17" i="51" s="1"/>
  <c r="R25" i="51" a="1"/>
  <c r="R25" i="51" s="1"/>
  <c r="R526" i="51" a="1"/>
  <c r="R526" i="51" s="1"/>
  <c r="R264" i="51" a="1"/>
  <c r="R264" i="51" s="1"/>
  <c r="R70" i="51" a="1"/>
  <c r="R70" i="51" s="1"/>
  <c r="R377" i="51" a="1"/>
  <c r="R377" i="51" s="1"/>
  <c r="R406" i="51" a="1"/>
  <c r="R406" i="51" s="1"/>
  <c r="R528" i="51" a="1"/>
  <c r="R528" i="51" s="1"/>
  <c r="R125" i="51" a="1"/>
  <c r="R125" i="51" s="1"/>
  <c r="R328" i="51" a="1"/>
  <c r="R328" i="51" s="1"/>
  <c r="R430" i="51" a="1"/>
  <c r="R430" i="51" s="1"/>
  <c r="R157" i="51" a="1"/>
  <c r="R157" i="51" s="1"/>
  <c r="R103" i="51" a="1"/>
  <c r="R103" i="51" s="1"/>
  <c r="R209" i="51" a="1"/>
  <c r="R209" i="51" s="1"/>
  <c r="R303" i="51" a="1"/>
  <c r="R303" i="51" s="1"/>
  <c r="R437" i="51" a="1"/>
  <c r="R437" i="51" s="1"/>
  <c r="R188" i="51" a="1"/>
  <c r="R188" i="51" s="1"/>
  <c r="R268" i="51" a="1"/>
  <c r="R268" i="51" s="1"/>
  <c r="R500" i="51" a="1"/>
  <c r="R500" i="51" s="1"/>
  <c r="R85" i="51" a="1"/>
  <c r="R85" i="51" s="1"/>
  <c r="R275" i="51" a="1"/>
  <c r="R275" i="51" s="1"/>
  <c r="R593" i="51" a="1"/>
  <c r="R593" i="51" s="1"/>
  <c r="R98" i="51" a="1"/>
  <c r="R98" i="51" s="1"/>
  <c r="R596" i="51" a="1"/>
  <c r="R596" i="51" s="1"/>
  <c r="R197" i="51" a="1"/>
  <c r="R197" i="51" s="1"/>
  <c r="R576" i="51" a="1"/>
  <c r="R576" i="51" s="1"/>
  <c r="R192" i="51" a="1"/>
  <c r="R192" i="51" s="1"/>
  <c r="R507" i="51" a="1"/>
  <c r="R507" i="51" s="1"/>
  <c r="R189" i="51" a="1"/>
  <c r="R189" i="51" s="1"/>
  <c r="R270" i="51" a="1"/>
  <c r="R270" i="51" s="1"/>
  <c r="R74" i="51" a="1"/>
  <c r="R74" i="51" s="1"/>
  <c r="R474" i="51" a="1"/>
  <c r="R474" i="51" s="1"/>
  <c r="R574" i="51" a="1"/>
  <c r="R574" i="51" s="1"/>
  <c r="R457" i="51" a="1"/>
  <c r="R457" i="51" s="1"/>
  <c r="R452" i="51" a="1"/>
  <c r="R452" i="51" s="1"/>
  <c r="R31" i="51" a="1"/>
  <c r="R31" i="51" s="1"/>
  <c r="R342" i="51" a="1"/>
  <c r="R342" i="51" s="1"/>
  <c r="R127" i="51" a="1"/>
  <c r="R127" i="51" s="1"/>
  <c r="R462" i="51" a="1"/>
  <c r="R462" i="51" s="1"/>
  <c r="R324" i="51" a="1"/>
  <c r="R324" i="51" s="1"/>
  <c r="R172" i="51" a="1"/>
  <c r="R172" i="51" s="1"/>
  <c r="R361" i="51" a="1"/>
  <c r="R361" i="51" s="1"/>
  <c r="R433" i="51" a="1"/>
  <c r="R433" i="51" s="1"/>
  <c r="R463" i="51" a="1"/>
  <c r="R463" i="51" s="1"/>
  <c r="R464" i="51" a="1"/>
  <c r="R464" i="51" s="1"/>
  <c r="R112" i="51" a="1"/>
  <c r="R112" i="51" s="1"/>
  <c r="R158" i="51" a="1"/>
  <c r="R158" i="51" s="1"/>
  <c r="R190" i="51" a="1"/>
  <c r="R190" i="51" s="1"/>
  <c r="R271" i="51" a="1"/>
  <c r="R271" i="51" s="1"/>
  <c r="R230" i="51" a="1"/>
  <c r="R230" i="51" s="1"/>
  <c r="R277" i="51" a="1"/>
  <c r="R277" i="51" s="1"/>
  <c r="R599" i="51" a="1"/>
  <c r="R599" i="51" s="1"/>
  <c r="R482" i="51" a="1"/>
  <c r="R482" i="51" s="1"/>
  <c r="R21" i="51" a="1"/>
  <c r="R21" i="51" s="1"/>
  <c r="R200" i="51" a="1"/>
  <c r="R200" i="51" s="1"/>
  <c r="R217" i="51" a="1"/>
  <c r="R217" i="51" s="1"/>
  <c r="R429" i="51" a="1"/>
  <c r="R429" i="51" s="1"/>
  <c r="R57" i="51" a="1"/>
  <c r="R57" i="51" s="1"/>
  <c r="R469" i="51" a="1"/>
  <c r="R469" i="51" s="1"/>
  <c r="R27" i="51" a="1"/>
  <c r="R27" i="51" s="1"/>
  <c r="R58" i="51" a="1"/>
  <c r="R58" i="51" s="1"/>
  <c r="R6" i="51" a="1"/>
  <c r="R6" i="51" s="1"/>
  <c r="R122" i="51" a="1"/>
  <c r="R122" i="51" s="1"/>
  <c r="R519" i="51" a="1"/>
  <c r="R519" i="51" s="1"/>
  <c r="R410" i="51" a="1"/>
  <c r="R410" i="51" s="1"/>
  <c r="R33" i="51" a="1"/>
  <c r="R33" i="51" s="1"/>
  <c r="R330" i="51" a="1"/>
  <c r="R330" i="51" s="1"/>
  <c r="R476" i="51" a="1"/>
  <c r="R476" i="51" s="1"/>
  <c r="R411" i="51" a="1"/>
  <c r="R411" i="51" s="1"/>
  <c r="R307" i="51" a="1"/>
  <c r="R307" i="51" s="1"/>
  <c r="R91" i="51" a="1"/>
  <c r="R91" i="51" s="1"/>
  <c r="R155" i="51" a="1"/>
  <c r="R155" i="51" s="1"/>
  <c r="R13" i="51" a="1"/>
  <c r="R13" i="51" s="1"/>
  <c r="R558" i="51" a="1"/>
  <c r="R558" i="51" s="1"/>
  <c r="R578" i="51" a="1"/>
  <c r="R578" i="51" s="1"/>
  <c r="R539" i="51" a="1"/>
  <c r="R539" i="51" s="1"/>
  <c r="R117" i="51" a="1"/>
  <c r="R117" i="51" s="1"/>
  <c r="R201" i="51" a="1"/>
  <c r="R201" i="51" s="1"/>
  <c r="R321" i="51" a="1"/>
  <c r="R321" i="51" s="1"/>
  <c r="R520" i="51" a="1"/>
  <c r="R520" i="51" s="1"/>
  <c r="R60" i="51" a="1"/>
  <c r="R60" i="51" s="1"/>
  <c r="R72" i="51" a="1"/>
  <c r="R72" i="51" s="1"/>
  <c r="R308" i="51" a="1"/>
  <c r="R308" i="51" s="1"/>
  <c r="R92" i="51" a="1"/>
  <c r="R92" i="51" s="1"/>
  <c r="R248" i="51" a="1"/>
  <c r="R248" i="51" s="1"/>
  <c r="R569" i="51" a="1"/>
  <c r="R569" i="51" s="1"/>
  <c r="R391" i="51" a="1"/>
  <c r="R391" i="51" s="1"/>
  <c r="R232" i="51" a="1"/>
  <c r="R232" i="51" s="1"/>
  <c r="R282" i="51" a="1"/>
  <c r="R282" i="51" s="1"/>
  <c r="R540" i="51" a="1"/>
  <c r="R540" i="51" s="1"/>
  <c r="R15" i="51" a="1"/>
  <c r="R15" i="51" s="1"/>
  <c r="R23" i="51" a="1"/>
  <c r="R23" i="51" s="1"/>
  <c r="R24" i="51" a="1"/>
  <c r="R24" i="51" s="1"/>
  <c r="R202" i="51" a="1"/>
  <c r="R202" i="51" s="1"/>
  <c r="R504" i="51" a="1"/>
  <c r="R504" i="51" s="1"/>
  <c r="R424" i="51" a="1"/>
  <c r="R424" i="51" s="1"/>
  <c r="R313" i="51" a="1"/>
  <c r="R313" i="51" s="1"/>
  <c r="R609" i="51" a="1"/>
  <c r="R609" i="51" s="1"/>
  <c r="R451" i="51" a="1"/>
  <c r="R451" i="51" s="1"/>
  <c r="R255" i="51" a="1"/>
  <c r="R255" i="51" s="1"/>
  <c r="R100" i="51" a="1"/>
  <c r="R100" i="51" s="1"/>
  <c r="R439" i="51" a="1"/>
  <c r="R439" i="51" s="1"/>
  <c r="R162" i="51" a="1"/>
  <c r="R162" i="51" s="1"/>
  <c r="R535" i="51" a="1"/>
  <c r="R535" i="51" s="1"/>
  <c r="R484" i="51" a="1"/>
  <c r="R484" i="51" s="1"/>
  <c r="R287" i="51" a="1"/>
  <c r="R287" i="51" s="1"/>
  <c r="R286" i="51" a="1"/>
  <c r="R286" i="51" s="1"/>
  <c r="R183" i="51" a="1"/>
  <c r="R183" i="51" s="1"/>
  <c r="R567" i="51" a="1"/>
  <c r="R567" i="51" s="1"/>
  <c r="R445" i="51" a="1"/>
  <c r="R445" i="51" s="1"/>
  <c r="R494" i="51" a="1"/>
  <c r="R494" i="51" s="1"/>
  <c r="R218" i="51" a="1"/>
  <c r="R218" i="51" s="1"/>
  <c r="R524" i="51" a="1"/>
  <c r="R524" i="51" s="1"/>
  <c r="R19" i="51" a="1"/>
  <c r="R19" i="51" s="1"/>
  <c r="R571" i="51" a="1"/>
  <c r="R571" i="51" s="1"/>
  <c r="R475" i="51" a="1"/>
  <c r="R475" i="51" s="1"/>
  <c r="R81" i="51" a="1"/>
  <c r="R81" i="51" s="1"/>
  <c r="R215" i="51" a="1"/>
  <c r="R215" i="51" s="1"/>
  <c r="R594" i="51" a="1"/>
  <c r="R594" i="51" s="1"/>
  <c r="R237" i="51" a="1"/>
  <c r="R237" i="51" s="1"/>
  <c r="R262" i="51" a="1"/>
  <c r="R262" i="51" s="1"/>
  <c r="R426" i="51" a="1"/>
  <c r="R426" i="51" s="1"/>
  <c r="R446" i="51" a="1"/>
  <c r="R446" i="51" s="1"/>
  <c r="R421" i="51" a="1"/>
  <c r="R421" i="51" s="1"/>
  <c r="R311" i="51" a="1"/>
  <c r="R311" i="51" s="1"/>
  <c r="R607" i="51" a="1"/>
  <c r="R607" i="51" s="1"/>
  <c r="R449" i="51" a="1"/>
  <c r="R449" i="51" s="1"/>
  <c r="G1492" i="51" l="1"/>
  <c r="H1492" i="51" s="1"/>
  <c r="G1491" i="51"/>
  <c r="H1491" i="51" s="1"/>
  <c r="G1490" i="51"/>
  <c r="H1490" i="51" s="1"/>
  <c r="G1489" i="51"/>
  <c r="H1489" i="51" s="1"/>
  <c r="G1488" i="51"/>
  <c r="H1488" i="51" s="1"/>
  <c r="G1487" i="51"/>
  <c r="H1487" i="51" s="1"/>
  <c r="G1486" i="51"/>
  <c r="H1486" i="51" s="1"/>
  <c r="G1485" i="51"/>
  <c r="H1485" i="51" s="1"/>
  <c r="G1484" i="51"/>
  <c r="H1484" i="51" s="1"/>
  <c r="G1483" i="51"/>
  <c r="H1483" i="51" s="1"/>
  <c r="G1481" i="51"/>
  <c r="H1481" i="51" s="1"/>
  <c r="G1480" i="51"/>
  <c r="H1480" i="51" s="1"/>
  <c r="G1463" i="51"/>
  <c r="H1463" i="51" s="1"/>
  <c r="G1445" i="51"/>
  <c r="H1445" i="51" s="1"/>
  <c r="G1443" i="51"/>
  <c r="H1443" i="51" s="1"/>
  <c r="G1442" i="51"/>
  <c r="H1442" i="51" s="1"/>
  <c r="G1430" i="51"/>
  <c r="H1430" i="51" s="1"/>
  <c r="G1400" i="51"/>
  <c r="H1400" i="51" s="1"/>
  <c r="G1394" i="51"/>
  <c r="H1394" i="51" s="1"/>
  <c r="G1119" i="51"/>
  <c r="H1493" i="51"/>
  <c r="G1493" i="51" s="1"/>
  <c r="H1482" i="51"/>
  <c r="G1482" i="51" s="1"/>
  <c r="H1479" i="51"/>
  <c r="G1479" i="51" s="1"/>
  <c r="H1478" i="51"/>
  <c r="G1478" i="51" s="1"/>
  <c r="H1477" i="51"/>
  <c r="G1477" i="51" s="1"/>
  <c r="H1476" i="51"/>
  <c r="G1476" i="51" s="1"/>
  <c r="H1475" i="51"/>
  <c r="G1475" i="51" s="1"/>
  <c r="H1474" i="51"/>
  <c r="G1474" i="51" s="1"/>
  <c r="H1473" i="51"/>
  <c r="G1473" i="51" s="1"/>
  <c r="H1472" i="51"/>
  <c r="G1472" i="51" s="1"/>
  <c r="H1471" i="51"/>
  <c r="G1471" i="51" s="1"/>
  <c r="H1470" i="51"/>
  <c r="G1470" i="51" s="1"/>
  <c r="H1469" i="51"/>
  <c r="G1469" i="51" s="1"/>
  <c r="H1468" i="51"/>
  <c r="G1468" i="51" s="1"/>
  <c r="H1467" i="51"/>
  <c r="G1467" i="51" s="1"/>
  <c r="H1466" i="51"/>
  <c r="G1466" i="51" s="1"/>
  <c r="H1465" i="51"/>
  <c r="G1465" i="51" s="1"/>
  <c r="H1464" i="51"/>
  <c r="G1464" i="51" s="1"/>
  <c r="H1462" i="51"/>
  <c r="G1462" i="51" s="1"/>
  <c r="H1461" i="51"/>
  <c r="G1461" i="51" s="1"/>
  <c r="H1460" i="51"/>
  <c r="G1460" i="51" s="1"/>
  <c r="H1459" i="51"/>
  <c r="G1459" i="51" s="1"/>
  <c r="H1458" i="51"/>
  <c r="G1458" i="51" s="1"/>
  <c r="H1457" i="51"/>
  <c r="G1457" i="51" s="1"/>
  <c r="H1456" i="51"/>
  <c r="G1456" i="51" s="1"/>
  <c r="H1455" i="51"/>
  <c r="G1455" i="51" s="1"/>
  <c r="H1454" i="51"/>
  <c r="G1454" i="51" s="1"/>
  <c r="H1453" i="51"/>
  <c r="G1453" i="51" s="1"/>
  <c r="H1452" i="51"/>
  <c r="G1452" i="51" s="1"/>
  <c r="H1451" i="51"/>
  <c r="G1451" i="51" s="1"/>
  <c r="H1450" i="51"/>
  <c r="G1450" i="51" s="1"/>
  <c r="H1449" i="51"/>
  <c r="G1449" i="51" s="1"/>
  <c r="H1448" i="51"/>
  <c r="G1448" i="51" s="1"/>
  <c r="H1447" i="51"/>
  <c r="G1447" i="51" s="1"/>
  <c r="H1446" i="51"/>
  <c r="G1446" i="51" s="1"/>
  <c r="H1444" i="51"/>
  <c r="G1444" i="51" s="1"/>
  <c r="H1441" i="51"/>
  <c r="G1441" i="51" s="1"/>
  <c r="H1440" i="51"/>
  <c r="G1440" i="51" s="1"/>
  <c r="H1439" i="51"/>
  <c r="G1439" i="51" s="1"/>
  <c r="H1438" i="51"/>
  <c r="G1438" i="51" s="1"/>
  <c r="H1437" i="51"/>
  <c r="G1437" i="51" s="1"/>
  <c r="H1436" i="51"/>
  <c r="G1436" i="51" s="1"/>
  <c r="H1435" i="51"/>
  <c r="G1435" i="51" s="1"/>
  <c r="H1434" i="51"/>
  <c r="G1434" i="51" s="1"/>
  <c r="H1433" i="51"/>
  <c r="G1433" i="51" s="1"/>
  <c r="H1432" i="51"/>
  <c r="G1432" i="51" s="1"/>
  <c r="H1431" i="51"/>
  <c r="G1431" i="51" s="1"/>
  <c r="H1429" i="51"/>
  <c r="G1429" i="51" s="1"/>
  <c r="H1428" i="51"/>
  <c r="G1428" i="51" s="1"/>
  <c r="H1427" i="51"/>
  <c r="G1427" i="51" s="1"/>
  <c r="H1426" i="51"/>
  <c r="G1426" i="51" s="1"/>
  <c r="H1425" i="51"/>
  <c r="G1425" i="51" s="1"/>
  <c r="H1424" i="51"/>
  <c r="G1424" i="51" s="1"/>
  <c r="H1423" i="51"/>
  <c r="G1423" i="51" s="1"/>
  <c r="H1422" i="51"/>
  <c r="G1422" i="51" s="1"/>
  <c r="H1421" i="51"/>
  <c r="G1421" i="51" s="1"/>
  <c r="H1420" i="51"/>
  <c r="G1420" i="51" s="1"/>
  <c r="H1419" i="51"/>
  <c r="G1419" i="51" s="1"/>
  <c r="H1418" i="51"/>
  <c r="G1418" i="51" s="1"/>
  <c r="H1417" i="51"/>
  <c r="G1417" i="51" s="1"/>
  <c r="H1416" i="51"/>
  <c r="G1416" i="51" s="1"/>
  <c r="H1415" i="51"/>
  <c r="G1415" i="51" s="1"/>
  <c r="H1414" i="51"/>
  <c r="G1414" i="51" s="1"/>
  <c r="H1413" i="51"/>
  <c r="G1413" i="51" s="1"/>
  <c r="H1412" i="51"/>
  <c r="G1412" i="51" s="1"/>
  <c r="H1411" i="51"/>
  <c r="G1411" i="51" s="1"/>
  <c r="H1410" i="51"/>
  <c r="G1410" i="51" s="1"/>
  <c r="H1409" i="51"/>
  <c r="G1409" i="51" s="1"/>
  <c r="H1408" i="51"/>
  <c r="G1408" i="51" s="1"/>
  <c r="H1407" i="51"/>
  <c r="G1407" i="51" s="1"/>
  <c r="H1406" i="51"/>
  <c r="G1406" i="51" s="1"/>
  <c r="H1405" i="51"/>
  <c r="G1405" i="51" s="1"/>
  <c r="H1404" i="51"/>
  <c r="G1404" i="51" s="1"/>
  <c r="H1403" i="51"/>
  <c r="G1403" i="51" s="1"/>
  <c r="H1402" i="51"/>
  <c r="G1402" i="51" s="1"/>
  <c r="H1401" i="51"/>
  <c r="G1401" i="51" s="1"/>
  <c r="H1399" i="51"/>
  <c r="G1399" i="51" s="1"/>
  <c r="H1398" i="51"/>
  <c r="G1398" i="51" s="1"/>
  <c r="H1397" i="51"/>
  <c r="G1397" i="51" s="1"/>
  <c r="H1396" i="51"/>
  <c r="G1396" i="51" s="1"/>
  <c r="H1395" i="51"/>
  <c r="G1395" i="51" s="1"/>
  <c r="H1393" i="51"/>
  <c r="G1393" i="51" s="1"/>
  <c r="H1392" i="51"/>
  <c r="G1392" i="51" s="1"/>
  <c r="H1391" i="51"/>
  <c r="G1391" i="51" s="1"/>
  <c r="H634" i="51"/>
  <c r="G634" i="51" s="1"/>
  <c r="H633" i="51"/>
  <c r="G633" i="51" s="1"/>
  <c r="J17" i="9" l="1"/>
  <c r="H16" i="9"/>
  <c r="F16" i="9"/>
  <c r="D16" i="9"/>
  <c r="G16" i="9" s="1"/>
  <c r="C16" i="9"/>
  <c r="E16" i="9" s="1"/>
  <c r="H15" i="9"/>
  <c r="F15" i="9"/>
  <c r="D15" i="9"/>
  <c r="G15" i="9" s="1"/>
  <c r="C15" i="9"/>
  <c r="E15" i="9" s="1"/>
  <c r="H14" i="9"/>
  <c r="F14" i="9"/>
  <c r="E14" i="9"/>
  <c r="D14" i="9"/>
  <c r="G14" i="9" s="1"/>
  <c r="C14" i="9"/>
  <c r="H13" i="9"/>
  <c r="F13" i="9"/>
  <c r="E13" i="9"/>
  <c r="D13" i="9"/>
  <c r="G13" i="9" s="1"/>
  <c r="C13" i="9"/>
  <c r="H12" i="9"/>
  <c r="F12" i="9"/>
  <c r="D12" i="9"/>
  <c r="G12" i="9" s="1"/>
  <c r="C12" i="9"/>
  <c r="E12" i="9" s="1"/>
  <c r="H11" i="9"/>
  <c r="G11" i="9"/>
  <c r="F11" i="9"/>
  <c r="D11" i="9"/>
  <c r="C11" i="9"/>
  <c r="E11" i="9" s="1"/>
  <c r="I11" i="9" s="1"/>
  <c r="H10" i="9"/>
  <c r="F10" i="9"/>
  <c r="D10" i="9"/>
  <c r="G10" i="9" s="1"/>
  <c r="C10" i="9"/>
  <c r="E10" i="9" s="1"/>
  <c r="H9" i="9"/>
  <c r="F9" i="9"/>
  <c r="D9" i="9"/>
  <c r="G9" i="9" s="1"/>
  <c r="C9" i="9"/>
  <c r="E9" i="9" s="1"/>
  <c r="H8" i="9"/>
  <c r="F8" i="9"/>
  <c r="D8" i="9"/>
  <c r="G8" i="9" s="1"/>
  <c r="C8" i="9"/>
  <c r="E8" i="9" s="1"/>
  <c r="H7" i="9"/>
  <c r="F7" i="9"/>
  <c r="D7" i="9"/>
  <c r="G7" i="9" s="1"/>
  <c r="C7" i="9"/>
  <c r="E7" i="9" s="1"/>
  <c r="H6" i="9"/>
  <c r="F6" i="9"/>
  <c r="D6" i="9"/>
  <c r="G6" i="9" s="1"/>
  <c r="C6" i="9"/>
  <c r="E6" i="9" s="1"/>
  <c r="H5" i="9"/>
  <c r="H17" i="9" s="1"/>
  <c r="F5" i="9"/>
  <c r="F17" i="9" s="1"/>
  <c r="D5" i="9"/>
  <c r="D17" i="9" s="1"/>
  <c r="C5" i="9"/>
  <c r="C17" i="9" s="1"/>
  <c r="I13" i="9" l="1"/>
  <c r="I16" i="9"/>
  <c r="E5" i="9"/>
  <c r="E17" i="9" s="1"/>
  <c r="I7" i="9"/>
  <c r="I12" i="9"/>
  <c r="I9" i="9"/>
  <c r="I15" i="9"/>
  <c r="I14" i="9"/>
  <c r="I10" i="9"/>
  <c r="I6" i="9"/>
  <c r="I8" i="9"/>
  <c r="G5" i="9"/>
  <c r="G17" i="9" s="1"/>
  <c r="I5" i="9" l="1"/>
  <c r="I1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박효은(Hyoeun Park) 두산중공업</author>
  </authors>
  <commentList>
    <comment ref="F479" authorId="0" shapeId="0" xr:uid="{B60E041C-E833-4A1F-9CA8-D7E8C66A30B7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 rejected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79" authorId="0" shapeId="0" xr:uid="{3F72D10F-234B-4AED-A944-E9476F90AB3A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F480" authorId="0" shapeId="0" xr:uid="{F6FA077E-337B-455B-8243-9C13282F02AF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rejected</t>
        </r>
      </text>
    </comment>
    <comment ref="H480" authorId="0" shapeId="0" xr:uid="{FDF1DDB1-2CF4-4480-8F11-3B69E9D9A4CA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F481" authorId="0" shapeId="0" xr:uid="{6C00C7D2-9060-4E43-B0BF-031AE1CDB81E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rejected</t>
        </r>
      </text>
    </comment>
    <comment ref="H481" authorId="0" shapeId="0" xr:uid="{D2D13B54-73F9-48CE-9A4F-600E2FBEA2AD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F482" authorId="0" shapeId="0" xr:uid="{4082E756-D3AC-4C62-A5C9-47F67CB48245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rejected</t>
        </r>
      </text>
    </comment>
    <comment ref="H482" authorId="0" shapeId="0" xr:uid="{F812554B-18BB-4FA5-9861-F680F02710F5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H489" authorId="0" shapeId="0" xr:uid="{3A03BEA1-58B3-4C5D-B336-ABC8A4377EFA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H490" authorId="0" shapeId="0" xr:uid="{13F233BE-54CD-4DBF-AB10-485C64271354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FC </t>
        </r>
        <r>
          <rPr>
            <sz val="9"/>
            <color indexed="81"/>
            <rFont val="돋움"/>
            <family val="3"/>
            <charset val="129"/>
          </rPr>
          <t>리비전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Self-revision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협의건</t>
        </r>
        <r>
          <rPr>
            <sz val="9"/>
            <color indexed="81"/>
            <rFont val="Tahoma"/>
            <family val="2"/>
          </rPr>
          <t>.</t>
        </r>
      </text>
    </comment>
    <comment ref="F503" authorId="0" shapeId="0" xr:uid="{F1E1D55B-77E2-409B-955D-7D3C916CD701}">
      <text>
        <r>
          <rPr>
            <b/>
            <sz val="9"/>
            <color indexed="81"/>
            <rFont val="돋움"/>
            <family val="3"/>
            <charset val="129"/>
          </rPr>
          <t>박효은</t>
        </r>
        <r>
          <rPr>
            <b/>
            <sz val="9"/>
            <color indexed="81"/>
            <rFont val="Tahoma"/>
            <family val="2"/>
          </rPr>
          <t xml:space="preserve">(Hyoeun Park) </t>
        </r>
        <r>
          <rPr>
            <b/>
            <sz val="9"/>
            <color indexed="81"/>
            <rFont val="돋움"/>
            <family val="3"/>
            <charset val="129"/>
          </rPr>
          <t>두산중공업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-REMINDER </t>
        </r>
        <r>
          <rPr>
            <sz val="9"/>
            <color indexed="81"/>
            <rFont val="돋움"/>
            <family val="3"/>
            <charset val="129"/>
          </rPr>
          <t xml:space="preserve">중
</t>
        </r>
        <r>
          <rPr>
            <sz val="9"/>
            <color indexed="81"/>
            <rFont val="Tahoma"/>
            <family val="2"/>
          </rPr>
          <t xml:space="preserve">PLNE document control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status </t>
        </r>
        <r>
          <rPr>
            <sz val="9"/>
            <color indexed="81"/>
            <rFont val="돋움"/>
            <family val="3"/>
            <charset val="129"/>
          </rPr>
          <t>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.
(7/20/by email)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<sst xmlns="http://schemas.openxmlformats.org/spreadsheetml/2006/main" count="26227" uniqueCount="6273">
  <si>
    <r>
      <rPr>
        <sz val="10"/>
        <color theme="1"/>
        <rFont val="Arial"/>
        <family val="2"/>
      </rPr>
      <t xml:space="preserve">2016-12-07 </t>
    </r>
    <r>
      <rPr>
        <sz val="10"/>
        <color theme="1"/>
        <rFont val="돋움"/>
        <family val="3"/>
        <charset val="129"/>
      </rPr>
      <t>기준</t>
    </r>
  </si>
  <si>
    <t>Total Doc.</t>
  </si>
  <si>
    <t>Plan/Issue Doc.</t>
  </si>
  <si>
    <t>Delayed Doc.</t>
  </si>
  <si>
    <t>Submitted</t>
  </si>
  <si>
    <t>FI</t>
  </si>
  <si>
    <t>FA</t>
  </si>
  <si>
    <t>FC</t>
  </si>
  <si>
    <t>Plan</t>
  </si>
  <si>
    <t>Issue</t>
  </si>
  <si>
    <r>
      <rPr>
        <sz val="10"/>
        <color theme="1"/>
        <rFont val="Arial"/>
        <family val="2"/>
      </rPr>
      <t>EM3</t>
    </r>
    <r>
      <rPr>
        <sz val="10"/>
        <color theme="1"/>
        <rFont val="돋움"/>
        <family val="3"/>
        <charset val="129"/>
      </rPr>
      <t>팀</t>
    </r>
  </si>
  <si>
    <t>EM(02)</t>
  </si>
  <si>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운반기술팀</t>
    </r>
  </si>
  <si>
    <t>GA(10)</t>
  </si>
  <si>
    <r>
      <rPr>
        <sz val="10"/>
        <color theme="1"/>
        <rFont val="돋움"/>
        <family val="3"/>
        <charset val="129"/>
      </rPr>
      <t>성능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프로세스기술팀</t>
    </r>
  </si>
  <si>
    <t>PS(11)</t>
  </si>
  <si>
    <t>플랜트기술팀</t>
  </si>
  <si>
    <t>PT(12)</t>
  </si>
  <si>
    <r>
      <rPr>
        <sz val="10"/>
        <color theme="1"/>
        <rFont val="돋움"/>
        <family val="3"/>
        <charset val="129"/>
      </rPr>
      <t>기계기술팀</t>
    </r>
    <r>
      <rPr>
        <sz val="10"/>
        <color theme="1"/>
        <rFont val="Arial"/>
        <family val="2"/>
      </rPr>
      <t>(WT)</t>
    </r>
  </si>
  <si>
    <t>WT(13)</t>
  </si>
  <si>
    <r>
      <rPr>
        <sz val="10"/>
        <color theme="1"/>
        <rFont val="돋움"/>
        <family val="3"/>
        <charset val="129"/>
      </rPr>
      <t>기계기술팀</t>
    </r>
    <r>
      <rPr>
        <sz val="10"/>
        <color theme="1"/>
        <rFont val="Arial"/>
        <family val="2"/>
      </rPr>
      <t>(HVAC)</t>
    </r>
  </si>
  <si>
    <t>HVAC(13)</t>
  </si>
  <si>
    <r>
      <rPr>
        <sz val="10"/>
        <color theme="1"/>
        <rFont val="돋움"/>
        <family val="3"/>
        <charset val="129"/>
      </rPr>
      <t>기계기술팀</t>
    </r>
    <r>
      <rPr>
        <sz val="10"/>
        <color theme="1"/>
        <rFont val="Arial"/>
        <family val="2"/>
      </rPr>
      <t>(FF)</t>
    </r>
  </si>
  <si>
    <t>FF(13)</t>
  </si>
  <si>
    <t>배관기술팀</t>
  </si>
  <si>
    <t>PP(14)</t>
  </si>
  <si>
    <t>전력계통기술팀</t>
  </si>
  <si>
    <t>EL(15)</t>
  </si>
  <si>
    <t>계측제어기술팀</t>
  </si>
  <si>
    <t>I&amp;C(16)</t>
  </si>
  <si>
    <t>토목기술팀</t>
  </si>
  <si>
    <t>CV(17)</t>
  </si>
  <si>
    <t>건축기술팀</t>
  </si>
  <si>
    <t>S&amp;A(18)</t>
  </si>
  <si>
    <t>P/E Center Total</t>
  </si>
  <si>
    <t>Documents &amp; Drawings Control log For Grati Block 2 Add-on Project</t>
  </si>
  <si>
    <t>No.</t>
  </si>
  <si>
    <t>Scope</t>
  </si>
  <si>
    <t>Document No</t>
  </si>
  <si>
    <t>Serial</t>
  </si>
  <si>
    <t>Title</t>
  </si>
  <si>
    <t>Pur</t>
  </si>
  <si>
    <t>First Plan</t>
  </si>
  <si>
    <t>Final Plan</t>
  </si>
  <si>
    <t xml:space="preserve"> Latest Issue to Client</t>
  </si>
  <si>
    <t>Latest Reply from Client</t>
  </si>
  <si>
    <t>DHI/PP</t>
  </si>
  <si>
    <t>FA/FI</t>
  </si>
  <si>
    <t>Issue Date
(To Owner)</t>
  </si>
  <si>
    <t>DT No</t>
  </si>
  <si>
    <t>DT Pur.</t>
  </si>
  <si>
    <t>DT Rev.</t>
  </si>
  <si>
    <t>Date</t>
  </si>
  <si>
    <t>DT No.</t>
  </si>
  <si>
    <t>Pur.</t>
  </si>
  <si>
    <t>Rev.</t>
  </si>
  <si>
    <t>Status</t>
  </si>
  <si>
    <t>DHI</t>
  </si>
  <si>
    <t>GRT-DA01-P0ZEN-020001</t>
  </si>
  <si>
    <t>020001</t>
  </si>
  <si>
    <t>DOCUMENT IDENTIFICATION</t>
  </si>
  <si>
    <t>GRT-DS-IP-DT-170048</t>
  </si>
  <si>
    <t>0</t>
  </si>
  <si>
    <t>2017-05-31</t>
  </si>
  <si>
    <t>APPROVED</t>
  </si>
  <si>
    <t>A</t>
  </si>
  <si>
    <t>GRT-DA01-P0ZEN-020002</t>
  </si>
  <si>
    <t>020002</t>
  </si>
  <si>
    <t>EQUIPMENT AND SYSTEM IDENTIFICATION</t>
  </si>
  <si>
    <t>2017-06-01</t>
  </si>
  <si>
    <t>GRT-QM01-P0ZEN-040001</t>
  </si>
  <si>
    <t>040001</t>
  </si>
  <si>
    <t>Shop Inspection and Test Plan for Manufacturing</t>
  </si>
  <si>
    <t>GRT-DS-IP-DT-170311</t>
  </si>
  <si>
    <t>2017-09-26</t>
  </si>
  <si>
    <t>040001-0</t>
  </si>
  <si>
    <t>GRT-QA00-P0H-040002</t>
  </si>
  <si>
    <t>040002</t>
  </si>
  <si>
    <t>[HRSG]_NDE Procedure for HRSG HP Drum</t>
  </si>
  <si>
    <t>GRT-DS-IP-DT-170214</t>
  </si>
  <si>
    <t>2017-08-11</t>
  </si>
  <si>
    <t/>
  </si>
  <si>
    <t>GRT-QA00-P0H-040003</t>
  </si>
  <si>
    <t>040003</t>
  </si>
  <si>
    <t>[HRSG]_NDE Procedure for HRSG LP Drum</t>
  </si>
  <si>
    <t>GRT-QA00-P0H-040004</t>
  </si>
  <si>
    <t>040004</t>
  </si>
  <si>
    <t>[HRSG]_Heat Treatment Procedure for HRSG Heat Exchanger</t>
  </si>
  <si>
    <t>GRT-DS-IP-DT-170377</t>
  </si>
  <si>
    <t>1</t>
  </si>
  <si>
    <t>2017-11-02</t>
  </si>
  <si>
    <t>040004-1</t>
  </si>
  <si>
    <t>GRT-QA00-P0H-040005</t>
  </si>
  <si>
    <t>040005</t>
  </si>
  <si>
    <t>040005-1</t>
  </si>
  <si>
    <t>GRT-QA00-P0H-040006</t>
  </si>
  <si>
    <t>040006</t>
  </si>
  <si>
    <t>[HRSG]_Shop Quality Manual for HRSG</t>
  </si>
  <si>
    <t>GRT-QA00-P0H-040007</t>
  </si>
  <si>
    <t>040007</t>
  </si>
  <si>
    <t>[HRSG]_Welders List for HRSG Heat Exchanger</t>
  </si>
  <si>
    <t>GRT-DS-IP-DT-170330</t>
  </si>
  <si>
    <t>040007-0</t>
  </si>
  <si>
    <t>GRT-QA00-P0H-040008</t>
  </si>
  <si>
    <t>040008</t>
  </si>
  <si>
    <t>[HRSG]_WPS&amp;PQR for HRSG Heat Exchanger</t>
  </si>
  <si>
    <t>040008-0</t>
  </si>
  <si>
    <t>GRT-QA00-P0H-040009</t>
  </si>
  <si>
    <t>040009</t>
  </si>
  <si>
    <t>[HRSG]_Welders List for HRSG HP Drum</t>
  </si>
  <si>
    <t>040009-0</t>
  </si>
  <si>
    <t>GRT-QA00-P0H-040010</t>
  </si>
  <si>
    <t>040010</t>
  </si>
  <si>
    <t>[HRSG]_WPS&amp;PQR for HRSG HP Drum</t>
  </si>
  <si>
    <t>040010-0</t>
  </si>
  <si>
    <t>GRT-QA00-P0H-040011</t>
  </si>
  <si>
    <t>040011</t>
  </si>
  <si>
    <t>[HRSG]_Welders List for HRSG LP Drum</t>
  </si>
  <si>
    <t>040011-0</t>
  </si>
  <si>
    <t>GRT-QA00-P0H-040012</t>
  </si>
  <si>
    <t>040012</t>
  </si>
  <si>
    <t>[HRSG]_WPS&amp;PQR for HRSG LP Drum</t>
  </si>
  <si>
    <t>040012-0</t>
  </si>
  <si>
    <t>GRT-QA00-P0H-040013</t>
  </si>
  <si>
    <t>040013</t>
  </si>
  <si>
    <t>NDE Procedure for HRSG Piping</t>
  </si>
  <si>
    <t>040013-0</t>
  </si>
  <si>
    <t>GRT-QA00-P0H-040014</t>
  </si>
  <si>
    <t>040014</t>
  </si>
  <si>
    <t>Heat Treatment Procedure for HRSG Piping</t>
  </si>
  <si>
    <t>040014-0</t>
  </si>
  <si>
    <t>GRT-QA00-P0H-040015</t>
  </si>
  <si>
    <t>040015</t>
  </si>
  <si>
    <t>Welders List for HRSG Piping</t>
  </si>
  <si>
    <t>040015-0</t>
  </si>
  <si>
    <t>GRT-QA00-P0H-040016</t>
  </si>
  <si>
    <t>040016</t>
  </si>
  <si>
    <t>WPS&amp;PQR for HRSG Piping</t>
  </si>
  <si>
    <t>040016-0</t>
  </si>
  <si>
    <t>GRT-QA00-P0H-040017</t>
  </si>
  <si>
    <t>040017</t>
  </si>
  <si>
    <t>[HRSG]_Welding Consumable Control Procedure for HRSG Pressure Part</t>
  </si>
  <si>
    <t>GRT-DS-IP-DT-170323</t>
  </si>
  <si>
    <t>2017-10-02</t>
  </si>
  <si>
    <t>040017-0</t>
  </si>
  <si>
    <t>GRT-QA00-P0H-040018</t>
  </si>
  <si>
    <t>040018</t>
  </si>
  <si>
    <t>[HRSG]_Welding Consumable Control Procedure for HRSG Piping</t>
  </si>
  <si>
    <t>GRT-DS-IP-DT-180002</t>
  </si>
  <si>
    <t>2018-01-06</t>
  </si>
  <si>
    <t>040018-0</t>
  </si>
  <si>
    <t>GRT-DP00-P0ZEN-070001</t>
  </si>
  <si>
    <t>070001</t>
  </si>
  <si>
    <t>Painting specification</t>
  </si>
  <si>
    <t>GRT-DS-IP-DT-170490</t>
  </si>
  <si>
    <t>2018-04-26</t>
  </si>
  <si>
    <t>75-5th DRM</t>
  </si>
  <si>
    <t>GRT-UC07-P0ZEN-100001</t>
  </si>
  <si>
    <t>100001</t>
  </si>
  <si>
    <t>PLOT PLAN</t>
  </si>
  <si>
    <t>B</t>
  </si>
  <si>
    <t>GRT-UC08-P0ZEN-100002</t>
  </si>
  <si>
    <t>100002</t>
  </si>
  <si>
    <t>General Arrangement of Power Block</t>
  </si>
  <si>
    <t>C</t>
  </si>
  <si>
    <t>2018-04-06</t>
  </si>
  <si>
    <t>GRT-UE00-P0ZEN-100003</t>
  </si>
  <si>
    <t>General Arrangement of Steam Turbine Building Ground Floor</t>
  </si>
  <si>
    <t>GRT-UE00-P0ZEN-100004</t>
  </si>
  <si>
    <t>100004</t>
  </si>
  <si>
    <t>General Arrangement of Steam Turbine Building Mezzanine Floor</t>
  </si>
  <si>
    <t>GRT-UE00-P0ZEN-100005</t>
  </si>
  <si>
    <t>100005</t>
  </si>
  <si>
    <t>General Arrangement of Steam Turbine Building Operating Floor</t>
  </si>
  <si>
    <t>GRT-UE00-P0ZEN-100006</t>
  </si>
  <si>
    <t>100006</t>
  </si>
  <si>
    <t>General Arrangement of Steam Turbine Building Deaerator Floor</t>
  </si>
  <si>
    <t>GRT-UE00-P0ZEN-100007</t>
  </si>
  <si>
    <t>100007</t>
  </si>
  <si>
    <t>General Arrangement of Steam Turbine Building Basement Floor</t>
  </si>
  <si>
    <t>GRT-UE00-P0ZEN-100008</t>
  </si>
  <si>
    <t>100008</t>
  </si>
  <si>
    <t>General Arrangement of Steam Turbine Building Section A-A</t>
  </si>
  <si>
    <t>GRT-UE00-P0ZEN-100009</t>
  </si>
  <si>
    <t>100009</t>
  </si>
  <si>
    <t>General Arrangement of Steam Turbine Building Section B-B</t>
  </si>
  <si>
    <t>GRT-XG05-P0ZEN-110001</t>
  </si>
  <si>
    <t>110001</t>
  </si>
  <si>
    <t>[Plant Overall]_HEAT BALANCE DIAGRAMS</t>
  </si>
  <si>
    <t>GRT-DS-IP-DT-170145</t>
  </si>
  <si>
    <t>2017-07-19</t>
  </si>
  <si>
    <t>GRT-XG05-P0ZEN-110002</t>
  </si>
  <si>
    <t>110002</t>
  </si>
  <si>
    <t>[Symbol &amp; Legend]_P&amp;I DIAGRAM</t>
  </si>
  <si>
    <t>GRT-DS-IP-DT-170082</t>
  </si>
  <si>
    <t>2017-05-20</t>
  </si>
  <si>
    <t>110002-1</t>
  </si>
  <si>
    <t>GRT-XG02-P0LBA-110003</t>
  </si>
  <si>
    <t>110003</t>
  </si>
  <si>
    <t>[HP &amp; LP steam system]_P&amp;I DIAGRAM</t>
  </si>
  <si>
    <t>GRT-XG02-P0LBG-110004</t>
  </si>
  <si>
    <t>110004</t>
  </si>
  <si>
    <t>[AUX Steam System]_P&amp;I DIAGRAM</t>
  </si>
  <si>
    <t>GRT-XG02-P0LCM-110005</t>
  </si>
  <si>
    <t>110005</t>
  </si>
  <si>
    <t xml:space="preserve">[Steam drain system]_P&amp;ID DIAGRAM </t>
  </si>
  <si>
    <t>GRT-XG02-P0LA-110006</t>
  </si>
  <si>
    <t>110006</t>
  </si>
  <si>
    <t>[Feedwater system]_P&amp;I DIAGRAM</t>
  </si>
  <si>
    <t>DCR</t>
  </si>
  <si>
    <t>2018-03-13</t>
  </si>
  <si>
    <t>08.002/E04/PLNE/III/2018</t>
  </si>
  <si>
    <t>GRT-XG02-P0LC-110007</t>
  </si>
  <si>
    <t>110007</t>
  </si>
  <si>
    <t>[Condensate system]_P&amp;I DIAGRAM</t>
  </si>
  <si>
    <t>GRT-DS-IP-DT-170366</t>
  </si>
  <si>
    <t>110007-0</t>
  </si>
  <si>
    <t>GRT-XG02-P0PA-110008</t>
  </si>
  <si>
    <t>110008</t>
  </si>
  <si>
    <t>[Aux. Cooling Water System]_P&amp;I DIAGRAM</t>
  </si>
  <si>
    <t>GRT-DS-IP-DT-170236</t>
  </si>
  <si>
    <t>2017-08-22</t>
  </si>
  <si>
    <t>GRT-XG02-P0PG-110009</t>
  </si>
  <si>
    <t>110009</t>
  </si>
  <si>
    <t>[Closed cooling water system]_P&amp;I DIAGRAM</t>
  </si>
  <si>
    <t>GRT-DS-IP-DT-170482</t>
  </si>
  <si>
    <t>GRT-XG02-P0QJA-110010</t>
  </si>
  <si>
    <t>110010</t>
  </si>
  <si>
    <t>[N2 Gas system]_P&amp;I DIAGRAM</t>
  </si>
  <si>
    <t>GRT-DS-IP-DT-170515</t>
  </si>
  <si>
    <t>2</t>
  </si>
  <si>
    <t>87-5th DRM</t>
  </si>
  <si>
    <t>GRT-CN00-P0ZEN-110100</t>
  </si>
  <si>
    <t>110100</t>
  </si>
  <si>
    <t>[Plant Overall]_OPERATION PHILOSOPHY OF OVERALL PLANT</t>
  </si>
  <si>
    <t>110102</t>
  </si>
  <si>
    <t>[Plant Overall]_PLANT START - UP AND SHUT - DOWN PROCEDURE</t>
  </si>
  <si>
    <t>2018-01-24</t>
  </si>
  <si>
    <t>GRT-YR01-P0ZEN-110103</t>
  </si>
  <si>
    <t>110103</t>
  </si>
  <si>
    <t>[Plant Overall]_STEAM BLOWING - OUT PROCEDURE</t>
  </si>
  <si>
    <t>2018-03-27</t>
  </si>
  <si>
    <t>GRT-CN00-P0ZEN-110104</t>
  </si>
  <si>
    <t>110104</t>
  </si>
  <si>
    <t>[Plant Overall]_Hazardous Area Classification</t>
  </si>
  <si>
    <t>GRT-DS-IP-DT-170267</t>
  </si>
  <si>
    <t>2017-09-08</t>
  </si>
  <si>
    <t>110104-0</t>
  </si>
  <si>
    <t>GRT-YR01-P0ZEN-110105</t>
  </si>
  <si>
    <t>110105</t>
  </si>
  <si>
    <t>[HP &amp; LP steam system]_Pressure drop calculation</t>
  </si>
  <si>
    <t>GRT-DS-IP-DT-170175</t>
  </si>
  <si>
    <t>GRT-CN00-P0ZEN-110106</t>
  </si>
  <si>
    <t>110106</t>
  </si>
  <si>
    <t>[Steam drain system]_Flash tank calculation</t>
  </si>
  <si>
    <t>GRT-YR01-P0ZEN-110107</t>
  </si>
  <si>
    <t>110107</t>
  </si>
  <si>
    <t>[Plant Overall]_STEAM FLUSHING - DIAGRAM</t>
  </si>
  <si>
    <t>GRT-XW01-P0LBA-110200</t>
  </si>
  <si>
    <t>110200</t>
  </si>
  <si>
    <t>[HP &amp; LP steam system]_DESIGN CRITERIA</t>
  </si>
  <si>
    <t>GRT-DS-IP-DT-170159</t>
  </si>
  <si>
    <t>2017-07-17</t>
  </si>
  <si>
    <t>GRT-XW01-P0LBG-110201</t>
  </si>
  <si>
    <t>110201</t>
  </si>
  <si>
    <t>[AUX Steam System]_DESIGN CRITERIA</t>
  </si>
  <si>
    <t>GRT-XW01-P0LA-110202</t>
  </si>
  <si>
    <t>110202</t>
  </si>
  <si>
    <t>[Feedwater system]_DESIGN CRITERIA</t>
  </si>
  <si>
    <t>GRT-DS-IP-DT-170135</t>
  </si>
  <si>
    <t>GRT-XW01-P0LC-110203</t>
  </si>
  <si>
    <t>110203</t>
  </si>
  <si>
    <t>[Condensate system]_DESIGN CRITERIA</t>
  </si>
  <si>
    <t>GRT-XW01-P0PA-110204</t>
  </si>
  <si>
    <t>110204</t>
  </si>
  <si>
    <t>[Aux. Cooling Water System]_DESIGN CRITERIA</t>
  </si>
  <si>
    <t>GRT-DS-IP-DT-170149</t>
  </si>
  <si>
    <t>GRT-XW01-P0PG-110205</t>
  </si>
  <si>
    <t>110205</t>
  </si>
  <si>
    <t>[Closed cooling water system]_DESIGN CRITERIA</t>
  </si>
  <si>
    <t>GRT-XW01-P0QJA-110206</t>
  </si>
  <si>
    <t>110206</t>
  </si>
  <si>
    <t>[N2 Gas system]_Design Criteria</t>
  </si>
  <si>
    <t>81-5th DRM</t>
  </si>
  <si>
    <t>GRT-XG07-P0LBA-110300</t>
  </si>
  <si>
    <t>110300</t>
  </si>
  <si>
    <t>[Steam, Feedwater &amp; Condensate system]_PROCESS FLOW DIAGRAM</t>
  </si>
  <si>
    <t>GRT-DS-IP-DT-170174</t>
  </si>
  <si>
    <t>GRT-XG07-P0PA-110304</t>
  </si>
  <si>
    <t>110304</t>
  </si>
  <si>
    <t>[Aux. &amp; Closed Cooling Water System]_PROCESS FLOW DIAGRAM</t>
  </si>
  <si>
    <t>GRT-XS00-P0LBA-110400</t>
  </si>
  <si>
    <t>110400</t>
  </si>
  <si>
    <t>[HP &amp; LP steam system]_SYSTEM DESCRIPTION</t>
  </si>
  <si>
    <t>GRT-DS-IP-DT-170123</t>
  </si>
  <si>
    <t>2017-06-20</t>
  </si>
  <si>
    <t>GRT-XS00-P0LBG-110401</t>
  </si>
  <si>
    <t>110401</t>
  </si>
  <si>
    <t>[AUX Steam System]_SYSTEM DESCRIPTION</t>
  </si>
  <si>
    <t>GRT-XS00-P0LA-110402</t>
  </si>
  <si>
    <t>110402</t>
  </si>
  <si>
    <t>[Feedwater system]_SYSTEM DESCRIPTION</t>
  </si>
  <si>
    <t>GRT-DS-IP-DT-170132</t>
  </si>
  <si>
    <t>GRT-XS00-P0LC-110403</t>
  </si>
  <si>
    <t>110403</t>
  </si>
  <si>
    <t>[Condensate system]_SYSTEM DESCRIPTION</t>
  </si>
  <si>
    <t>GRT-DS-IP-DT-170078</t>
  </si>
  <si>
    <t>2017-06-16</t>
  </si>
  <si>
    <t>02.031/E04/PLNE/VI/2017</t>
  </si>
  <si>
    <t>GRT-XS00-P0PA-110404</t>
  </si>
  <si>
    <t>110404</t>
  </si>
  <si>
    <t>[Aux. Cooling Water System]_SYSTEM DESCRIPTION</t>
  </si>
  <si>
    <t>GRT-XS00-P0PG-110405</t>
  </si>
  <si>
    <t>110405</t>
  </si>
  <si>
    <t>[Closed cooling water system]_SYSTEM DESCRIPTION</t>
  </si>
  <si>
    <t>GRT-XS00-P0QJA-110406</t>
  </si>
  <si>
    <t>110406</t>
  </si>
  <si>
    <t>[N2 Gas system]_system description</t>
  </si>
  <si>
    <t>82-5th DRM</t>
  </si>
  <si>
    <t>GRT-XW03-P0LA-110500</t>
  </si>
  <si>
    <t>110500</t>
  </si>
  <si>
    <t>[BFP_Design]_sizing Calculation</t>
  </si>
  <si>
    <t>GRT-DS-IP-DT-170157</t>
  </si>
  <si>
    <t>GRT-XW03-P0LC-110501</t>
  </si>
  <si>
    <t>110501</t>
  </si>
  <si>
    <t>[CEP_Design]_sizing Calculation</t>
  </si>
  <si>
    <t>GRT-DS-IP-DT-170101</t>
  </si>
  <si>
    <t>2017-06-08</t>
  </si>
  <si>
    <t>GRT-YD00-P0QJA-111000</t>
  </si>
  <si>
    <t>111000</t>
  </si>
  <si>
    <t>[N2 Gas System]_General Arrangement Drawing</t>
  </si>
  <si>
    <t>GRT-DS-IP-DT-170483</t>
  </si>
  <si>
    <t>42-5th DRM</t>
  </si>
  <si>
    <t>GRT-XW03-P0QJA-111001</t>
  </si>
  <si>
    <t>111001</t>
  </si>
  <si>
    <t>[N2 Gas System_Design]_sizing Calculation</t>
  </si>
  <si>
    <t>GRT-CT00-P0QJA-111011</t>
  </si>
  <si>
    <t>111011</t>
  </si>
  <si>
    <t>[N2 GAS SYSTEM]_OPERATION &amp; MAINTENANCE MANUAL</t>
  </si>
  <si>
    <t>GRT-YT01-P0LB-111100</t>
  </si>
  <si>
    <t>111100</t>
  </si>
  <si>
    <t>[Bypass Valve &amp; PRDS]_DATA SHEET FOR BYPASS AND PRDS</t>
  </si>
  <si>
    <t>83-5th DRM</t>
  </si>
  <si>
    <t>GRT-YK08-P0LB-111101</t>
  </si>
  <si>
    <t>111101</t>
  </si>
  <si>
    <t>[Bypass Valve &amp; PRDS]_OUTLINE DRAWING FOR BYPASS AND PRDS</t>
  </si>
  <si>
    <t>GRT-YK08-P0LB-111102</t>
  </si>
  <si>
    <t>111102</t>
  </si>
  <si>
    <t>[Bypass Valve &amp; PRDS]_OUTLINE DRAWING FOR HYDRAULIC POWER UNIT</t>
  </si>
  <si>
    <t>0DCR1</t>
  </si>
  <si>
    <t>GRT-YS18-P0LB-111103</t>
  </si>
  <si>
    <t>111103</t>
  </si>
  <si>
    <t>[Bypass Valve &amp; PRDS]_CIRCUIT DIAGRAM FOR HYDRAULIC POWER UNIT</t>
  </si>
  <si>
    <t>GRT-DS-IP-DT-170431</t>
  </si>
  <si>
    <t>GRT-XS01-P0LB-111105</t>
  </si>
  <si>
    <t>111105</t>
  </si>
  <si>
    <t>[Bypass Valve &amp; PRDS]_Operating Description for HPU system for Bypass System</t>
  </si>
  <si>
    <t>GRT-DS-IP-DT-170472</t>
  </si>
  <si>
    <t>44-5th DRM</t>
  </si>
  <si>
    <t>GRT-YK09-P0LB-111106</t>
  </si>
  <si>
    <t>111106</t>
  </si>
  <si>
    <t>[Bypass Valve &amp; PRDS]_Sectional drawing</t>
  </si>
  <si>
    <t>2017-10-13</t>
  </si>
  <si>
    <t>GRT-YS18-P0LB-111107</t>
  </si>
  <si>
    <t>111107</t>
  </si>
  <si>
    <t>[Bypass Valve &amp; PRDS]_P&amp;ID for HPU</t>
  </si>
  <si>
    <t>45-5th DRM</t>
  </si>
  <si>
    <t>GRT-YL22-P0LB-111108</t>
  </si>
  <si>
    <t>111108</t>
  </si>
  <si>
    <t>[Bypass Valve &amp; PRDS]_Name Plate Drawing</t>
  </si>
  <si>
    <t>3-5th DRM</t>
  </si>
  <si>
    <t>GRT-XL35-P0LB-111109</t>
  </si>
  <si>
    <t>111109</t>
  </si>
  <si>
    <t>[Bypass Valve &amp; PRDS]_Instrument List &amp; Database Sheet</t>
  </si>
  <si>
    <t>46-5th DRM</t>
  </si>
  <si>
    <t>GRT-YT01-P0LB-111110</t>
  </si>
  <si>
    <t>111110</t>
  </si>
  <si>
    <t>[Bypass Valve &amp; PRDS]_Data Sheet for  HPU</t>
  </si>
  <si>
    <t>47-5th DRM</t>
  </si>
  <si>
    <t>GRT-YS18-P0LB-111111</t>
  </si>
  <si>
    <t>111111</t>
  </si>
  <si>
    <t>[Bypass Valve &amp; PRDS]_Pneumatic Diagram</t>
  </si>
  <si>
    <t>GRT-YS00-P0LB-111112</t>
  </si>
  <si>
    <t>111112</t>
  </si>
  <si>
    <t>[Bypass Valve &amp; PRDS]_Wiring Diagram</t>
  </si>
  <si>
    <t>GRT-YK08-P0ZEN-111200</t>
  </si>
  <si>
    <t>111200</t>
  </si>
  <si>
    <t>[Safety Relief Valve(DHI)]_OUTLINE DRAWING FOR SAFEY AND RELIEF VALVE</t>
  </si>
  <si>
    <t>GRT-DS-IP-DT-170354</t>
  </si>
  <si>
    <t>GRT-YT01-P0ZEN-111201</t>
  </si>
  <si>
    <t>111201</t>
  </si>
  <si>
    <t>[Safety Relief Valve(DHI)]_DATA SHEET FOR SAFETY AND RELIEF VALVE</t>
  </si>
  <si>
    <t>GRT-CT00-P0LB-111210</t>
  </si>
  <si>
    <t>111210</t>
  </si>
  <si>
    <t>[Bypass]_O&amp;M Manual</t>
  </si>
  <si>
    <t>GRT-YK08-P0LBG-111300</t>
  </si>
  <si>
    <t>111300</t>
  </si>
  <si>
    <t>[Silencer]_OUTLINE DRAWING FOR SILENCER</t>
  </si>
  <si>
    <t>GRT-DS-IP-DT-170432</t>
  </si>
  <si>
    <t>84-5th DRM</t>
  </si>
  <si>
    <t>GRT-YT01-P0LBG-111301</t>
  </si>
  <si>
    <t>111301</t>
  </si>
  <si>
    <t>[Silencer]_DATA SHEET FOR SILENCER</t>
  </si>
  <si>
    <t>85-5th DRM</t>
  </si>
  <si>
    <t>GRT-YD00-P0PCC-113001</t>
  </si>
  <si>
    <t>113001</t>
  </si>
  <si>
    <t>[Aux. Cooling Water Pump]_GENERAL ARRANGEMENT DRAWING FOR AUXILIARY COOLING WATER PUMP</t>
  </si>
  <si>
    <t>GRT-DS-IP-DT-170295</t>
  </si>
  <si>
    <t>2017-09-18</t>
  </si>
  <si>
    <t>GRT-YT01-P0PCC-113002</t>
  </si>
  <si>
    <t>113002</t>
  </si>
  <si>
    <t>[Aux. Cooling Water Pump]_DATA SHEET FOR AUXILIARY COOLING WATER PUMP</t>
  </si>
  <si>
    <t>GRT-DS-IP-DT-170261</t>
  </si>
  <si>
    <t>GRT-YK10-P0PCC-113003</t>
  </si>
  <si>
    <t>113003</t>
  </si>
  <si>
    <t>[Aux. Cooling Water Pump]_Pump Sectional Drawing</t>
  </si>
  <si>
    <t>GRT-DS-IP-DT-170260</t>
  </si>
  <si>
    <t>113003-0</t>
  </si>
  <si>
    <t>GRT-YT01-P0PCC-113004</t>
  </si>
  <si>
    <t>113004</t>
  </si>
  <si>
    <t>[Aux. Cooling Water Pump]_DATA SHEET FOR AUXILIARY COOLING WATER PUMP MOTOR</t>
  </si>
  <si>
    <t>113004-0</t>
  </si>
  <si>
    <t>GRT-YD00-P0PCC-113005</t>
  </si>
  <si>
    <t>113005</t>
  </si>
  <si>
    <t>[Aux. Cooling Water Pump]_OUTLINE DRAWING FOR AUXILIARY COOLING WATER PUMP MOTOR</t>
  </si>
  <si>
    <t>48-5th DRM</t>
  </si>
  <si>
    <t>GRT-YD00-P0PCC-113007</t>
  </si>
  <si>
    <t>113007</t>
  </si>
  <si>
    <t>[Aux. Cooling Water Pump]_MAIN TERMINAL BOX DRAWING FOR AUXILIARY COOLING WATER PUMP MOTOR</t>
  </si>
  <si>
    <t>GRT-DS-IP-DT-170426</t>
  </si>
  <si>
    <t>113007-0</t>
  </si>
  <si>
    <t>GRT-YL22-P0PCC-113008</t>
  </si>
  <si>
    <t>113008</t>
  </si>
  <si>
    <t>[Aux. Cooling Water Pump]_NAMEPLATE DRAWING FOR AUXILIARY COOLING WATER PUMP</t>
  </si>
  <si>
    <t>GRT-DS-IP-DT-170355</t>
  </si>
  <si>
    <t>113008-0</t>
  </si>
  <si>
    <t>GRT-YL22-P0PCC-113009</t>
  </si>
  <si>
    <t>113009</t>
  </si>
  <si>
    <t>[Aux. Cooling Water Pump]_NAMEPLATE DRAWING FOR AUXILIARY COOLING WATER PUMP MOTOR</t>
  </si>
  <si>
    <t>GRT-DS-IP-DT-170358</t>
  </si>
  <si>
    <t>113009-0</t>
  </si>
  <si>
    <t>GRT-XW03-P0PCC-113010</t>
  </si>
  <si>
    <t>113010</t>
  </si>
  <si>
    <t>[Aux. Cooling Water Pump_Design]_SIZING CALCULATION FOR AUXILIARY COOLING WATER PUMP</t>
  </si>
  <si>
    <t>GRT-YL22-P0PCC-113017</t>
  </si>
  <si>
    <t>113017</t>
  </si>
  <si>
    <t>[ACWP]_OPERATION &amp; MAINTENANCE MANUAL</t>
  </si>
  <si>
    <t>GRT-YD00-P0PGB-113101</t>
  </si>
  <si>
    <t>113101</t>
  </si>
  <si>
    <t>[CCWP ]_GENERAL ARRANGEMENT DRAWING FOR CLOSED COOLING WATER PUMP</t>
  </si>
  <si>
    <t>GRT-YT01-P0PGB-113102</t>
  </si>
  <si>
    <t>113102</t>
  </si>
  <si>
    <t>[CCWP ]_DATA SHEET FOR CLOSED COOLING WATER PUMP</t>
  </si>
  <si>
    <t>GRT-YK10-P0PGB-113103</t>
  </si>
  <si>
    <t>113103</t>
  </si>
  <si>
    <t>[CCWP ]_Pump Sectional Drawing</t>
  </si>
  <si>
    <t>113103-0</t>
  </si>
  <si>
    <t>GRT-YT01-P0PGB-113104</t>
  </si>
  <si>
    <t>113104</t>
  </si>
  <si>
    <t>[CCWP ]_DATA SHEET FOR CLOSED COOLING WATER PUMP MOTOR</t>
  </si>
  <si>
    <t>113104-0</t>
  </si>
  <si>
    <t>GRT-YD00-P0PGB-113105</t>
  </si>
  <si>
    <t>113105</t>
  </si>
  <si>
    <t>[CCWP ]_OUTLINE DRAWING FOR CLOSED COOLING WATER PUMP MOTOR</t>
  </si>
  <si>
    <t>49-5th DRM</t>
  </si>
  <si>
    <t>GRT-YD00-P0PGB-113107</t>
  </si>
  <si>
    <t>113107</t>
  </si>
  <si>
    <t>[CCWP ]_MAIN TERMINAL BOX DRAWING FOR CLOSED COOLING WATER PUMP MOTOR</t>
  </si>
  <si>
    <t>GRT-DS-IP-DT-170494</t>
  </si>
  <si>
    <t>50-5th DRM</t>
  </si>
  <si>
    <t>GRT-YL22-P0PGB-113108</t>
  </si>
  <si>
    <t>113108</t>
  </si>
  <si>
    <t>[CCWP ]_NAMEPLATE DRAWING FOR CLOSED COOLING WATER PUMP</t>
  </si>
  <si>
    <t>113108-0</t>
  </si>
  <si>
    <t>GRT-YL22-P0PGB-113109</t>
  </si>
  <si>
    <t>113109</t>
  </si>
  <si>
    <t>[CCWP ]_NAMEPLATE DRAWING FOR CLOSED COOLING WATER PUMP MOTOR</t>
  </si>
  <si>
    <t>113109-0</t>
  </si>
  <si>
    <t>GRT-XW03-P0PGB-113110</t>
  </si>
  <si>
    <t>113110</t>
  </si>
  <si>
    <t>[CCWP_Design]_SIZING CALCULATION FOR CLOSED COOLING WATER PUMP</t>
  </si>
  <si>
    <t>GRT-DS-IP-DT-170272</t>
  </si>
  <si>
    <t>113110-0</t>
  </si>
  <si>
    <t>GRT-YL22-P0PGB-113117</t>
  </si>
  <si>
    <t>113117</t>
  </si>
  <si>
    <t>[CCWP]_OPERATION &amp; MAINTENANCE MANUAL</t>
  </si>
  <si>
    <t>GRT-YT01-P0PGB-113200</t>
  </si>
  <si>
    <t>113200</t>
  </si>
  <si>
    <t>[Blowdown Cooler]_DATA SHEET FOR PLATE TYPE HEAT EXCHANGER</t>
  </si>
  <si>
    <t>GRT-DS-IP-DT-170239</t>
  </si>
  <si>
    <t>GRT-YD00-P0PGB-113201</t>
  </si>
  <si>
    <t>113201</t>
  </si>
  <si>
    <t>[Blowdown Cooler]_OUTLINE DRAWING FOR PLATE TYPE HEAT EXCHANGER</t>
  </si>
  <si>
    <t>GRT-DS-IP-DT-170481</t>
  </si>
  <si>
    <t>51-5th DRM</t>
  </si>
  <si>
    <t>GRT-YD00-P0PGB-113205</t>
  </si>
  <si>
    <t>113205</t>
  </si>
  <si>
    <t>[Blowdown Cooler]_INSTALLATION, OPERATION AND MAINTENANCE MANUAL</t>
  </si>
  <si>
    <t>GRT-YK10-P0ZEN-113300</t>
  </si>
  <si>
    <t>113300</t>
  </si>
  <si>
    <t>[MOV (Gate &amp; Globe)(DHI)]_OUTLINE DRAWING FOR MOV (G&amp;G)</t>
  </si>
  <si>
    <t>GRT-DS-IP-DT-170488</t>
  </si>
  <si>
    <t>52-5th DRM</t>
  </si>
  <si>
    <t>GRT-YT01-P0ZEN-113301</t>
  </si>
  <si>
    <t>113301</t>
  </si>
  <si>
    <t>[MOV (Gate &amp; Globe)(DHI)]_VALVE LIST &amp; DATA SHEET FOR MOV (G&amp;G)</t>
  </si>
  <si>
    <t>53-5th DRM</t>
  </si>
  <si>
    <t>GRT-YK10-P0ZEN-113400</t>
  </si>
  <si>
    <t>113400</t>
  </si>
  <si>
    <t>[MOV (Butterfly)(DHI)]_OUTLINE DRAWING FOR MOV (BUTTERFLY)</t>
  </si>
  <si>
    <t>GRT-DS-IP-DT-170383</t>
  </si>
  <si>
    <t>113400-0</t>
  </si>
  <si>
    <t>GRT-YT01-P0ZEN-113401</t>
  </si>
  <si>
    <t>113401</t>
  </si>
  <si>
    <t>[MOV (Butterfly)(DHI)]_VALVE LIST &amp; DATA SHEET FOR MOV (BUTTERFLY)</t>
  </si>
  <si>
    <t>113401-0</t>
  </si>
  <si>
    <t>GRT-XG02-P0SC-120001</t>
  </si>
  <si>
    <t>120001</t>
  </si>
  <si>
    <t>[Compressed air system]_P&amp;I DIAGRAM FOR COMPRESSED AIR SYSTEM</t>
  </si>
  <si>
    <t>2017-08-25</t>
  </si>
  <si>
    <t>GRT-XG02-P0SC-120002</t>
  </si>
  <si>
    <t>120002</t>
  </si>
  <si>
    <t>[Compressed air system]_P&amp;I DIAGRAM FOR INSTRUMENT AIR SYSTEM</t>
  </si>
  <si>
    <t>GRT-XG02-P0SC-120003</t>
  </si>
  <si>
    <t>120003</t>
  </si>
  <si>
    <t>[Compressed air system]_P&amp;I DIAGRAM FOR SERVICE AIR SYSTEM</t>
  </si>
  <si>
    <t>GRT-DS-IP-DT-170484</t>
  </si>
  <si>
    <t>2017-12-18</t>
  </si>
  <si>
    <t>GRT-XS00-P0SC-120004</t>
  </si>
  <si>
    <t>120004</t>
  </si>
  <si>
    <t>[Compressed air system]_SYSTEM DESCRIPTION FOR COMPRESSED AIR SYSTEM</t>
  </si>
  <si>
    <t>GRT-DS-IP-DT-170113</t>
  </si>
  <si>
    <t>GRT-XS00-P0SC-120005</t>
  </si>
  <si>
    <t>120005</t>
  </si>
  <si>
    <t>[Compressed air system]_DESIGN CRITERIA FOR COMPRESSED AIR SYSTEM</t>
  </si>
  <si>
    <t>GRT-DS-IP-DT-170118</t>
  </si>
  <si>
    <t>4-5th DRM</t>
  </si>
  <si>
    <t>GRT-XW03-P0SC-120006</t>
  </si>
  <si>
    <t>120006</t>
  </si>
  <si>
    <t>[Compressed air system]_SIZING CALCULATION_COMPRESSED AIR SYSTEM</t>
  </si>
  <si>
    <t>GRT-DS-IP-DT-170202</t>
  </si>
  <si>
    <t>2017-07-24</t>
  </si>
  <si>
    <t>GRT-YD00-P0SCA-120007</t>
  </si>
  <si>
    <t>120007</t>
  </si>
  <si>
    <t>[Air Compressor]_AIR COMPRESSOR_GENERAL ARRANGEMENT DRAWING FOR AIR COMPRESSORS PACKAGE</t>
  </si>
  <si>
    <t>GRT-XG02-P0SCA-120008</t>
  </si>
  <si>
    <t>120008</t>
  </si>
  <si>
    <t>[Air Compressor]_P&amp;I DIAGRAM FOR AIR COMPRESSOR PACKAGE</t>
  </si>
  <si>
    <t>GRT-DS-IP-DT-170232</t>
  </si>
  <si>
    <t>GRT-XW01-P0SCA-120009</t>
  </si>
  <si>
    <t>120009</t>
  </si>
  <si>
    <t>[Air Compressor]_AIR COMPRESSOR SPECIFICATION</t>
  </si>
  <si>
    <t>GRT-DS-IP-DT-170203</t>
  </si>
  <si>
    <t>2017-08-03</t>
  </si>
  <si>
    <t>GRT-XW01-P0SCA-120010</t>
  </si>
  <si>
    <t>120010</t>
  </si>
  <si>
    <t>[Air Compressor]_AIR DRYER SPECIFICATION</t>
  </si>
  <si>
    <t>GRT-XW01-P0SCA-120011</t>
  </si>
  <si>
    <t>120011</t>
  </si>
  <si>
    <t>[Air Compressor]_AIR RECEIVER SPECIFICATION</t>
  </si>
  <si>
    <t>GRT-XW01-P0SCA-120012</t>
  </si>
  <si>
    <t>120012</t>
  </si>
  <si>
    <t>[Air Compressor]_AIR FILTER SPECIFICATION</t>
  </si>
  <si>
    <t>GRT-XB00-P0SCA-120013</t>
  </si>
  <si>
    <t>120013</t>
  </si>
  <si>
    <t>[Air Compressor]_FOUNDATION DRAWINGS</t>
  </si>
  <si>
    <t>GRT-DS-IP-DT-170297</t>
  </si>
  <si>
    <t>120013-0</t>
  </si>
  <si>
    <t>GRT-YU02-P0SCA-120014</t>
  </si>
  <si>
    <t>120014</t>
  </si>
  <si>
    <t>[Air Compressor]_SINGLE LINE DIAGRAM</t>
  </si>
  <si>
    <t>GRT-DS-IP-DT-170300</t>
  </si>
  <si>
    <t>GRT-YV02-P0SCA-120015</t>
  </si>
  <si>
    <t>120015</t>
  </si>
  <si>
    <t>[Air Compressor]_ELECTRICAL WIRING DIAGRAMS</t>
  </si>
  <si>
    <t>GRT-DS-IP-DT-170394</t>
  </si>
  <si>
    <t>120015-0</t>
  </si>
  <si>
    <t>GRT-YU03-P0SCA-120016</t>
  </si>
  <si>
    <t>120016</t>
  </si>
  <si>
    <t>[Air Compressor]_ELECTRICAL SCHEMATIC DIAGRAM</t>
  </si>
  <si>
    <t>120016-0</t>
  </si>
  <si>
    <t>GRT-YF02-P0SCA-120017</t>
  </si>
  <si>
    <t>120017</t>
  </si>
  <si>
    <t>[Air Compressor]_CONTROL DESCRIPTION (PHILOSOPHY)</t>
  </si>
  <si>
    <t>GRT-DS-IP-DT-170329</t>
  </si>
  <si>
    <t>120017-0</t>
  </si>
  <si>
    <t>GRT-YD05-P0SCA-120018</t>
  </si>
  <si>
    <t>120018</t>
  </si>
  <si>
    <t>[Air Compressor]_PLC HMI GRAPHICS</t>
  </si>
  <si>
    <t>120018-0</t>
  </si>
  <si>
    <t>GRT-YL01-P0SCA-120019</t>
  </si>
  <si>
    <t>120019</t>
  </si>
  <si>
    <t>[Air Compressor]_PLC HARDWIRED IO LIST</t>
  </si>
  <si>
    <t>120019-0</t>
  </si>
  <si>
    <t>GRT-YL01-P0SCA-120020</t>
  </si>
  <si>
    <t>120020</t>
  </si>
  <si>
    <t>[Air Compressor]_DATALINK INTERFACE IO LIST</t>
  </si>
  <si>
    <t>120020-0</t>
  </si>
  <si>
    <t>GRT-YF00-P0SCA-120021</t>
  </si>
  <si>
    <t>120021</t>
  </si>
  <si>
    <t>[Air Compressor]_CONTROL LOGIC &amp; LOOP DIAGRAM</t>
  </si>
  <si>
    <t>120021-0</t>
  </si>
  <si>
    <t>GRT-YV02-P0SCA-120022</t>
  </si>
  <si>
    <t>120022</t>
  </si>
  <si>
    <t>[Air Compressor]_I&amp;C WIRING DIAGRAMS</t>
  </si>
  <si>
    <t>GRT-YL00-P0SCA-120023</t>
  </si>
  <si>
    <t>120023</t>
  </si>
  <si>
    <t>[Air Compressor]_INSTRUMENT LIST</t>
  </si>
  <si>
    <t>GRT-DS-IP-DT-170301</t>
  </si>
  <si>
    <t>120023-0</t>
  </si>
  <si>
    <t>GRT-CV03-P0SCA-120024</t>
  </si>
  <si>
    <t>120024</t>
  </si>
  <si>
    <t>[Air Compressor]_INSTRUMENT SPECIFICATION</t>
  </si>
  <si>
    <t>120024-0</t>
  </si>
  <si>
    <t>GRT-YK00-P0SCA-120025</t>
  </si>
  <si>
    <t>120025</t>
  </si>
  <si>
    <t>[Air Compressor]_INSTRUMENTATION HOOK - UP DRAWING</t>
  </si>
  <si>
    <t>120025-0</t>
  </si>
  <si>
    <t>GRT-YF02-P0SCA-120026</t>
  </si>
  <si>
    <t>120026</t>
  </si>
  <si>
    <t>[Air Compressor]_PLC PANEL DRAWING</t>
  </si>
  <si>
    <t>120026-0</t>
  </si>
  <si>
    <t>GRT-XF00-P0SCA-120027</t>
  </si>
  <si>
    <t>120027</t>
  </si>
  <si>
    <t>[Air Compressor]_NAME PLATE DRAWING</t>
  </si>
  <si>
    <t>120027-0</t>
  </si>
  <si>
    <t>GRT-XN00-P0SCA-120028</t>
  </si>
  <si>
    <t>120028</t>
  </si>
  <si>
    <t>[Air Compressor]_VALVE LIST</t>
  </si>
  <si>
    <t>120028-0</t>
  </si>
  <si>
    <t>GRT-XW01-P0SCA-120029</t>
  </si>
  <si>
    <t>120029</t>
  </si>
  <si>
    <t>[Air Compressor]_VALVE SPECIFICATION</t>
  </si>
  <si>
    <t>120029-0</t>
  </si>
  <si>
    <t>GRT-CQ02-P0SCA-120030</t>
  </si>
  <si>
    <t>120030</t>
  </si>
  <si>
    <t>[Air Compressor]_O &amp; M MANUAL</t>
  </si>
  <si>
    <t>120030-0</t>
  </si>
  <si>
    <t>GRT-XW01-P0SCA-120031</t>
  </si>
  <si>
    <t>120031</t>
  </si>
  <si>
    <t>[Air Compressor]_MAIN MOTOR SPECIFICATION</t>
  </si>
  <si>
    <t>GRT-DS-IP-DT-170438</t>
  </si>
  <si>
    <t>120031-0</t>
  </si>
  <si>
    <t>GRT-YD00-P0LCB-121001</t>
  </si>
  <si>
    <t>121001</t>
  </si>
  <si>
    <t>[Condensate Extraction Pump]_GENERAL ARRANGEMENT DRAWING</t>
  </si>
  <si>
    <t>GRT-DS-IP-DT-170376</t>
  </si>
  <si>
    <t>5-5th DRM</t>
  </si>
  <si>
    <t>GRT-XG02-P0LCB-121002</t>
  </si>
  <si>
    <t>121002</t>
  </si>
  <si>
    <t>[Condensate Extraction Pump]_P&amp;I DIAGRAM</t>
  </si>
  <si>
    <t>GRT-DS-IP-DT-170469</t>
  </si>
  <si>
    <t>121002-1</t>
  </si>
  <si>
    <t>GRT-YT01-P0LCB-121003</t>
  </si>
  <si>
    <t>121003</t>
  </si>
  <si>
    <t>[Condensate Extraction Pump]_DATA SHEET &amp; CHARACTERISTIC CURVE</t>
  </si>
  <si>
    <t>GRT-DS-IP-DT-170443</t>
  </si>
  <si>
    <t>6-5th DRM</t>
  </si>
  <si>
    <t>GRT-YK09-P0LCB-121004</t>
  </si>
  <si>
    <t>121004</t>
  </si>
  <si>
    <t>[Condensate Extraction Pump]_PUMP SECTIONAL DRAWING</t>
  </si>
  <si>
    <t>GRT-DS-IP-DT-170234</t>
  </si>
  <si>
    <t>GRT-YT01-P0LCB-121005</t>
  </si>
  <si>
    <t>121005</t>
  </si>
  <si>
    <t>[Condensate Extraction Pump]_MECHANICAL SEAL SPECIFICATION</t>
  </si>
  <si>
    <t>7-5th DRM</t>
  </si>
  <si>
    <t>GRT-YT01-P0LCB-121006</t>
  </si>
  <si>
    <t>121006</t>
  </si>
  <si>
    <t>[Condensate Extraction Pump]_COUPLING SPECIFICATION</t>
  </si>
  <si>
    <t>GRT-YT01-P0LCB-121007</t>
  </si>
  <si>
    <t>121007</t>
  </si>
  <si>
    <t>[Condensate Extraction Pump]_SUCTION STRAINER SPECIFICATION</t>
  </si>
  <si>
    <t>121007-0</t>
  </si>
  <si>
    <t>GRT-YD00-P0LCB-121008</t>
  </si>
  <si>
    <t>121008</t>
  </si>
  <si>
    <t>[Condensate Extraction Pump]_FOUNDATION DRAWINGS</t>
  </si>
  <si>
    <t>GRT-DS-IP-DT-170233</t>
  </si>
  <si>
    <t>GRT-YM01-P0LCB-121009</t>
  </si>
  <si>
    <t>121009</t>
  </si>
  <si>
    <t>[Condensate Extraction Pump]_MOTOR DATA SHEET &amp; CHARACTERISTIC CURVE</t>
  </si>
  <si>
    <t>8-5th DRM</t>
  </si>
  <si>
    <t>GRT-YL00-P0LCB-121010</t>
  </si>
  <si>
    <t>121010</t>
  </si>
  <si>
    <t>[Condensate Extraction Pump]_INSTRUMENT LIST</t>
  </si>
  <si>
    <t>GRT-DS-IP-DT-170411</t>
  </si>
  <si>
    <t>121010-0</t>
  </si>
  <si>
    <t>GRT-YK00-P0LCB-121011</t>
  </si>
  <si>
    <t>121011</t>
  </si>
  <si>
    <t>[Condensate Extraction Pump]_INSTRUMENTATION HOOK - UP DRAWING</t>
  </si>
  <si>
    <t>121011-0</t>
  </si>
  <si>
    <t>GRT-YL22-P0LCB-121012</t>
  </si>
  <si>
    <t>121012</t>
  </si>
  <si>
    <t>[Condensate Extraction Pump]_NAME PLATE DRAWING</t>
  </si>
  <si>
    <t>121012-0</t>
  </si>
  <si>
    <t>GRT-CQ02-P0LCB-121013</t>
  </si>
  <si>
    <t>121013</t>
  </si>
  <si>
    <t>[Condensate Extraction Pump]_O&amp;M MANUAL</t>
  </si>
  <si>
    <t>GRT-YD00-P0LCB-121014</t>
  </si>
  <si>
    <t>121014</t>
  </si>
  <si>
    <t>[Condensate Extraction Pump]_VFD OUTLINE AND DATA SHEET</t>
  </si>
  <si>
    <t>GRT-DS-IP-DT-170514</t>
  </si>
  <si>
    <t>76-5th DRM</t>
  </si>
  <si>
    <t>GRT-XG02-P0LAC-122001</t>
  </si>
  <si>
    <t>122001</t>
  </si>
  <si>
    <t>[HP Feed Water Pump]_P&amp;I DIAGRAM</t>
  </si>
  <si>
    <t>GRT-DS-IP-DT-170417</t>
  </si>
  <si>
    <t>33-5th DRM</t>
  </si>
  <si>
    <t>GRT-YD00-P0LAC-122002</t>
  </si>
  <si>
    <t>122002</t>
  </si>
  <si>
    <t>[HP Feed Water Pump]_GENERAL ARRANGEMENT DRAWING</t>
  </si>
  <si>
    <t>9-5th DRM</t>
  </si>
  <si>
    <t>GRT-YT01-P0LAC-122003</t>
  </si>
  <si>
    <t>122003</t>
  </si>
  <si>
    <t>[HP Feed Water Pump]_DATA SHEET AND CHARACTERISTIC CURVE FOR PUMP</t>
  </si>
  <si>
    <t>GRT-DS-IP-DT-170452</t>
  </si>
  <si>
    <t>2017-11-13</t>
  </si>
  <si>
    <t>122003-0</t>
  </si>
  <si>
    <t>GRT-YK10-P0LAC-122004</t>
  </si>
  <si>
    <t>122004</t>
  </si>
  <si>
    <t>[HP Feed Water Pump]_SECTIONAL DRAWING FOR PUMP</t>
  </si>
  <si>
    <t>GRT-DS-IP-DT-170315</t>
  </si>
  <si>
    <t>122004-0</t>
  </si>
  <si>
    <t>GRT-YT01-P0LAC-122005</t>
  </si>
  <si>
    <t>122005</t>
  </si>
  <si>
    <t>[HP Feed Water Pump]_DATA SHEET AND CHARACTERISTIC CURVE FOR MOTOR</t>
  </si>
  <si>
    <t>10-5th DRM</t>
  </si>
  <si>
    <t>GRT-YT02-P0LAC-122006</t>
  </si>
  <si>
    <t>122006</t>
  </si>
  <si>
    <t>[HP Feed Water Pump]_LIST AND DATA SHEET FOR INSTRUMENT</t>
  </si>
  <si>
    <t>GRT-DS-IP-DT-170405</t>
  </si>
  <si>
    <t>122006-0</t>
  </si>
  <si>
    <t>GRT-YL22-P0LAC-122007</t>
  </si>
  <si>
    <t>122007</t>
  </si>
  <si>
    <t>[HP Feed Water Pump]_NAME PLATE DRAWING</t>
  </si>
  <si>
    <t>GRT-DS-IP-DT-170318</t>
  </si>
  <si>
    <t>122007-0</t>
  </si>
  <si>
    <t>GRT-YL22-P0LAC-122008</t>
  </si>
  <si>
    <t>122008</t>
  </si>
  <si>
    <t>[HP Feed Water Pump]_Hydraulic Coupling Data Sheet</t>
  </si>
  <si>
    <t>GRT-CQ02-P0LAC-122022</t>
  </si>
  <si>
    <t>122022</t>
  </si>
  <si>
    <t>[HP Feed Water Pump]_Operational &amp; Maintenance Manual</t>
  </si>
  <si>
    <t>GRT-XG02-P0LAC-122501</t>
  </si>
  <si>
    <t>122501</t>
  </si>
  <si>
    <t>[LP Feed Water Pump]_P&amp;I DIAGRAM</t>
  </si>
  <si>
    <t>40-5th DRM</t>
  </si>
  <si>
    <t>GRT-YD00-P0LAC-122502</t>
  </si>
  <si>
    <t>122502</t>
  </si>
  <si>
    <t>[LP Feed Water Pump]_GENERAL ARRANGEMENT DRAWING</t>
  </si>
  <si>
    <t>11-5th DRM</t>
  </si>
  <si>
    <t>GRT-YT01-P0LAC-122503</t>
  </si>
  <si>
    <t>122503</t>
  </si>
  <si>
    <t>[LP Feed Water Pump]_DATA SHEET AND CHARACTERISTIC CURVE FOR PUMP</t>
  </si>
  <si>
    <t>122503-0</t>
  </si>
  <si>
    <t>GRT-YK10-P0LAC-122504</t>
  </si>
  <si>
    <t>122504</t>
  </si>
  <si>
    <t>[LP Feed Water Pump]_SECTIONAL DRAWING FOR PUMP</t>
  </si>
  <si>
    <t>12-5th DRM</t>
  </si>
  <si>
    <t>GRT-YT01-P0LAC-122505</t>
  </si>
  <si>
    <t>122505</t>
  </si>
  <si>
    <t>[LP Feed Water Pump]_DATA SHEET AND CHARACTERISTIC CURVE FOR MOTOR</t>
  </si>
  <si>
    <t>13-5th DRM</t>
  </si>
  <si>
    <t>GRT-YT02-P0LAC-122506</t>
  </si>
  <si>
    <t>122506</t>
  </si>
  <si>
    <t>[LP Feed Water Pump]_LIST AND DATA SHEET FOR INSTRUMENT</t>
  </si>
  <si>
    <t>122506-0</t>
  </si>
  <si>
    <t>GRT-YL22-P0LAC-122507</t>
  </si>
  <si>
    <t>122507</t>
  </si>
  <si>
    <t>[LP Feed Water Pump]_NAME PLATE DRAWING</t>
  </si>
  <si>
    <t>122507-0</t>
  </si>
  <si>
    <t>GRT-YD00-P0LAC-122508</t>
  </si>
  <si>
    <t>122508</t>
  </si>
  <si>
    <t>[LP Feed Water Pump]_VFD OUTLINE AND DATA SHEET</t>
  </si>
  <si>
    <t>GRT-CQ02-P0LAC-122522</t>
  </si>
  <si>
    <t>122522</t>
  </si>
  <si>
    <t>[LP Feed Water Pump]_Operational &amp; Maintenance Manual</t>
  </si>
  <si>
    <t>GRT-YD00-P0SM-123001</t>
  </si>
  <si>
    <t>123001</t>
  </si>
  <si>
    <t>[Crane &amp; Hoist(DHI)]_HOIST_GA DRAWING FOR HOISTS</t>
  </si>
  <si>
    <t>GRT-DS-IP-DT-170379</t>
  </si>
  <si>
    <t>123001-0</t>
  </si>
  <si>
    <t>GRT-YT01-P0SM-123002</t>
  </si>
  <si>
    <t>123002</t>
  </si>
  <si>
    <t>[Crane &amp; Hoist(DHI)]_HOIST_DATA SHEETS FOR HOISTS</t>
  </si>
  <si>
    <t>123002-0</t>
  </si>
  <si>
    <t>GRT-CQ02-P0SM-123003</t>
  </si>
  <si>
    <t>123003</t>
  </si>
  <si>
    <t>[Crane &amp; Hoist(DHI)]_HOIST_O&amp;M MANUAL FOR HOIST</t>
  </si>
  <si>
    <t>GRT-XG02-P0QC-130001</t>
  </si>
  <si>
    <t>130001</t>
  </si>
  <si>
    <t>[Chemical Dosing System]_P&amp;ID</t>
  </si>
  <si>
    <t>GRT-DS-IP-DT-180016</t>
  </si>
  <si>
    <t>130001-1</t>
  </si>
  <si>
    <t>GRT-XA00-P0QC-130002</t>
  </si>
  <si>
    <t>130002</t>
  </si>
  <si>
    <t>[Chemical Dosing System]_GENERAL ARRANGEMENT DRAWING</t>
  </si>
  <si>
    <t>130002-1</t>
  </si>
  <si>
    <t>GRT-XS00-P0QC-130003</t>
  </si>
  <si>
    <t>130003</t>
  </si>
  <si>
    <t>[Chemical Dosing System]_SYSTEM DESCRIPTION</t>
  </si>
  <si>
    <t>130003-1</t>
  </si>
  <si>
    <t>GRT-CC07-P0QC-130004</t>
  </si>
  <si>
    <t>130004</t>
  </si>
  <si>
    <t>[Chemical Dosing System]_CALCULATION SHEET</t>
  </si>
  <si>
    <t>GRT-DS-IP-DT-170421</t>
  </si>
  <si>
    <t>2017-11-03</t>
  </si>
  <si>
    <t>130004-0</t>
  </si>
  <si>
    <t>GRT-YD00-P0QC-130005</t>
  </si>
  <si>
    <t>130005</t>
  </si>
  <si>
    <t>[Chemical Dosing System]_CONTROL PANEL ARRANGEMENT DRAWING</t>
  </si>
  <si>
    <t>GRT-DS-IP-DT-180046</t>
  </si>
  <si>
    <t>2018-03-06</t>
  </si>
  <si>
    <t>130005-1</t>
  </si>
  <si>
    <t>GRT-YF02-P0QC-130006</t>
  </si>
  <si>
    <t>130006</t>
  </si>
  <si>
    <t>[Chemical Dosing System]_CONTROL CONFIGURATION DIAGRAM</t>
  </si>
  <si>
    <t>GRT-DS-IP-DT-170540</t>
  </si>
  <si>
    <t>88-5th DRM</t>
  </si>
  <si>
    <t>GRT-YL00-P0QC-130007</t>
  </si>
  <si>
    <t>130007</t>
  </si>
  <si>
    <t>[Chemical Dosing System]_INSTRUMENT LIST</t>
  </si>
  <si>
    <t>122-5th DRM</t>
  </si>
  <si>
    <t>GRT-XN00-P0QC-130008</t>
  </si>
  <si>
    <t>130008</t>
  </si>
  <si>
    <t>[Chemical Dosing System]_VALVE LIST</t>
  </si>
  <si>
    <t>2018-03-01</t>
  </si>
  <si>
    <t>130008-1</t>
  </si>
  <si>
    <t>GRT-XB02-P0QC-130009</t>
  </si>
  <si>
    <t>130009</t>
  </si>
  <si>
    <t>[Chemical Dosing System]_FOUNDATION AND LOADING DATA</t>
  </si>
  <si>
    <t>2018-01-29</t>
  </si>
  <si>
    <t>130009-1</t>
  </si>
  <si>
    <t>GRT-YK10-P0QC-130010</t>
  </si>
  <si>
    <t>130010</t>
  </si>
  <si>
    <t>[Chemical Dosing System]_EQUIPMENT ASSEMBLY DRAWING</t>
  </si>
  <si>
    <t>GRT-DS-IP-DT-180071</t>
  </si>
  <si>
    <t>130010-2</t>
  </si>
  <si>
    <t>GRT-XH01-P0QC-130011</t>
  </si>
  <si>
    <t>130011</t>
  </si>
  <si>
    <t>[Chemical Dosing System]_PIPING ARRANGEMENT DRAWING</t>
  </si>
  <si>
    <t>130011-1</t>
  </si>
  <si>
    <t>GRT-YT01-P0QC-130012</t>
  </si>
  <si>
    <t>130012</t>
  </si>
  <si>
    <t>[Chemical Dosing System]_TECHNICAL DATASHEET</t>
  </si>
  <si>
    <t>GRT-DS-IP-DT-170458</t>
  </si>
  <si>
    <t>130012-0</t>
  </si>
  <si>
    <t>GRT-YT01-P0QC-130013</t>
  </si>
  <si>
    <t>130013</t>
  </si>
  <si>
    <t>[Chemical Dosing System]_MOTOR DATA SHEET</t>
  </si>
  <si>
    <t>130013-0</t>
  </si>
  <si>
    <t>GRT-YT01-P0QC-130014</t>
  </si>
  <si>
    <t>130014</t>
  </si>
  <si>
    <t>[Chemical Dosing System]_PUMP DATA SHEET</t>
  </si>
  <si>
    <t>GRT-DS-IP-DT-170498</t>
  </si>
  <si>
    <t>130014-0</t>
  </si>
  <si>
    <t>GRT-YT01-P0QC-130015</t>
  </si>
  <si>
    <t>130015</t>
  </si>
  <si>
    <t>[Chemical Dosing System]_VALVE DATA SHEET</t>
  </si>
  <si>
    <t>130015-1</t>
  </si>
  <si>
    <t>GRT-YT01-P0QC-130016</t>
  </si>
  <si>
    <t>130016</t>
  </si>
  <si>
    <t>[Chemical Dosing System]_INSTRUMENT DATA SHEET</t>
  </si>
  <si>
    <t>130016-1</t>
  </si>
  <si>
    <t>130017</t>
  </si>
  <si>
    <t>[Chemical Dosing System]_INTERCONNECTION WIRING DIAGRAM</t>
  </si>
  <si>
    <t>GRT-DS-IP-DT-170538</t>
  </si>
  <si>
    <t>GRT-YL22-P0QC-130018</t>
  </si>
  <si>
    <t>130018</t>
  </si>
  <si>
    <t>[Chemical Dosing System]_NAME PLATE DRAWING</t>
  </si>
  <si>
    <t>GRT-DS-IP-DT-180074</t>
  </si>
  <si>
    <t>130018-1</t>
  </si>
  <si>
    <t>GRT-YF00-P0QC-130019</t>
  </si>
  <si>
    <t>130019</t>
  </si>
  <si>
    <t>[Chemical Dosing System]_CONTROL LOOP &amp; LOGIC DIAGRAM</t>
  </si>
  <si>
    <t>130019-1</t>
  </si>
  <si>
    <t>GRT-YS01-P0QC-130020</t>
  </si>
  <si>
    <t>130020</t>
  </si>
  <si>
    <t>[Chemical Dosing System]_SCHEMATIC DIAGRAM</t>
  </si>
  <si>
    <t>GRT-YE00-P0QC-130021</t>
  </si>
  <si>
    <t>130021</t>
  </si>
  <si>
    <t>[Chemical Dosing System]_CABLE TRAY LAYOUT DRAWING</t>
  </si>
  <si>
    <t>90-5th DRM</t>
  </si>
  <si>
    <t>GRT-YK00-P0QC-130022</t>
  </si>
  <si>
    <t>130022</t>
  </si>
  <si>
    <t>[Chemical Dosing System]_HOOK UP DRAWING</t>
  </si>
  <si>
    <t>130022-2</t>
  </si>
  <si>
    <t>GRT-CQ02-P0QC-130023</t>
  </si>
  <si>
    <t>130023</t>
  </si>
  <si>
    <t>[Chemical Dosing System]_O&amp;M MANUAL</t>
  </si>
  <si>
    <t>GRT-XG02-P0QU-130024</t>
  </si>
  <si>
    <t>130024</t>
  </si>
  <si>
    <t>[Sampling System]_P&amp;ID</t>
  </si>
  <si>
    <t>GRT-DS-IP-DT-170470</t>
  </si>
  <si>
    <t>54-5th DRM</t>
  </si>
  <si>
    <t>GRT-XA00-P0QU-130025</t>
  </si>
  <si>
    <t>130025</t>
  </si>
  <si>
    <t>[Sampling System]_GENERAL ARRANGEMENT DRAWING</t>
  </si>
  <si>
    <t>GRT-DS-IP-DT-180079</t>
  </si>
  <si>
    <t>2018-04-13</t>
  </si>
  <si>
    <t>130025-1</t>
  </si>
  <si>
    <t>GRT-XS00-P0QU-130026</t>
  </si>
  <si>
    <t>130026</t>
  </si>
  <si>
    <t>[Sampling System]_SYSTEM DESCRIPTION</t>
  </si>
  <si>
    <t>14-5th DRM</t>
  </si>
  <si>
    <t>GRT-YF02-P0QU-130027</t>
  </si>
  <si>
    <t>130027</t>
  </si>
  <si>
    <t>[Sampling System]_CONTROL CONFIGURATION DIAGRAM</t>
  </si>
  <si>
    <t>15-5th DRM</t>
  </si>
  <si>
    <t>GRT-YL00-P0QU-130028</t>
  </si>
  <si>
    <t>130028</t>
  </si>
  <si>
    <t>[Sampling System]_INSTRUMENT LIST</t>
  </si>
  <si>
    <t>16-5th DRM</t>
  </si>
  <si>
    <t>GRT-XN00-P0QU-130029</t>
  </si>
  <si>
    <t>130029</t>
  </si>
  <si>
    <t>[Sampling System]_VALVE LIST</t>
  </si>
  <si>
    <t>55-5th DRM</t>
  </si>
  <si>
    <t>GRT-YT01-P0QU-130030</t>
  </si>
  <si>
    <t>130030</t>
  </si>
  <si>
    <t>[Sampling System]_TECHNICAL DATASHEET</t>
  </si>
  <si>
    <t>17-5th DRM</t>
  </si>
  <si>
    <t>GRT-YT01-P0QU-130031</t>
  </si>
  <si>
    <t>130031</t>
  </si>
  <si>
    <t>[Sampling System]_INSTRUMENT DATA SHEET</t>
  </si>
  <si>
    <t>18-5th DRM</t>
  </si>
  <si>
    <t>GRT-YV02-P0QU-130032</t>
  </si>
  <si>
    <t>130032</t>
  </si>
  <si>
    <t>[Sampling System]_INTERCONNECTION WIRING DIAGRAM</t>
  </si>
  <si>
    <t>GRT-DS-IP-DT-180097</t>
  </si>
  <si>
    <t>GRT-YF00-P0QU-130033</t>
  </si>
  <si>
    <t>130033</t>
  </si>
  <si>
    <t>[Sampling System]_CONTROL LOOP &amp; LOGIC DIAGRAM</t>
  </si>
  <si>
    <t>GRT-DS-IP-DT-170446</t>
  </si>
  <si>
    <t>130033-0</t>
  </si>
  <si>
    <t>GRT-YS01-P0QU-130034</t>
  </si>
  <si>
    <t>130034</t>
  </si>
  <si>
    <t>[Sampling System]_SCHEMATIC DIAGRAM</t>
  </si>
  <si>
    <t>GRT-CQ02-P0QU-130035</t>
  </si>
  <si>
    <t>130035</t>
  </si>
  <si>
    <t>[Sampling System]_O&amp;M MANUAL</t>
  </si>
  <si>
    <t>130035-1</t>
  </si>
  <si>
    <t>GRT-XG02-P0LDB-130036</t>
  </si>
  <si>
    <t>130036</t>
  </si>
  <si>
    <t>[Condensate Filter System]_P&amp;ID</t>
  </si>
  <si>
    <t>GRT-DS-IP-DT-180065</t>
  </si>
  <si>
    <t>2018-03-22</t>
  </si>
  <si>
    <t>130036-1</t>
  </si>
  <si>
    <t>GRT-XA00-P0LDB-130037</t>
  </si>
  <si>
    <t>130037</t>
  </si>
  <si>
    <t>[Condensate Filter System]_GENERAL ARRANGEMENT DRAWING</t>
  </si>
  <si>
    <t>130037-1</t>
  </si>
  <si>
    <t>GRT-XS00-P0LDB-130038</t>
  </si>
  <si>
    <t>130038</t>
  </si>
  <si>
    <t>[Condensate Filter System]_SYSTEM DESCRIPTION</t>
  </si>
  <si>
    <t>GRT-DS-IP-DT-170434</t>
  </si>
  <si>
    <t>19-5th DRM</t>
  </si>
  <si>
    <t>GRT-CC07-P0LDB-130039</t>
  </si>
  <si>
    <t>130039</t>
  </si>
  <si>
    <t>[Condensate Filter System]_CALCULATION SHEET</t>
  </si>
  <si>
    <t>20-5th DRM</t>
  </si>
  <si>
    <t>GRT-YD00-P0LDB-130040</t>
  </si>
  <si>
    <t>130040</t>
  </si>
  <si>
    <t>[Condensate Filter System]_CONTROL PANEL ARRANGEMENT DRAWING</t>
  </si>
  <si>
    <t>GRT-YF02-P0LDB-130041</t>
  </si>
  <si>
    <t>130041</t>
  </si>
  <si>
    <t>[Condensate Filter System]_CONTROL CONFIGURATION DIAGRAM</t>
  </si>
  <si>
    <t>GRT-DS-IP-DT-170489</t>
  </si>
  <si>
    <t>56-5th DRM</t>
  </si>
  <si>
    <t>GRT-YL00-P0LDB-130042</t>
  </si>
  <si>
    <t>130042</t>
  </si>
  <si>
    <t>[Condensate Filter System]_INSTRUMENT LIST</t>
  </si>
  <si>
    <t>21-5th DRM</t>
  </si>
  <si>
    <t>GRT-XN00-P0LDB-130043</t>
  </si>
  <si>
    <t>130043</t>
  </si>
  <si>
    <t>[Condensate Filter System]_VALVE LIST</t>
  </si>
  <si>
    <t>GRT-DS-IP-DT-170474</t>
  </si>
  <si>
    <t>57-5th DRM</t>
  </si>
  <si>
    <t>GRT-XB02-P0LDB-130044</t>
  </si>
  <si>
    <t>130044</t>
  </si>
  <si>
    <t>[Condensate Filter System]_FOUNDATION AND LOADING DATA</t>
  </si>
  <si>
    <t>130044-1</t>
  </si>
  <si>
    <t>GRT-YK10-P0LDB-130045</t>
  </si>
  <si>
    <t>130045</t>
  </si>
  <si>
    <t>[Condensate Filter System]_EQUIPMENT ASSEMBLY DRAWING</t>
  </si>
  <si>
    <t>GRT-DS-IP-DT-170500</t>
  </si>
  <si>
    <t>2017-12-08</t>
  </si>
  <si>
    <t>130045-0</t>
  </si>
  <si>
    <t>GRT-XH01-P0LDB-130046</t>
  </si>
  <si>
    <t>130046</t>
  </si>
  <si>
    <t>[Condensate Filter System]_PIPING ARRANGEMENT DRAWING</t>
  </si>
  <si>
    <t>GRT-DS-IP-DT-170497</t>
  </si>
  <si>
    <t>58-5th DRM</t>
  </si>
  <si>
    <t>GRT-YT01-P0LDB-130047</t>
  </si>
  <si>
    <t>130047</t>
  </si>
  <si>
    <t>[Condensate Filter System]_TECHNICAL DATASHEET</t>
  </si>
  <si>
    <t>59-5th DRM</t>
  </si>
  <si>
    <t>GRT-YT01-P0LDB-130050</t>
  </si>
  <si>
    <t>130050</t>
  </si>
  <si>
    <t>[Condensate Filter System]_VALVE DATA SHEET</t>
  </si>
  <si>
    <t>60-5th DRM</t>
  </si>
  <si>
    <t>GRT-YT01-P0LDB-130051</t>
  </si>
  <si>
    <t>130051</t>
  </si>
  <si>
    <t>[Condensate Filter System]_INSTRUMENT DATA SHEET</t>
  </si>
  <si>
    <t>GRT-DS-IP-DT-170444</t>
  </si>
  <si>
    <t>130051-0</t>
  </si>
  <si>
    <t>GRT-YV02-P0LDB-130052</t>
  </si>
  <si>
    <t>130052</t>
  </si>
  <si>
    <t>[Condensate Filter System]_INTERCONNECTION WIRING DIAGRAM</t>
  </si>
  <si>
    <t>130052-1</t>
  </si>
  <si>
    <t>GRT-YL22-P0LDB-130053</t>
  </si>
  <si>
    <t>130053</t>
  </si>
  <si>
    <t>[Condensate Filter System]_NAME PLATE DRAWING</t>
  </si>
  <si>
    <t>130053-1</t>
  </si>
  <si>
    <t>GRT-YF00-P0LDB-130054</t>
  </si>
  <si>
    <t>130054</t>
  </si>
  <si>
    <t>[Condensate Filter System]_CONTROL LOOP &amp; LOGIC DIAGRAM</t>
  </si>
  <si>
    <t>130054-1</t>
  </si>
  <si>
    <t>GRT-YS01-P0LDB-130055</t>
  </si>
  <si>
    <t>130055</t>
  </si>
  <si>
    <t>[Condensate Filter System]_SCHEMATIC DIAGRAM</t>
  </si>
  <si>
    <t>GRT-YE00-P0LDB-130056</t>
  </si>
  <si>
    <t>130056</t>
  </si>
  <si>
    <t>[Condensate Filter System]_CABLE TRAY LAYOUT DRAWING</t>
  </si>
  <si>
    <t>130056-1</t>
  </si>
  <si>
    <t>GRT-YK00-P0LDB-130057</t>
  </si>
  <si>
    <t>130057</t>
  </si>
  <si>
    <t>[Condensate Filter System]_HOOK UP DRAWING</t>
  </si>
  <si>
    <t>130057-0</t>
  </si>
  <si>
    <t>GRT-CQ02-P0LDB-130058</t>
  </si>
  <si>
    <t>130058</t>
  </si>
  <si>
    <t>[Condensate Filter System]_O&amp;M MANUAL</t>
  </si>
  <si>
    <t>GRT-DS-IP-DT-180078</t>
  </si>
  <si>
    <t>123-5th DRM</t>
  </si>
  <si>
    <t>GRT-XJ00-P0LBA-140001</t>
  </si>
  <si>
    <t>140001</t>
  </si>
  <si>
    <t>Piping ISO (Large Bore) - HP Steam</t>
  </si>
  <si>
    <t>GRT-XJ00-P0LBA-140002</t>
  </si>
  <si>
    <t>140002</t>
  </si>
  <si>
    <t>Piping ISO (Large Bore) - LP Steam</t>
  </si>
  <si>
    <t>GRT-XJ00-P0LBG-140003</t>
  </si>
  <si>
    <t>140003</t>
  </si>
  <si>
    <t>Piping ISO (Large Bore) - Aux. Steam</t>
  </si>
  <si>
    <t>GRT-XJ00-P0LCM-140004</t>
  </si>
  <si>
    <t>140004</t>
  </si>
  <si>
    <t>Piping ISO (Large Bore) - Steam drain</t>
  </si>
  <si>
    <t>GRT-XJ00-P0LAB-140005</t>
  </si>
  <si>
    <t>140005</t>
  </si>
  <si>
    <t>Piping ISO (Large Bore) - Feedwater</t>
  </si>
  <si>
    <t>GRT-XJ00-P0LCA-140006</t>
  </si>
  <si>
    <t>140006</t>
  </si>
  <si>
    <t>Piping ISO (Large Bore) - Condensate</t>
  </si>
  <si>
    <t>GRT-XJ00-P0PAB-140007</t>
  </si>
  <si>
    <t>140007</t>
  </si>
  <si>
    <t>Piping ISO (Large Bore) - Aux. cooling water</t>
  </si>
  <si>
    <t>GRT-DS-IP-DT-180039</t>
  </si>
  <si>
    <t>GRT-XJ00-P0PGB-140008</t>
  </si>
  <si>
    <t>140008</t>
  </si>
  <si>
    <t>Piping ISO (Large Bore) - CCW</t>
  </si>
  <si>
    <t>GRT-XJ00-P0SCA-140009</t>
  </si>
  <si>
    <t>140009</t>
  </si>
  <si>
    <t>Piping ISO (Large Bore) - Compressed air</t>
  </si>
  <si>
    <t>140009-0</t>
  </si>
  <si>
    <t>GRT-XJ00-P0MAA-140010</t>
  </si>
  <si>
    <t>140010</t>
  </si>
  <si>
    <t>Piping ISO (Large Bore) - ST Misc.</t>
  </si>
  <si>
    <t>140010-0</t>
  </si>
  <si>
    <t>GRT-XJ00-P0TEM-140011</t>
  </si>
  <si>
    <t>140011</t>
  </si>
  <si>
    <t>Piping ISO (Large Bore) - Steam blowing &amp; flushing</t>
  </si>
  <si>
    <t>GRT-XJ00-P0PAB-140012</t>
  </si>
  <si>
    <t>140012</t>
  </si>
  <si>
    <t>Piping ISO (Large Bore) - Cooling water</t>
  </si>
  <si>
    <t>140012-0</t>
  </si>
  <si>
    <t>GRT-DP00-P0ZEN-141001</t>
  </si>
  <si>
    <t>141001</t>
  </si>
  <si>
    <t>WPS&amp;PQR for BOP Piping</t>
  </si>
  <si>
    <t>GRT-DS-IP-DT-170528</t>
  </si>
  <si>
    <t>114-5th DRM</t>
  </si>
  <si>
    <t>GRT-DP00-P0ZEN-141002</t>
  </si>
  <si>
    <t>141002</t>
  </si>
  <si>
    <t>Heat treatment procedure for BOP Piping</t>
  </si>
  <si>
    <t>115-5th DRM</t>
  </si>
  <si>
    <t>GRT-QA00-P0ZEN-141003</t>
  </si>
  <si>
    <t>141003</t>
  </si>
  <si>
    <t>Welder qualificatoin list for BOP Piping</t>
  </si>
  <si>
    <t>116-5th DRM</t>
  </si>
  <si>
    <t>GRT-DP00-P0ZEN-141004</t>
  </si>
  <si>
    <t>141004</t>
  </si>
  <si>
    <t>Repair welding procedure for BOP Piping</t>
  </si>
  <si>
    <t>117-5th DRM</t>
  </si>
  <si>
    <t>GRT-QA00-P0ZEN-141005</t>
  </si>
  <si>
    <t>141005</t>
  </si>
  <si>
    <t>Welder consumable control procedure for BOP Piping</t>
  </si>
  <si>
    <t>118-5th DRM</t>
  </si>
  <si>
    <t>GRT-QM03-P0ZEN-141006</t>
  </si>
  <si>
    <t>141006</t>
  </si>
  <si>
    <t>RADIOGRAPHIC EXAMINATION PROCEDURE</t>
  </si>
  <si>
    <t>GRT-DS-IP-DT-170461</t>
  </si>
  <si>
    <t>77-5th DRM</t>
  </si>
  <si>
    <t>GRT-QM03-P0ZEN-141007</t>
  </si>
  <si>
    <t>141007</t>
  </si>
  <si>
    <t>ULTRASONIC EXAMINATION PROCEDURE</t>
  </si>
  <si>
    <t>78-5th DRM</t>
  </si>
  <si>
    <t>GRT-QM03-P0ZEN-141008</t>
  </si>
  <si>
    <t>141008</t>
  </si>
  <si>
    <t>MAGNETIC PARTICLE EXAMINATION PROCEDURE</t>
  </si>
  <si>
    <t>79-5th DRM</t>
  </si>
  <si>
    <t>GRT-QM03-P0ZEN-141009</t>
  </si>
  <si>
    <t>141009</t>
  </si>
  <si>
    <t>LIQUID PENETRANT EXAMINATION PROCEDURE</t>
  </si>
  <si>
    <t>80-5th DRM</t>
  </si>
  <si>
    <t>GRT-XJ00-P0LBA-143001</t>
  </si>
  <si>
    <t>143001</t>
  </si>
  <si>
    <t>Piping ISO (Small Bore) - HP Steam</t>
  </si>
  <si>
    <t>GRT-XJ00-P0LBA-143002</t>
  </si>
  <si>
    <t>143002</t>
  </si>
  <si>
    <t>Piping ISO (Small Bore) - LP Steam</t>
  </si>
  <si>
    <t>GRT-XJ00-P0LBG-143003</t>
  </si>
  <si>
    <t>143003</t>
  </si>
  <si>
    <t>Piping ISO (Small Bore) - Aux. Steam</t>
  </si>
  <si>
    <t>GRT-XJ00-P0LCM-143004</t>
  </si>
  <si>
    <t>143004</t>
  </si>
  <si>
    <t>Piping ISO (Small Bore) - Steam drain</t>
  </si>
  <si>
    <t>GRT-DS-IP-DT-170543</t>
  </si>
  <si>
    <t>127-5th DRM</t>
  </si>
  <si>
    <t>GRT-XJ00-P0LAB-143005</t>
  </si>
  <si>
    <t>143005</t>
  </si>
  <si>
    <t>Piping ISO (Small Bore) - Feedwater</t>
  </si>
  <si>
    <t>GRT-XJ00-P0LCA-143006</t>
  </si>
  <si>
    <t>143006</t>
  </si>
  <si>
    <t>Piping ISO (Small Bore) - Condensate</t>
  </si>
  <si>
    <t>GRT-XJ00-P0PAB-143007</t>
  </si>
  <si>
    <t>143007</t>
  </si>
  <si>
    <t>Piping ISO (Small Bore) - Aux. cooling water</t>
  </si>
  <si>
    <t>GRT-XJ00-P0PGB-143008</t>
  </si>
  <si>
    <t>143008</t>
  </si>
  <si>
    <t>Piping ISO (Small Bore) - CCW</t>
  </si>
  <si>
    <t>GRT-DS-IP-DT-180082</t>
  </si>
  <si>
    <t>2018-04-10</t>
  </si>
  <si>
    <t>GRT-XJ00-P0QJA-143009</t>
  </si>
  <si>
    <t>143009</t>
  </si>
  <si>
    <t>Piping ISO (Small Bore) - N2</t>
  </si>
  <si>
    <t>GRT-XJ00-P0SCA-143010</t>
  </si>
  <si>
    <t>143010</t>
  </si>
  <si>
    <t>Piping ISO (Small Bore) - Compressed air</t>
  </si>
  <si>
    <t>143010-1</t>
  </si>
  <si>
    <t>GRT-XJ00-P0SCB-143011</t>
  </si>
  <si>
    <t>143011</t>
  </si>
  <si>
    <t>Piping ISO (Small Bore) - Service air</t>
  </si>
  <si>
    <t>GRT-DS-IP-DT-180086</t>
  </si>
  <si>
    <t>143011-1</t>
  </si>
  <si>
    <t>GRT-XJ00-P0QFB-143012</t>
  </si>
  <si>
    <t>143012</t>
  </si>
  <si>
    <t>Piping ISO (Small Bore) - Instrument air</t>
  </si>
  <si>
    <t>GRT-XJ00-P0MAA-143013</t>
  </si>
  <si>
    <t>143013</t>
  </si>
  <si>
    <t>Piping ISO (Small Bore) - ST Misc.</t>
  </si>
  <si>
    <t>GRT-XJ00-P0LCW-143014</t>
  </si>
  <si>
    <t>143014</t>
  </si>
  <si>
    <t>Piping ISO (Small Bore) - Seal Water</t>
  </si>
  <si>
    <t>GRT-XJ00-P0PAB-143015</t>
  </si>
  <si>
    <t>143015</t>
  </si>
  <si>
    <t>Piping ISO (Small Bore) - Cooling water</t>
  </si>
  <si>
    <t>GRT-XJ00-P0QC-143016</t>
  </si>
  <si>
    <t>143016</t>
  </si>
  <si>
    <t>Piping ISO (Small Bore) - Chemical dosing</t>
  </si>
  <si>
    <t>GRT-XJ00-P0QUA-143017</t>
  </si>
  <si>
    <t>143017</t>
  </si>
  <si>
    <t>Piping ISO (Small Bore) - Sampling</t>
  </si>
  <si>
    <t>GRT-XK00-P0LBA-144001</t>
  </si>
  <si>
    <t>144001</t>
  </si>
  <si>
    <t>Support DWG (Large Bore) - HP Steam</t>
  </si>
  <si>
    <t>GRT-DS-IP-DT-180040</t>
  </si>
  <si>
    <t>GRT-XK00-P0LBA-144002</t>
  </si>
  <si>
    <t>144002</t>
  </si>
  <si>
    <t>Support DWG (Large Bore) - LP Steam</t>
  </si>
  <si>
    <t>GRT-XK00-P0LBG-144003</t>
  </si>
  <si>
    <t>144003</t>
  </si>
  <si>
    <t>Support DWG (Large Bore) - Aux. Steam</t>
  </si>
  <si>
    <t>GRT-XK00-P0LCM-144004</t>
  </si>
  <si>
    <t>144004</t>
  </si>
  <si>
    <t>Support DWG (Large Bore) - Steam drain</t>
  </si>
  <si>
    <t>144004-1</t>
  </si>
  <si>
    <t>GRT-XK00-P0LAB-144005</t>
  </si>
  <si>
    <t>144005</t>
  </si>
  <si>
    <t>Support DWG (Large Bore) - Feedwater</t>
  </si>
  <si>
    <t>GRT-XK00-P0LCA-144006</t>
  </si>
  <si>
    <t>144006</t>
  </si>
  <si>
    <t>Support DWG (Large Bore) - Condensate</t>
  </si>
  <si>
    <t>GRT-XK00-P0PAB-144007</t>
  </si>
  <si>
    <t>144007</t>
  </si>
  <si>
    <t>Support DWG (Large Bore) - Aux. cooling water</t>
  </si>
  <si>
    <t>GRT-XK00-P0PGB-144008</t>
  </si>
  <si>
    <t>144008</t>
  </si>
  <si>
    <t>Support DWG (Large Bore) - CCW</t>
  </si>
  <si>
    <t>GRT-XK00-P0SCA-144009</t>
  </si>
  <si>
    <t>144009</t>
  </si>
  <si>
    <t>Support DWG (Large Bore) - Compressed air</t>
  </si>
  <si>
    <t>144009-1</t>
  </si>
  <si>
    <t>GRT-XK00-P0MAA-144010</t>
  </si>
  <si>
    <t>144010</t>
  </si>
  <si>
    <t>Support DWG (Large Bore) - ST Misc.</t>
  </si>
  <si>
    <t>GRT-XK00-P0TEM-144011</t>
  </si>
  <si>
    <t>144011</t>
  </si>
  <si>
    <t>Support DWG (Large Bore) - Steam blowing</t>
  </si>
  <si>
    <t>GRT-XK00-P0PAB-144012</t>
  </si>
  <si>
    <t>144012</t>
  </si>
  <si>
    <t>Support DWG (Large Bore) - Cooling Water</t>
  </si>
  <si>
    <t>GRT-DE00-P0ZEN-144500</t>
  </si>
  <si>
    <t>144500</t>
  </si>
  <si>
    <t>[Piping General]_Piping material specification (BOP)</t>
  </si>
  <si>
    <t>GRT-DS-IP-DT-170475</t>
  </si>
  <si>
    <t>61-5th DRM</t>
  </si>
  <si>
    <t>GRT-DE00-P0ZEN-144501</t>
  </si>
  <si>
    <t>144501</t>
  </si>
  <si>
    <t>[Piping General]_Piping Insulation Specification (BOP)</t>
  </si>
  <si>
    <t>GRT-YT10-P0ZEN-144502</t>
  </si>
  <si>
    <t>144502</t>
  </si>
  <si>
    <t>[Piping General]_Pipe Thickness Calculation (BOP)</t>
  </si>
  <si>
    <t>62-5th DRM</t>
  </si>
  <si>
    <t>GRT-XL00-P0ZEN-144503</t>
  </si>
  <si>
    <t>144503</t>
  </si>
  <si>
    <t>[Piping General]_Piping Line List (BOP)</t>
  </si>
  <si>
    <t>GRT-DS-IP-DT-170213</t>
  </si>
  <si>
    <t>GRT-XL00-P0ZEN-144504</t>
  </si>
  <si>
    <t>144504</t>
  </si>
  <si>
    <t>[Piping General]_Piping Specialty List (BOP)</t>
  </si>
  <si>
    <t>GRT-XN00-P0ZEN-144505</t>
  </si>
  <si>
    <t>144505</t>
  </si>
  <si>
    <t>[Piping General]_Manual Valve List (BOP)</t>
  </si>
  <si>
    <t>GRT-XK00-P0ZEN-144511</t>
  </si>
  <si>
    <t>144511</t>
  </si>
  <si>
    <t>[Piping General]_Typical Installation Drawing for Pipe Support</t>
  </si>
  <si>
    <t>GRT-DF04-P0ZEN-144512</t>
  </si>
  <si>
    <t>144512</t>
  </si>
  <si>
    <t>[Piping General]_Stress Analysis Report for HP steam system</t>
  </si>
  <si>
    <t>GRT-DF04-P0ZEN-144513</t>
  </si>
  <si>
    <t>144513</t>
  </si>
  <si>
    <t>[Piping General]_Stress Analysis Report for LP steam system</t>
  </si>
  <si>
    <t>GRT-DF04-P0ZEN-144514</t>
  </si>
  <si>
    <t>144514</t>
  </si>
  <si>
    <t>[Piping General]_Stress Analysis Report for Aux.steam system</t>
  </si>
  <si>
    <t>GRT-DF04-P0ZEN-144515</t>
  </si>
  <si>
    <t>144515</t>
  </si>
  <si>
    <t>[Piping General]_Stress Analysis Report for Feedwater system</t>
  </si>
  <si>
    <t>GRT-XH01-P0UMA-144521</t>
  </si>
  <si>
    <t>144521</t>
  </si>
  <si>
    <t>[Steam Turbine Building_Piping]_Piping Arrangement</t>
  </si>
  <si>
    <t>GRT-DS-IP-DT-180045</t>
  </si>
  <si>
    <t>144521-1</t>
  </si>
  <si>
    <t>GRT-XH01-P0UZT-144522</t>
  </si>
  <si>
    <t>144522</t>
  </si>
  <si>
    <t>[Pipe Rack_Piping]_Piping Arrangement</t>
  </si>
  <si>
    <t>144522-1</t>
  </si>
  <si>
    <t>GRT-XH01-P0UTG-144523</t>
  </si>
  <si>
    <t>144523</t>
  </si>
  <si>
    <t>[N2 Gas Shelter_Piping]_Piping Arrangement</t>
  </si>
  <si>
    <t>144523-1</t>
  </si>
  <si>
    <t>GRT-XK00-P0ZEN-144900</t>
  </si>
  <si>
    <t>144900</t>
  </si>
  <si>
    <t>Outline Drawing for Piping Manual Ball Valve</t>
  </si>
  <si>
    <t>GRT-DS-IP-DT-180042</t>
  </si>
  <si>
    <t>144900-1</t>
  </si>
  <si>
    <t>GRT-XK00-P0ZEN-144901</t>
  </si>
  <si>
    <t>144901</t>
  </si>
  <si>
    <t>Outline Drawing for Piping Manual Butterfly Valve</t>
  </si>
  <si>
    <t>144901-1</t>
  </si>
  <si>
    <t>GRT-XK00-P0ZEN-144902</t>
  </si>
  <si>
    <t>144902</t>
  </si>
  <si>
    <t>Outline Drawing for Piping HP Manual Casting Valve</t>
  </si>
  <si>
    <t>144902-1</t>
  </si>
  <si>
    <t>GRT-XK00-P0ZEN-144903</t>
  </si>
  <si>
    <t>144903</t>
  </si>
  <si>
    <t>Outline Drawing for Piping LP Manual Casting Valve</t>
  </si>
  <si>
    <t>144903-1</t>
  </si>
  <si>
    <t>GRT-XK00-P0ZEN-144904</t>
  </si>
  <si>
    <t>144904</t>
  </si>
  <si>
    <t>Outline Drawing for Piping HP Manual Forging Valve</t>
  </si>
  <si>
    <t>GRT-DS-IP-DT-180090</t>
  </si>
  <si>
    <t>GRT-XK00-P0ZEN-144905</t>
  </si>
  <si>
    <t>144905</t>
  </si>
  <si>
    <t>Outline Drawing for Piping LP Manual Forging Valve</t>
  </si>
  <si>
    <t>GRT-XW01-P0ZEN-161001</t>
  </si>
  <si>
    <t>161001</t>
  </si>
  <si>
    <t>[INC_Plant_Overall_Design]_I&amp;C General Design Criteria</t>
  </si>
  <si>
    <t>GRT-DS-IP-DT-170188</t>
  </si>
  <si>
    <t>2017-07-27</t>
  </si>
  <si>
    <t>GRT-MA01-P0ZEN-161002</t>
  </si>
  <si>
    <t>161002</t>
  </si>
  <si>
    <t>[INC_Plant_Overall_Design]_Plant Control System Configuration Diagram</t>
  </si>
  <si>
    <t>GRT-YU04-P0ZEN-161003</t>
  </si>
  <si>
    <t>161003</t>
  </si>
  <si>
    <t>[INC_Plant_Overall_Design]_Plant Control Block Diagram</t>
  </si>
  <si>
    <t>GRT-YF01-P0ZEN-161004</t>
  </si>
  <si>
    <t>161004</t>
  </si>
  <si>
    <t>[INC_Plant_Overall_Design]_Plant Protection &amp; Interlock Diagram</t>
  </si>
  <si>
    <t>GRT-DS-IP-DT-170247</t>
  </si>
  <si>
    <t>2017-08-23</t>
  </si>
  <si>
    <t>GRT-MA02-P0ZEN-161006</t>
  </si>
  <si>
    <t>[INC_Interface]_3rd Party Data-link Interface Concept Diagram</t>
  </si>
  <si>
    <t>GRT-YL01-P0ZEN-161101</t>
  </si>
  <si>
    <t>161101</t>
  </si>
  <si>
    <t>[INC_DCS_IO]_DCS I/O Database</t>
  </si>
  <si>
    <t>GRT-YL01-P0ZEN-161102</t>
  </si>
  <si>
    <t>161102</t>
  </si>
  <si>
    <t>[INC_DCS_IO]_3rd Party Data-link Interface Signal Database</t>
  </si>
  <si>
    <t>GRT-DS-IP-DT-170454</t>
  </si>
  <si>
    <t>GRT-CV03-P0ZEN-161110</t>
  </si>
  <si>
    <t>161110</t>
  </si>
  <si>
    <t>[DCS]_Functional Design Specification for Hardware</t>
  </si>
  <si>
    <t>GRT-DS-IP-DT-170210</t>
  </si>
  <si>
    <t>GRT-CV03-P0ZEN-161111</t>
  </si>
  <si>
    <t>161111</t>
  </si>
  <si>
    <t>[DCS]_Functional Design Specification for Software</t>
  </si>
  <si>
    <t>GRT-DS-IP-DT-170275</t>
  </si>
  <si>
    <t>161111-0</t>
  </si>
  <si>
    <t>GRT-CV03-P0ZEN-161112</t>
  </si>
  <si>
    <t>161112</t>
  </si>
  <si>
    <t>[DCS]_Functional Design Specification for Graphic</t>
  </si>
  <si>
    <t>24-5th DRM</t>
  </si>
  <si>
    <t>GRT-YD06-P0ZEN-161113</t>
  </si>
  <si>
    <t>161113</t>
  </si>
  <si>
    <t>[INC_Plant_Overall_Design]_DCS Power Distribution Concept Diagram</t>
  </si>
  <si>
    <t>GRT-DS-IP-DT-170287</t>
  </si>
  <si>
    <t>161113-0</t>
  </si>
  <si>
    <t>GRT-YE03-P0ZEN-161114</t>
  </si>
  <si>
    <t>161114</t>
  </si>
  <si>
    <t>[DCS]_Grounding Concept &amp; Drawing</t>
  </si>
  <si>
    <t>GRT-DS-IP-DT-170182</t>
  </si>
  <si>
    <t>GRT-YD06-P0ZEN-161115</t>
  </si>
  <si>
    <t>161115</t>
  </si>
  <si>
    <t>[DCS]_Equipment Power Distribution Diagram</t>
  </si>
  <si>
    <t>GRT-DS-IP-DT-170409</t>
  </si>
  <si>
    <t>161115-0</t>
  </si>
  <si>
    <t>GRT-CV03-P0ZEN-161116</t>
  </si>
  <si>
    <t>161116</t>
  </si>
  <si>
    <t>[DCS]_Functional Design Specification for Safety Related System</t>
  </si>
  <si>
    <t>GRT-DS-IP-DT-170398</t>
  </si>
  <si>
    <t>161116-0</t>
  </si>
  <si>
    <t>GRT-CV03-P0ZEN-161117</t>
  </si>
  <si>
    <t>161117</t>
  </si>
  <si>
    <t>[DCS]_Functional Design Specification for Performance Monitoring System</t>
  </si>
  <si>
    <t>GRT-DS-IP-DT-170402</t>
  </si>
  <si>
    <t>161117-0</t>
  </si>
  <si>
    <t>GRT-MA02-P0ZEN-161121</t>
  </si>
  <si>
    <t>161121</t>
  </si>
  <si>
    <t>[DCS]_LAN Configuration Diagram</t>
  </si>
  <si>
    <t>GRT-YD07-P0ZEN-161122</t>
  </si>
  <si>
    <t>161122</t>
  </si>
  <si>
    <t>[DCS]_IO &amp; Module Allocation</t>
  </si>
  <si>
    <t>GRT-YD05-P0ZEN-161123</t>
  </si>
  <si>
    <t>161123</t>
  </si>
  <si>
    <t>[DCS]_HMI Graphic Drawing</t>
  </si>
  <si>
    <t>GRT-YR05-P0ZEN-161131</t>
  </si>
  <si>
    <t>161131</t>
  </si>
  <si>
    <t>[DCS]_Outline &amp; Detail Drawing for Console desk &amp; Computer desk &amp; Printer desk</t>
  </si>
  <si>
    <t>GRT-YR05-P0ZEN-161132</t>
  </si>
  <si>
    <t>161132</t>
  </si>
  <si>
    <t>[DCS]_Outline &amp; Detail Drawing for LAN Cabinet</t>
  </si>
  <si>
    <t>27-5th DRM</t>
  </si>
  <si>
    <t>GRT-YR05-P0ZEN-161133</t>
  </si>
  <si>
    <t>161133</t>
  </si>
  <si>
    <t>[DCS]_Outline &amp; Detail Drawing for Power Distribution Cabinet</t>
  </si>
  <si>
    <t>GRT-YR05-P0ZEN-161134</t>
  </si>
  <si>
    <t>161134</t>
  </si>
  <si>
    <t>[DCS]_Outline &amp; Detail Drawing for System &amp; Marshalling Cabinet</t>
  </si>
  <si>
    <t>GRT-YR05-P0ZEN-161135</t>
  </si>
  <si>
    <t>161135</t>
  </si>
  <si>
    <t>[DCS]_Outline &amp; Detail Drawing for Relay Cabinet</t>
  </si>
  <si>
    <t>161135-0</t>
  </si>
  <si>
    <t>GRT-YR05-P0ZEN-161136</t>
  </si>
  <si>
    <t>161136</t>
  </si>
  <si>
    <t>[DCS]_Outline &amp; Detail Drawing for Safety Related System Panel</t>
  </si>
  <si>
    <t>29-5th DRM</t>
  </si>
  <si>
    <t>GRT-YF00-P0ZEN-161201</t>
  </si>
  <si>
    <t>161201</t>
  </si>
  <si>
    <t>[INC_Other_Sys_Logic&amp;Loop]_Control Logic Diagram - Symbol &amp; Legend</t>
  </si>
  <si>
    <t>GRT-DS-IP-DT-170166</t>
  </si>
  <si>
    <t>GRT-YF00-P0ZEN-161202</t>
  </si>
  <si>
    <t>161202</t>
  </si>
  <si>
    <t>[INC_Other_Sys_Logic&amp;Loop]_Control Logic Diagram - Typical Function</t>
  </si>
  <si>
    <t>GRT-YF00-P1LBA-161203</t>
  </si>
  <si>
    <t>161203</t>
  </si>
  <si>
    <t>[HP &amp; LP steam system_I&amp;C_Logic]_Control Logic Diagram for BOP</t>
  </si>
  <si>
    <t>GRT-YF00-P0LBG-161204</t>
  </si>
  <si>
    <t>161204</t>
  </si>
  <si>
    <t>[AUX Steam System_I&amp;C_Logic]_Control Logic Diagram for BOP</t>
  </si>
  <si>
    <t>GRT-YF00-P0LA-161205</t>
  </si>
  <si>
    <t>161205</t>
  </si>
  <si>
    <t>[Feedwater system_I&amp;C_Logic]_Control Logic Diagram for BOP</t>
  </si>
  <si>
    <t>GRT-YF00-P0LC-161206</t>
  </si>
  <si>
    <t>161206</t>
  </si>
  <si>
    <t>[Condensate system_I&amp;C_Logic]_Control Logic Diagram for BOP</t>
  </si>
  <si>
    <t>GRT-YF00-P0PA-161207</t>
  </si>
  <si>
    <t>161207</t>
  </si>
  <si>
    <t>[Aux. Cooling Water System_I&amp;C_Logic]_Control Logic Diagram for BOP</t>
  </si>
  <si>
    <t>GRT-YF00-P0PG-161208</t>
  </si>
  <si>
    <t>161208</t>
  </si>
  <si>
    <t>[Closed cooling water system_I&amp;C_Logic]_Control Logic Diagram for BOP</t>
  </si>
  <si>
    <t>GRT-YF00-P0ZEN-161210</t>
  </si>
  <si>
    <t>161210</t>
  </si>
  <si>
    <t>[INC_Other_Sys_Logic&amp;Loop]_Control Logic Diagram for Sampling &amp; Chemical Dosing System</t>
  </si>
  <si>
    <t>GRT-DS-IP-DT-170283</t>
  </si>
  <si>
    <t>2017-09-11</t>
  </si>
  <si>
    <t>161210-0</t>
  </si>
  <si>
    <t>GRT-YF00-P0ZEN-161211</t>
  </si>
  <si>
    <t>161211</t>
  </si>
  <si>
    <t>[INC_Other_Sys_Logic&amp;Loop]_Control Logic Diagram for Interface with other Control System</t>
  </si>
  <si>
    <t>GRT-YF00-P0ZEN-161212</t>
  </si>
  <si>
    <t>161212</t>
  </si>
  <si>
    <t>[INC_Other_Sys_Logic&amp;Loop]_Control Logic Diagram for Miscellaneous System</t>
  </si>
  <si>
    <t>GRT-YF00-P0MAJ-161213</t>
  </si>
  <si>
    <t>161213</t>
  </si>
  <si>
    <t>[Condenser Vacuum Pump System _I&amp;C_Logic]_Control Logic Diagram for BOP</t>
  </si>
  <si>
    <t>GRT-DS-IP-DT-170218</t>
  </si>
  <si>
    <t>GRT-YF00-P0ZEN-161301</t>
  </si>
  <si>
    <t>161301</t>
  </si>
  <si>
    <t>[INC_Other_Sys_Logic&amp;Loop]_Control Loop Diagram - Symbol &amp; Legend</t>
  </si>
  <si>
    <t>GRT-YF00-P0ZEN-161302</t>
  </si>
  <si>
    <t>161302</t>
  </si>
  <si>
    <t>[INC_Other_Sys_Logic&amp;Loop]_Control Loop Diagram - Typical Function</t>
  </si>
  <si>
    <t>GRT-YF00-P1LBA-161303</t>
  </si>
  <si>
    <t>161303</t>
  </si>
  <si>
    <t>[HP &amp; LP steam system_I&amp;C_Loop]_Control Loop Diagram for BOP</t>
  </si>
  <si>
    <t>GRT-YF00-P0LBG-161304</t>
  </si>
  <si>
    <t>161304</t>
  </si>
  <si>
    <t>[AUX Steam System_I&amp;C_Loop]_Control Loop Diagram for BOP</t>
  </si>
  <si>
    <t>GRT-YF00-P0LA-161305</t>
  </si>
  <si>
    <t>161305</t>
  </si>
  <si>
    <t>[Feedwater system_I&amp;C_Loop]_Control Loop Diagram for BOP</t>
  </si>
  <si>
    <t>GRT-YF00-P0LC-161306</t>
  </si>
  <si>
    <t>161306</t>
  </si>
  <si>
    <t>[Condensate system_I&amp;C_Loop]_Control Loop Diagram for BOP</t>
  </si>
  <si>
    <t>GRT-YF00-P0PA-161307</t>
  </si>
  <si>
    <t>161307</t>
  </si>
  <si>
    <t>[Aux. Cooling Water System_I&amp;C_Loop]_Control Loop Diagram for BOP</t>
  </si>
  <si>
    <t>GRT-YF00-P0PG-161308</t>
  </si>
  <si>
    <t>161308</t>
  </si>
  <si>
    <t>[Closed cooling water system_I&amp;C_Loop]_Control Loop Diagram for BOP</t>
  </si>
  <si>
    <t>GRT-YF00-P0ZEN-161310</t>
  </si>
  <si>
    <t>161310</t>
  </si>
  <si>
    <t>[INC_Other_Sys_Logic&amp;Loop]_Control Loop Diagram for Sampling &amp; Chemical Dosing System</t>
  </si>
  <si>
    <t>GRT-YF00-P0ZEN-161311</t>
  </si>
  <si>
    <t>161311</t>
  </si>
  <si>
    <t>[INC_Other_Sys_Logic&amp;Loop]_Control Loop Diagram for Interface with other Control System</t>
  </si>
  <si>
    <t>GRT-YF00-P0ZEN-161312</t>
  </si>
  <si>
    <t>161312</t>
  </si>
  <si>
    <t>[INC_Other_Sys_Logic&amp;Loop]_Control Loop Diagram for Miscellaneous System</t>
  </si>
  <si>
    <t>GRT-YF00-P0MAJ-161313</t>
  </si>
  <si>
    <t>161313</t>
  </si>
  <si>
    <t>[Condenser Vacuum Pump System _I&amp;C_Loop]_Control Loop Diagram for BOP</t>
  </si>
  <si>
    <t>GRT-YF00-P0ZEN-161401</t>
  </si>
  <si>
    <t>161401</t>
  </si>
  <si>
    <t>[INC_PMC]_Plant Master Control Diagram</t>
  </si>
  <si>
    <t>GRT-YF00-P0ZEN-161402</t>
  </si>
  <si>
    <t>161402</t>
  </si>
  <si>
    <t>[INC_Start&amp;Shutdown Diagram]_Plant Start-up &amp; Shutdown Sequence Diagram - Symbol &amp; Legend</t>
  </si>
  <si>
    <t>GRT-DS-IP-DT-170368</t>
  </si>
  <si>
    <t>161402-0</t>
  </si>
  <si>
    <t>GRT-YF00-P0ZEN-161403</t>
  </si>
  <si>
    <t>161403</t>
  </si>
  <si>
    <t>[INC_Start&amp;Shutdown Diagram]_Plant Start-up &amp; Shutdown Sequence Diagram for Cold Start-up</t>
  </si>
  <si>
    <t>GRT-DS-IP-DT-170369</t>
  </si>
  <si>
    <t>161403-0</t>
  </si>
  <si>
    <t>GRT-YF00-P0ZEN-161404</t>
  </si>
  <si>
    <t>161404</t>
  </si>
  <si>
    <t>[INC_Start&amp;Shutdown Diagram]_Plant Start-up &amp; Shutdown Sequence Diagram for Warm Start-up</t>
  </si>
  <si>
    <t>161404-0</t>
  </si>
  <si>
    <t>GRT-YF00-P0ZEN-161405</t>
  </si>
  <si>
    <t>161405</t>
  </si>
  <si>
    <t>[INC_Start&amp;Shutdown Diagram]_Plant Start-up &amp; Shutdown Sequence Diagram for Hot Start-up</t>
  </si>
  <si>
    <t>161405-0</t>
  </si>
  <si>
    <t>GRT-YF00-P0ZEN-161406</t>
  </si>
  <si>
    <t>161406</t>
  </si>
  <si>
    <t>[INC_Start&amp;Shutdown Diagram]_Plant Start-up &amp; Shutdown Sequence Diagram for Shutdown</t>
  </si>
  <si>
    <t>GRT-DS-IP-DT-170463</t>
  </si>
  <si>
    <t>30-5th DRM</t>
  </si>
  <si>
    <t>GRT-CV03-P0ZEN-162301</t>
  </si>
  <si>
    <t>162301</t>
  </si>
  <si>
    <t>[VMS]_Technical Specification &amp; Datasheet for Vibration Monitoring System</t>
  </si>
  <si>
    <t>GRT-YS05-P0ZEN-162701</t>
  </si>
  <si>
    <t>162701</t>
  </si>
  <si>
    <t>[INC_Design_Criteria_Cable]_Typical I&amp;C Cable Installation Drawing for Field Instrument</t>
  </si>
  <si>
    <t>GRT-DS-IP-DT-170152</t>
  </si>
  <si>
    <t>GRT-YS05-P0ZEN-162702</t>
  </si>
  <si>
    <t>162702</t>
  </si>
  <si>
    <t>[INC_Design_Criteria_Cable]_Typical I&amp;C Cable Installation Drawing for Control Valve</t>
  </si>
  <si>
    <t>GRT-YS05-P0ZEN-162703</t>
  </si>
  <si>
    <t>162703</t>
  </si>
  <si>
    <t>[INC_Design_Criteria_Cable]_Typical I&amp;C Cable Installation Drawing for MOV</t>
  </si>
  <si>
    <t>GRT-YS05-P0ZEN-162704</t>
  </si>
  <si>
    <t>162704</t>
  </si>
  <si>
    <t>[INC_Design_Criteria_Cable]_Typical I&amp;C Cable Installation Drawing for Instrument Rack and Junction Box</t>
  </si>
  <si>
    <t>GRT-YS05-P0ZEN-162705</t>
  </si>
  <si>
    <t>162705</t>
  </si>
  <si>
    <t>[INC_Design_Criteria_Cable]_Typical I&amp;C Cable Installation Drawing for Conduit Support</t>
  </si>
  <si>
    <t>GRT-YS00-P0ZEN-163301</t>
  </si>
  <si>
    <t>163301</t>
  </si>
  <si>
    <t>[INC_Typical Elementary]_Typical Elementary Wiring Diagram - Index</t>
  </si>
  <si>
    <t>GRT-DS-IP-DT-170091</t>
  </si>
  <si>
    <t>2017-06-05</t>
  </si>
  <si>
    <t>163301-0</t>
  </si>
  <si>
    <t>GRT-YS00-P0ZEN-163302</t>
  </si>
  <si>
    <t>163302</t>
  </si>
  <si>
    <t>[INC_Typical Elementary]_Typical Elementary Wiring Diagram for Motor Operated Valve (Internal MCC)</t>
  </si>
  <si>
    <t>163302-0</t>
  </si>
  <si>
    <t>GRT-YS00-P0ZEN-163303</t>
  </si>
  <si>
    <t>163303</t>
  </si>
  <si>
    <t>[INC_Typical Elementary]_Typical Elementary Wiring Diagram for Pneumatic Shut-off Valve (Double Coil SOV)</t>
  </si>
  <si>
    <t>163303-0</t>
  </si>
  <si>
    <t>GRT-YS00-P0ZEN-163304</t>
  </si>
  <si>
    <t>163304</t>
  </si>
  <si>
    <t>[INC_Typical Elementary]_Typical Elementary Wiring Diagram for Pneumatic Shut-off Valve (Single Coil SOV)</t>
  </si>
  <si>
    <t>163304-0</t>
  </si>
  <si>
    <t>GRT-YS00-P0ZEN-163305</t>
  </si>
  <si>
    <t>163305</t>
  </si>
  <si>
    <t>[INC_Typical Elementary]_Typical Elementary Wiring Diagram for Modulating Control Actuator</t>
  </si>
  <si>
    <t>163305-0</t>
  </si>
  <si>
    <t>GRT-YS00-P0ZEN-163306</t>
  </si>
  <si>
    <t>163306</t>
  </si>
  <si>
    <t>[INC_Typical Elementary]_Typical Elementary Wiring Diagram for Analog Input</t>
  </si>
  <si>
    <t>163306-0</t>
  </si>
  <si>
    <t>GRT-YS00-P0ZEN-163307</t>
  </si>
  <si>
    <t>163307</t>
  </si>
  <si>
    <t>[INC_Typical Elementary]_Typical Elementary Wiring Diagram for Analog Output</t>
  </si>
  <si>
    <t>163307-0</t>
  </si>
  <si>
    <t>GRT-YS00-P0ZEN-163308</t>
  </si>
  <si>
    <t>163308</t>
  </si>
  <si>
    <t>[INC_Typical Elementary]_Typical Elementary Wiring Diagram for Binary Input</t>
  </si>
  <si>
    <t>163308-0</t>
  </si>
  <si>
    <t>GRT-YS00-P0ZEN-163309</t>
  </si>
  <si>
    <t>163309</t>
  </si>
  <si>
    <t>[INC_Typical Elementary]_Typical Elementary Wiring Diagram for Binary Output</t>
  </si>
  <si>
    <t>163309-0</t>
  </si>
  <si>
    <t>163310</t>
  </si>
  <si>
    <t>[INC_Typical Elementary]_Typical Elementary Wiring Diagram for Electrical System</t>
  </si>
  <si>
    <t>GRT-DS-IP-DT-170284</t>
  </si>
  <si>
    <t>GRT-YL00-P0ZEN-163700</t>
  </si>
  <si>
    <t>163700</t>
  </si>
  <si>
    <t>[Field Instruments(DHI)]_Field Instrument List for BOP</t>
  </si>
  <si>
    <t>GRT-CV03-P0ZEN-163701</t>
  </si>
  <si>
    <t>163701</t>
  </si>
  <si>
    <t>[Field Instruments(DHI)]_Technical Specification &amp; Datasheet for Process Transmitter - BOP</t>
  </si>
  <si>
    <t>GRT-CV03-P0ZEN-163702</t>
  </si>
  <si>
    <t>163702</t>
  </si>
  <si>
    <t>[Field Instruments(DHI)]_Technical Specification &amp; Datasheet for Local Instrument - BOP</t>
  </si>
  <si>
    <t>GRT-DS-IP-DT-180107</t>
  </si>
  <si>
    <t>GRT-CV03-P0ZEN-163703</t>
  </si>
  <si>
    <t>163703</t>
  </si>
  <si>
    <t>[Field Instruments(DHI)]_Technical Specification &amp; Datasheet for Flow Element - BOP</t>
  </si>
  <si>
    <t>GRT-DS-IP-DT-180084</t>
  </si>
  <si>
    <t>163703-1</t>
  </si>
  <si>
    <t>GRT-CV03-P0ZEN-163704</t>
  </si>
  <si>
    <t>163704</t>
  </si>
  <si>
    <t>[Control Valves(DHI)]_Technical Specification &amp; Datasheet for Control Valve - BOP</t>
  </si>
  <si>
    <t>GRT-DS-IP-DT-180072</t>
  </si>
  <si>
    <t>163704-1</t>
  </si>
  <si>
    <t>GRT-CV03-P0ZEN-163705</t>
  </si>
  <si>
    <t>163705</t>
  </si>
  <si>
    <t>[Instrument Installation materials(DHI)]_Technical Specification for Instrument Installation Materials</t>
  </si>
  <si>
    <t>GRT-DS-IP-DT-170291</t>
  </si>
  <si>
    <t>163705-0</t>
  </si>
  <si>
    <t>GRT-CV03-P0ZEN-163706</t>
  </si>
  <si>
    <t>163706</t>
  </si>
  <si>
    <t>[Local Boxes(DHI)]_Technical Specification for Junction Box &amp; Racks</t>
  </si>
  <si>
    <t>GRT-DS-IP-DT-170492</t>
  </si>
  <si>
    <t>163706-1</t>
  </si>
  <si>
    <t>GRT-YK00-P0ZEN-164301</t>
  </si>
  <si>
    <t>164301</t>
  </si>
  <si>
    <t>[INC_IID(DHI)]_BOP_Instrument Installation Detail Drawing - General Notes</t>
  </si>
  <si>
    <t>GRT-YK00-P0ZEN-164302</t>
  </si>
  <si>
    <t>164302</t>
  </si>
  <si>
    <t>[INC_IID(DHI)]_BOP_Instrument Installation Detail Drawing - Symbol &amp; Legend</t>
  </si>
  <si>
    <t>GRT-YK00-P0ZEN-164303</t>
  </si>
  <si>
    <t>164303</t>
  </si>
  <si>
    <t>[INC_IID(DHI)]_BOP_Instrument Installation Detail Drawing - Material List</t>
  </si>
  <si>
    <t>GRT-YK00-P0ZEN-164304</t>
  </si>
  <si>
    <t>164304</t>
  </si>
  <si>
    <t>[INC_IID(DHI)]_BOP_Instrument Installation Detail Drawing - Pressure Transmitter / Switch</t>
  </si>
  <si>
    <t>GRT-YK00-P0ZEN-164305</t>
  </si>
  <si>
    <t>164305</t>
  </si>
  <si>
    <t>[INC_IID(DHI)]_BOP_Instrument Installation Detail Drawing - Diff. Press. Transmitter / Switch</t>
  </si>
  <si>
    <t>GRT-YK00-P0ZEN-164306</t>
  </si>
  <si>
    <t>164306</t>
  </si>
  <si>
    <t>[INC_IID(DHI)]_BOP_Instrument Installation Detail Drawing - Flow Transmitter / Switch</t>
  </si>
  <si>
    <t>GRT-YK00-P0ZEN-164307</t>
  </si>
  <si>
    <t>164307</t>
  </si>
  <si>
    <t>[INC_IID(DHI)]_BOP_Instrument Installation Detail Drawing - Level Transmitter / Switch</t>
  </si>
  <si>
    <t>GRT-YK00-P0ZEN-164308</t>
  </si>
  <si>
    <t>164308</t>
  </si>
  <si>
    <t>[INC_IID(DHI)]_BOP_Instrument Installation Detail Drawing - Pressure Gauge</t>
  </si>
  <si>
    <t>GRT-YK00-P0ZEN-164309</t>
  </si>
  <si>
    <t>164309</t>
  </si>
  <si>
    <t>[INC_IID(DHI)]_BOP_Instrument Installation Detail Drawing - Control Valve</t>
  </si>
  <si>
    <t>GRT-YK00-P0ZEN-164310</t>
  </si>
  <si>
    <t>164310</t>
  </si>
  <si>
    <t>[INC_IID(DHI)]_BOP_Instrument Installation Detail Drawing - Stanchion &amp; Rack</t>
  </si>
  <si>
    <t>GRT-YD08-P0UMA-164311</t>
  </si>
  <si>
    <t>164311</t>
  </si>
  <si>
    <t>[Steam Turbine Building_INC_ILD]_BOP_Instrument Location Drawing</t>
  </si>
  <si>
    <t>GRT-YK00-P0ZEN-164312</t>
  </si>
  <si>
    <t>164312</t>
  </si>
  <si>
    <t>[INC_IID(DHI)]_BOP_Instrument Installation Detail Drawing - Temp.Transmitter/ Guage/ Test Well</t>
  </si>
  <si>
    <t>GRT-XB00-P0MA-200001</t>
  </si>
  <si>
    <t>200001</t>
  </si>
  <si>
    <t>[STG]_Foundation - Shape &amp; Anchoring</t>
  </si>
  <si>
    <t>GRT-DS-IP-DT-170126</t>
  </si>
  <si>
    <t>2017-06-22</t>
  </si>
  <si>
    <t>GRT-XB00-P0MA-200002</t>
  </si>
  <si>
    <t>200002</t>
  </si>
  <si>
    <t>[STG]_Foundation - Embedded Elements</t>
  </si>
  <si>
    <t>GRT-DS-IP-DT-170226</t>
  </si>
  <si>
    <t>GRT-XB00-P0MA-200003</t>
  </si>
  <si>
    <t>200003</t>
  </si>
  <si>
    <t>[STG]_Foundation - Static &amp; Dynamic Calculation</t>
  </si>
  <si>
    <t>GRT-CA03-P0MA-200004</t>
  </si>
  <si>
    <t>200004</t>
  </si>
  <si>
    <t>[STG]_Steel structures</t>
  </si>
  <si>
    <t>GRT-DS-IP-DT-180035</t>
  </si>
  <si>
    <t>200004-0</t>
  </si>
  <si>
    <t>GRT-XG08-P0MA-200005</t>
  </si>
  <si>
    <t>200005</t>
  </si>
  <si>
    <t>[STG]_P&amp;I Diagrams</t>
  </si>
  <si>
    <t>GRT-YD00-P0MA-200006</t>
  </si>
  <si>
    <t>200006</t>
  </si>
  <si>
    <t>[STG]_General Arrangement Drawing</t>
  </si>
  <si>
    <t>GRT-DS-IP-DT-170333</t>
  </si>
  <si>
    <t>GRT-XB00-P0MA-200007</t>
  </si>
  <si>
    <t>200007</t>
  </si>
  <si>
    <t>[STG]_Foundation load plan</t>
  </si>
  <si>
    <t>GRT-DS-IP-DT-170122</t>
  </si>
  <si>
    <t>GRT-XB00-P0MA-200008</t>
  </si>
  <si>
    <t>200008</t>
  </si>
  <si>
    <t>[STG]_Loads plan - Levels</t>
  </si>
  <si>
    <t>GRT-XB00-P0MA-200009</t>
  </si>
  <si>
    <t>200009</t>
  </si>
  <si>
    <t>[STG]_Lay down plan</t>
  </si>
  <si>
    <t>GRT-DS-IP-DT-170321</t>
  </si>
  <si>
    <t>200009-0</t>
  </si>
  <si>
    <t>GRT-XV00-P0MA-200010</t>
  </si>
  <si>
    <t>200010</t>
  </si>
  <si>
    <t>[STG]_List of pipelines</t>
  </si>
  <si>
    <t>GRT-XN00-P0MA-200011</t>
  </si>
  <si>
    <t>200011</t>
  </si>
  <si>
    <t>[STG]_List of valves</t>
  </si>
  <si>
    <t>GRT-DS-IP-DT-170375</t>
  </si>
  <si>
    <t>200011-1</t>
  </si>
  <si>
    <t>GRT-XV00-P0MA-200012</t>
  </si>
  <si>
    <t>200012</t>
  </si>
  <si>
    <t>[STG]_List of equipments</t>
  </si>
  <si>
    <t>GRT-DS-IP-DT-170419</t>
  </si>
  <si>
    <t>200012-0</t>
  </si>
  <si>
    <t>GRT-XB00-P0MA-200013</t>
  </si>
  <si>
    <t>200013</t>
  </si>
  <si>
    <t>[STG]_Allowable loadings and displacements</t>
  </si>
  <si>
    <t>GRT-DS-IP-DT-170400</t>
  </si>
  <si>
    <t>200013-0</t>
  </si>
  <si>
    <t>GRT-US02-P0MA-200014</t>
  </si>
  <si>
    <t>200014</t>
  </si>
  <si>
    <t>[STG]_Detail drawings - piping, components and BOM</t>
  </si>
  <si>
    <t>GRT-YD00-P0MA-200017</t>
  </si>
  <si>
    <t>200017</t>
  </si>
  <si>
    <t>[STG]_Layout - piping routing -</t>
  </si>
  <si>
    <t>200017-0</t>
  </si>
  <si>
    <t>GRT-DF04-P0MA-200018</t>
  </si>
  <si>
    <t>200018</t>
  </si>
  <si>
    <t>[STG]_Stress analysis of piping</t>
  </si>
  <si>
    <t>200018-0</t>
  </si>
  <si>
    <t>GRT-YK09-P0MA-200020</t>
  </si>
  <si>
    <t>200020</t>
  </si>
  <si>
    <t>[STG]_Functional description</t>
  </si>
  <si>
    <t>GRT-DS-IP-DT-170277</t>
  </si>
  <si>
    <t>200020-0</t>
  </si>
  <si>
    <t>GRT-YD00-P0MA-200022</t>
  </si>
  <si>
    <t>200022</t>
  </si>
  <si>
    <t>[STG]_Steam Turbine Auxiliaries outline drawing</t>
  </si>
  <si>
    <t>2018-02-20</t>
  </si>
  <si>
    <t>GRT-YD00-P0MA-200024</t>
  </si>
  <si>
    <t>200024</t>
  </si>
  <si>
    <t>[STG]_Generator Specification</t>
  </si>
  <si>
    <t>GRT-DS-IP-DT-170371</t>
  </si>
  <si>
    <t>200024-0</t>
  </si>
  <si>
    <t>GRT-YK09-P0MA-200025</t>
  </si>
  <si>
    <t>200025</t>
  </si>
  <si>
    <t>[STG]_Excitation system</t>
  </si>
  <si>
    <t>200026</t>
  </si>
  <si>
    <t>[STG]_Line and Neutral Cubicles</t>
  </si>
  <si>
    <t>GRT-DS-IP-DT-180104</t>
  </si>
  <si>
    <t>GRT-YK09-P0MA-200027</t>
  </si>
  <si>
    <t>200027</t>
  </si>
  <si>
    <t>[STG]_Electrical Protections</t>
  </si>
  <si>
    <t>GRT-YK09-P0MA-200028</t>
  </si>
  <si>
    <t>200028</t>
  </si>
  <si>
    <t>[STG]_Measuring and Synchronization</t>
  </si>
  <si>
    <t>GRT-YK09-P0MA-200029</t>
  </si>
  <si>
    <t>200029</t>
  </si>
  <si>
    <t>[STG]_Frequency converter for turning gear</t>
  </si>
  <si>
    <t>GRT-YK09-P0MA-200030</t>
  </si>
  <si>
    <t>200030</t>
  </si>
  <si>
    <t>[STG]_DC motor starter</t>
  </si>
  <si>
    <t>GRT-YK09-P0MA-200032</t>
  </si>
  <si>
    <t>200032</t>
  </si>
  <si>
    <t>[STG]_Cabling system</t>
  </si>
  <si>
    <t>200032-0</t>
  </si>
  <si>
    <t>GRT-YK09-P0MA-200033</t>
  </si>
  <si>
    <t>200033</t>
  </si>
  <si>
    <t>[STG]_Electrical system description</t>
  </si>
  <si>
    <t>GRT-DS-IP-DT-170414</t>
  </si>
  <si>
    <t>200033-0</t>
  </si>
  <si>
    <t>GRT-YK00-P0MA-200034</t>
  </si>
  <si>
    <t>200034</t>
  </si>
  <si>
    <t>[STG]_Hook ups</t>
  </si>
  <si>
    <t>GRT-YK09-P0MA-200035</t>
  </si>
  <si>
    <t>200035</t>
  </si>
  <si>
    <t>[STG]_Instrumentation data sheets</t>
  </si>
  <si>
    <t>GRT-YF00-P0MA-200036</t>
  </si>
  <si>
    <t>200036</t>
  </si>
  <si>
    <t>[STG]_Consumer schemes</t>
  </si>
  <si>
    <t>GRT-DS-IP-DT-170327</t>
  </si>
  <si>
    <t>200036-0</t>
  </si>
  <si>
    <t>GRT-YL00-P0MA-200037</t>
  </si>
  <si>
    <t>200037</t>
  </si>
  <si>
    <t>[STG]_Measurement list</t>
  </si>
  <si>
    <t>200037-0</t>
  </si>
  <si>
    <t>GRT-YL19-P0MA-200038</t>
  </si>
  <si>
    <t>200038</t>
  </si>
  <si>
    <t>[STG]_Electrical load list</t>
  </si>
  <si>
    <t>GRT-YU03-P0MA-200039</t>
  </si>
  <si>
    <t>200039</t>
  </si>
  <si>
    <t>[STG]_Control system architecture</t>
  </si>
  <si>
    <t>GRT-DS-IP-DT-170467</t>
  </si>
  <si>
    <t>31-5th DRM</t>
  </si>
  <si>
    <t>GRT-YK00-P0MA-200040</t>
  </si>
  <si>
    <t>200040</t>
  </si>
  <si>
    <t>[STG]_I&amp;C Lay-outs</t>
  </si>
  <si>
    <t>GRT-YU03-P0MA-200041</t>
  </si>
  <si>
    <t>200041</t>
  </si>
  <si>
    <t>[STG]_Control system function philosophy</t>
  </si>
  <si>
    <t>200041-0</t>
  </si>
  <si>
    <t>GRT-YU03-P0MA-200043</t>
  </si>
  <si>
    <t>200043</t>
  </si>
  <si>
    <t>[STG]_Control system. Hardware specification</t>
  </si>
  <si>
    <t>GRT-YF00-P0MA-200044</t>
  </si>
  <si>
    <t>200044</t>
  </si>
  <si>
    <t>[STG]_Logic diagrams for control of functional groups</t>
  </si>
  <si>
    <t>GRT-DS-IP-DT-170406</t>
  </si>
  <si>
    <t>200044-0</t>
  </si>
  <si>
    <t>GRT-YL00-P0MA-200045</t>
  </si>
  <si>
    <t>200045</t>
  </si>
  <si>
    <t>[STG]_List of signals</t>
  </si>
  <si>
    <t>GRT-YL21-P0MA-200046</t>
  </si>
  <si>
    <t>200046</t>
  </si>
  <si>
    <t>[STG]_Trips &amp; Alarms settings</t>
  </si>
  <si>
    <t>200046-0</t>
  </si>
  <si>
    <t>GRT-YK08-P0MA-200047</t>
  </si>
  <si>
    <t>200047</t>
  </si>
  <si>
    <t>[STG]_HMI design</t>
  </si>
  <si>
    <t>GRT-YL00-P0MA-200048</t>
  </si>
  <si>
    <t>200048</t>
  </si>
  <si>
    <t>[STG]_I/O list</t>
  </si>
  <si>
    <t>GRT-DS-IP-DT-180070</t>
  </si>
  <si>
    <t>200048-1</t>
  </si>
  <si>
    <t>GRT-YU03-P0MA-200049</t>
  </si>
  <si>
    <t>200049</t>
  </si>
  <si>
    <t>[STG]_Wiring diagrams, Loop diagrams</t>
  </si>
  <si>
    <t>GRT-YL15-P0MA-200050</t>
  </si>
  <si>
    <t>200050</t>
  </si>
  <si>
    <t>[STG]_Cable list</t>
  </si>
  <si>
    <t>200050-0</t>
  </si>
  <si>
    <t>GRT-YK09-P0MA-200051</t>
  </si>
  <si>
    <t>200051</t>
  </si>
  <si>
    <t>[STG]_Operating instructions for the steam turbine and accessories</t>
  </si>
  <si>
    <t>GRT-YK09-P0MA-200052</t>
  </si>
  <si>
    <t>200052</t>
  </si>
  <si>
    <t>[STG]_Maintenance instructions for the steam turbine and accessories</t>
  </si>
  <si>
    <t>GRT-YK09-P0MA-200053</t>
  </si>
  <si>
    <t>200053</t>
  </si>
  <si>
    <t>[STG]_Summary Operation and Maintenance instructions</t>
  </si>
  <si>
    <t>GRT-YK10-P0MA-200056</t>
  </si>
  <si>
    <t>200056</t>
  </si>
  <si>
    <t>[STG]_Initial specification for TG installation</t>
  </si>
  <si>
    <t>GRT-DS-IP-DT-180105</t>
  </si>
  <si>
    <t>GRT-YK10-P0MA-200057</t>
  </si>
  <si>
    <t>200057</t>
  </si>
  <si>
    <t>[STG]_Instructions for steam turbine assembly</t>
  </si>
  <si>
    <t>GRT-YK10-P0MA-200058</t>
  </si>
  <si>
    <t>200058</t>
  </si>
  <si>
    <t>[STG]_Main assembly manual</t>
  </si>
  <si>
    <t>GRT-YK09-P0MA-200059</t>
  </si>
  <si>
    <t>200059</t>
  </si>
  <si>
    <t>[STG]_First commissioning and start-up TG</t>
  </si>
  <si>
    <t>GRT-CQ02-P1H-300001</t>
  </si>
  <si>
    <t>300001</t>
  </si>
  <si>
    <t>[HRSG]_INSTALLATION, OPERATION AND MAINTENANCE INSTRUCTION MANUAL</t>
  </si>
  <si>
    <t>GRT-DF04-P1H-300002</t>
  </si>
  <si>
    <t>300002</t>
  </si>
  <si>
    <t>[HRSG]_STRESS ANALYSIS ISOMETRIC DRAWING FOR CRITICAL PIPING</t>
  </si>
  <si>
    <t>GRT-DS-IP-DT-170164</t>
  </si>
  <si>
    <t>300002-1</t>
  </si>
  <si>
    <t>GRT-DM02-P1H-300005</t>
  </si>
  <si>
    <t>300005</t>
  </si>
  <si>
    <t>[HRSG]_GENERAL NOTE FOR STEEL STRUCTURE</t>
  </si>
  <si>
    <t>GRT-DS-IP-DT-180003</t>
  </si>
  <si>
    <t>300005-1</t>
  </si>
  <si>
    <t>GRT-UE00-P1H-300006</t>
  </si>
  <si>
    <t>300006</t>
  </si>
  <si>
    <t>[HRSG]_GENERAL ARRANGEMENT</t>
  </si>
  <si>
    <t>GRT-DS-IP-DT-170387</t>
  </si>
  <si>
    <t>GRT-UE00-P1H-300007</t>
  </si>
  <si>
    <t>300007</t>
  </si>
  <si>
    <t>[HRSG]_ARRANGEMENT OF CASING &amp; FIELD ERECTION</t>
  </si>
  <si>
    <t>300008</t>
  </si>
  <si>
    <t>[HRSG]_ARRANGEMENT OF INLET DUCT</t>
  </si>
  <si>
    <t>GRT-DS-IP-DT-170256</t>
  </si>
  <si>
    <t>GRT-UE00-P1H-300009</t>
  </si>
  <si>
    <t>300009</t>
  </si>
  <si>
    <t>[HRSG]_ARRANGEMENT OF MAIN STACK&amp; FIELD ERECTION</t>
  </si>
  <si>
    <t>GRT-DS-IP-DT-170420</t>
  </si>
  <si>
    <t>32-5th DRM</t>
  </si>
  <si>
    <t>GRT-VN03-P1H-300010</t>
  </si>
  <si>
    <t>300010</t>
  </si>
  <si>
    <t>[HRSG]_TYPICAL PLATFORM DETAIL FOR STEEL STRUCTURE</t>
  </si>
  <si>
    <t>300010-1</t>
  </si>
  <si>
    <t>GRT-VN03-P1H-300011</t>
  </si>
  <si>
    <t>300011</t>
  </si>
  <si>
    <t>[HRSG]_TYPICAL HANDRAIL DETAIL FOR STEEL STRUCTURE</t>
  </si>
  <si>
    <t>GRT-DS-IP-DT-170143</t>
  </si>
  <si>
    <t>GRT-VN03-P1H-300012</t>
  </si>
  <si>
    <t>300012</t>
  </si>
  <si>
    <t>[HRSG]_TYPICAL LADDER DETAIL FOR STEEL STRUCTURE</t>
  </si>
  <si>
    <t>GRT-DS-IP-DT-170254</t>
  </si>
  <si>
    <t>GRT-VN03-P1H-300013</t>
  </si>
  <si>
    <t>300013</t>
  </si>
  <si>
    <t>[HRSG]_ARRANGEMENT FOR PLATFORM STRUCTURE</t>
  </si>
  <si>
    <t>300013-1</t>
  </si>
  <si>
    <t>GRT-XB02-P1H-300014</t>
  </si>
  <si>
    <t>300014</t>
  </si>
  <si>
    <t>[HRSG]_COLUMN LOCATION FOR STEEL STRUCTURE AND STACK (WITH PLAN VIEW)</t>
  </si>
  <si>
    <t>GRT-DS-IP-DT-170185</t>
  </si>
  <si>
    <t>2017-08-01</t>
  </si>
  <si>
    <t>GRT-XB02-P1H-300015</t>
  </si>
  <si>
    <t>300015</t>
  </si>
  <si>
    <t>[HRSG]_FOUNDATION LOAD TABLE FOR STEEL STRUCTURE AND STACK</t>
  </si>
  <si>
    <t>GRT-XB02-P1H-300016</t>
  </si>
  <si>
    <t>300016</t>
  </si>
  <si>
    <t>[HRSG]_BASE PLATE AND ANCHOR BOLTS DETAIL FOR STEEL STRUCTURE</t>
  </si>
  <si>
    <t>GRT-XB02-P1H-300018</t>
  </si>
  <si>
    <t>300018</t>
  </si>
  <si>
    <t>[HRSG]_FOUNDATION LOADING &amp; LOCATION DRAWING FOR BLOWDOWN TANK</t>
  </si>
  <si>
    <t>GRT-XG02-P1H-300020</t>
  </si>
  <si>
    <t>300020</t>
  </si>
  <si>
    <t>[HRSG]_P&amp;I DIAGRAM</t>
  </si>
  <si>
    <t>0DCR2</t>
  </si>
  <si>
    <t>GRT-XH01-P1H-300021</t>
  </si>
  <si>
    <t>300021</t>
  </si>
  <si>
    <t>[HRSG]_PIPE SUPPORT DRAWING FOR EXTERNAL PIPING</t>
  </si>
  <si>
    <t>GRT-DS-IP-DT-180044</t>
  </si>
  <si>
    <t>300021-1</t>
  </si>
  <si>
    <t>GRT-XH01-P1H-300023</t>
  </si>
  <si>
    <t>300023</t>
  </si>
  <si>
    <t>[HRSG]_PIPE SUPPORT DRAWINGS</t>
  </si>
  <si>
    <t>GRT-DS-IP-DT-170530</t>
  </si>
  <si>
    <t>92-5th DRM</t>
  </si>
  <si>
    <t>GRT-XJ00-P1H-300024</t>
  </si>
  <si>
    <t>300024</t>
  </si>
  <si>
    <t>[HRSG]_ERECTION ISOMETRIC DRAWING FOR PIPNG FABRICATION STANDARD</t>
  </si>
  <si>
    <t>GRT-XL00-P1H-300028</t>
  </si>
  <si>
    <t>300028</t>
  </si>
  <si>
    <t>[HRSG]_LINE LIST</t>
  </si>
  <si>
    <t>GRT-XN00-P1H-300029</t>
  </si>
  <si>
    <t>300029</t>
  </si>
  <si>
    <t>[HRSG]_VALVE LIST</t>
  </si>
  <si>
    <t>GRT-XS00-P1H-300031</t>
  </si>
  <si>
    <t>300031</t>
  </si>
  <si>
    <t>[HRSG]_SYSTEM DESCRIPTION</t>
  </si>
  <si>
    <t>GRT-XS00-P1H-300032</t>
  </si>
  <si>
    <t>300032</t>
  </si>
  <si>
    <t>[HRSG]_BLOWDOWN SYSTEM SUMMARY</t>
  </si>
  <si>
    <t>300032-1</t>
  </si>
  <si>
    <t>GRT-YB03-P1H-300033</t>
  </si>
  <si>
    <t>300033</t>
  </si>
  <si>
    <t>[HRSG]_CABLE CONNECTION DIAGRAM</t>
  </si>
  <si>
    <t>GRT-YD00-P1H-300034</t>
  </si>
  <si>
    <t>300034</t>
  </si>
  <si>
    <t>[HRSG]_PRESSURE PART ARRANGEMENT</t>
  </si>
  <si>
    <t>34-5th DRM</t>
  </si>
  <si>
    <t>GRT-YD00-P1H-300035</t>
  </si>
  <si>
    <t>300035</t>
  </si>
  <si>
    <t>[HRSG]_SPEC. &amp; DRAWING FOR STEAM DRUM</t>
  </si>
  <si>
    <t>GRT-DS-IP-DT-170486</t>
  </si>
  <si>
    <t>300035-0</t>
  </si>
  <si>
    <t>GRT-YD00-P1H-300036</t>
  </si>
  <si>
    <t>300036</t>
  </si>
  <si>
    <t>[HRSG]_EQUIPMENT OUTLINE DRAWING FOR BLOWDOWN TANK</t>
  </si>
  <si>
    <t>GRT-YD00-P1H-300037</t>
  </si>
  <si>
    <t>300037</t>
  </si>
  <si>
    <t>[HRSG]_POWER DISTRIBUTION PANEL DRAWINGS</t>
  </si>
  <si>
    <t>GRT-YD00-P1H-300039</t>
  </si>
  <si>
    <t>300039</t>
  </si>
  <si>
    <t>[HRSG]_SPEC. &amp; DRAWING FOR SAFETY &amp; RELIEF VALVE</t>
  </si>
  <si>
    <t>300039-0</t>
  </si>
  <si>
    <t>GRT-YD00-P1H-300040</t>
  </si>
  <si>
    <t>300040</t>
  </si>
  <si>
    <t>[HRSG]_SPEC. &amp; DRAWING FOR STACK DAMPER</t>
  </si>
  <si>
    <t>GRT-YD00-P1H-300041</t>
  </si>
  <si>
    <t>300041</t>
  </si>
  <si>
    <t>[HRSG]_SPEC. &amp; DRAWING FOR SILENCER</t>
  </si>
  <si>
    <t>36-5th DRM</t>
  </si>
  <si>
    <t>GRT-YD04-P1H-300042</t>
  </si>
  <si>
    <t>300042</t>
  </si>
  <si>
    <t>[HRSG]_CABLE TRAY &amp; RACEWAY LAYOUT DIAGRAM</t>
  </si>
  <si>
    <t>GRT-YF00-P1H-300044</t>
  </si>
  <si>
    <t>300044</t>
  </si>
  <si>
    <t>[HRSG]_SEQUENCES &amp; CONTROLS</t>
  </si>
  <si>
    <t>GRT-YK01-P1H-300048</t>
  </si>
  <si>
    <t>300048</t>
  </si>
  <si>
    <t>[HRSG]_INSTRUMENT INSTALLATION DETAIL DRAWINGS</t>
  </si>
  <si>
    <t>GRT-YK09-P1H-300049</t>
  </si>
  <si>
    <t>300049</t>
  </si>
  <si>
    <t>[HRSG]_SPECIALTY DRAWING FOR EXTERNAL PIPING</t>
  </si>
  <si>
    <t>GRT-YK10-P1H-300050</t>
  </si>
  <si>
    <t>300050</t>
  </si>
  <si>
    <t>[HRSG]_MANUAL VALVE ASSEMBLY DRAWING FOR EXTERNAL PIPING</t>
  </si>
  <si>
    <t>GRT-YL00-P1H-300051</t>
  </si>
  <si>
    <t>300051</t>
  </si>
  <si>
    <t>[HRSG]_INSTRUMENT LIST</t>
  </si>
  <si>
    <t>GRT-DS-IP-DT-170308</t>
  </si>
  <si>
    <t>2017-10-29</t>
  </si>
  <si>
    <t>GRT-YL16-P1H-300052</t>
  </si>
  <si>
    <t>300052</t>
  </si>
  <si>
    <t>[HRSG]_CABLE SCHEDULE</t>
  </si>
  <si>
    <t>GRT-YR01-P1H-300054</t>
  </si>
  <si>
    <t>300054</t>
  </si>
  <si>
    <t>[HRSG]_CHEMICAL CLEANING PROCEDURE</t>
  </si>
  <si>
    <t>98-5th DRM</t>
  </si>
  <si>
    <t>GRT-YR01-P1H-300055</t>
  </si>
  <si>
    <t>300055</t>
  </si>
  <si>
    <t>[HRSG]_CONSERVATION PROCEDURE</t>
  </si>
  <si>
    <t>99-5th DRM</t>
  </si>
  <si>
    <t>GRT-YT01-P1H-300056</t>
  </si>
  <si>
    <t>300056</t>
  </si>
  <si>
    <t>[HRSG]_DATA &amp; BOM OF INSULATION FOR DRUM AND BLOWDOWN TANK</t>
  </si>
  <si>
    <t>GRT-DS-IP-DT-170279</t>
  </si>
  <si>
    <t>300056-0</t>
  </si>
  <si>
    <t>GRT-YT01-P1H-300057</t>
  </si>
  <si>
    <t>300057</t>
  </si>
  <si>
    <t>[HRSG]_DATA &amp; BOM OF INSULATION FOR INTERNAL PIPING</t>
  </si>
  <si>
    <t>300057-0</t>
  </si>
  <si>
    <t>GRT-YT01-P1H-300058</t>
  </si>
  <si>
    <t>300058</t>
  </si>
  <si>
    <t>[HRSG]_PERFORMANCE AND OPERATIONAL DATA</t>
  </si>
  <si>
    <t>GRT-YT01-P1H-300059</t>
  </si>
  <si>
    <t>300059</t>
  </si>
  <si>
    <t>[HRSG]_MOV DATASHEET &amp; DRAWINGS</t>
  </si>
  <si>
    <t>GRT-YT01-P1H-300060</t>
  </si>
  <si>
    <t>300060</t>
  </si>
  <si>
    <t>[HRSG]_CV DATASHEET &amp; DRAWINGS</t>
  </si>
  <si>
    <t>GRT-YT01-P1H-300061</t>
  </si>
  <si>
    <t>300061</t>
  </si>
  <si>
    <t>[HRSG]_DESH. DATASHEET &amp; DRAWINGS</t>
  </si>
  <si>
    <t>GRT-YT01-P1H-300062</t>
  </si>
  <si>
    <t>300062</t>
  </si>
  <si>
    <t>[HRSG]_AIRCRAFT WARNING LIGHT DATASHEET &amp; LAYOUT DIAGRAM</t>
  </si>
  <si>
    <t>GRT-YT01-P1H-300063</t>
  </si>
  <si>
    <t>300063</t>
  </si>
  <si>
    <t>[HRSG]_CEMS DATASHEET &amp; DRAWINGS</t>
  </si>
  <si>
    <t>GRT-YT02-P1H-300065</t>
  </si>
  <si>
    <t>300065</t>
  </si>
  <si>
    <t>[HRSG]_REMOTE DRUM LEVEL INDICATOR DATASHEET &amp; DRAWINGS</t>
  </si>
  <si>
    <t>300065-0</t>
  </si>
  <si>
    <t>GRT-YU02-P1H-300066</t>
  </si>
  <si>
    <t>300066</t>
  </si>
  <si>
    <t>[HRSG]_ELECTRICAL SINGLE LINE DIAGRAMS</t>
  </si>
  <si>
    <t>GRT-DE00-P1H-300067</t>
  </si>
  <si>
    <t>300067</t>
  </si>
  <si>
    <t>[HRSG]_PIPING MATERIAL CLASSIFICATION</t>
  </si>
  <si>
    <t>300067-0</t>
  </si>
  <si>
    <t>GRT-YT01-P1H-300068</t>
  </si>
  <si>
    <t>300068</t>
  </si>
  <si>
    <t>[HRSG]_DIVERTER &amp; GUILLOTINE DAMPER DOCUMENT PACKAGE</t>
  </si>
  <si>
    <t>GRT-YT01-P1H-300069</t>
  </si>
  <si>
    <t>300069</t>
  </si>
  <si>
    <t>[HRSG]_ SPEC. &amp; DRAWING FOR PREHEATER RECIRCULATION PUMP</t>
  </si>
  <si>
    <t>300069-0</t>
  </si>
  <si>
    <t>GRT-YD00-P0PGB-400040</t>
  </si>
  <si>
    <t>400040</t>
  </si>
  <si>
    <t>Outline Drawing for CCW Heat Exchanger</t>
  </si>
  <si>
    <t>GRT-DS-IP-DT-180085</t>
  </si>
  <si>
    <t>3</t>
  </si>
  <si>
    <t>400040-3</t>
  </si>
  <si>
    <t>GRT-YT10-P0PGB-400050</t>
  </si>
  <si>
    <t>400050</t>
  </si>
  <si>
    <t>Thermal Calculation for CCW Heat Exchanger</t>
  </si>
  <si>
    <t>GRT-DS-IP-DT-170545</t>
  </si>
  <si>
    <t>134-5th DRM</t>
  </si>
  <si>
    <t>GRT-YT10-P0PGB-400060</t>
  </si>
  <si>
    <t>400060</t>
  </si>
  <si>
    <t>Strength Calculation for CCW Heat Exchanger</t>
  </si>
  <si>
    <t>GRT-DS-IP-DT-170539</t>
  </si>
  <si>
    <t>120-5th DRM</t>
  </si>
  <si>
    <t>GRT-CQ02-P0PGB-400070</t>
  </si>
  <si>
    <t>400070</t>
  </si>
  <si>
    <t>Operation and Maintenance Manual for CCW Heat Exchanger</t>
  </si>
  <si>
    <t>GRT-YK08-P0MAG-410001</t>
  </si>
  <si>
    <t>410001</t>
  </si>
  <si>
    <t>Condenser_General Layout</t>
  </si>
  <si>
    <t>GRT-DS-IP-DT-170506</t>
  </si>
  <si>
    <t>102-5th DRM</t>
  </si>
  <si>
    <t>GRT-YK08-P0MAG-410002</t>
  </si>
  <si>
    <t>410002</t>
  </si>
  <si>
    <t>Condenser_General Arrangement</t>
  </si>
  <si>
    <t>65-5th DRM</t>
  </si>
  <si>
    <t>GRT-XL00-P0MAG-410003</t>
  </si>
  <si>
    <t>410003</t>
  </si>
  <si>
    <t>Condenser_Connection List</t>
  </si>
  <si>
    <t>103-5th DRM</t>
  </si>
  <si>
    <t>GRT-XL00-P0MAG-410004</t>
  </si>
  <si>
    <t>410004</t>
  </si>
  <si>
    <t>Condenser_Connection Detail</t>
  </si>
  <si>
    <t>104-5th DRM</t>
  </si>
  <si>
    <t>GRT-VL00-P0MAG-410005</t>
  </si>
  <si>
    <t>410005</t>
  </si>
  <si>
    <t>Condenser_Foundation Assembly</t>
  </si>
  <si>
    <t>GRT-DS-IP-DT-170298</t>
  </si>
  <si>
    <t>410005-0</t>
  </si>
  <si>
    <t>GRT-VL00-P0MAG-410006</t>
  </si>
  <si>
    <t>410006</t>
  </si>
  <si>
    <t>Condenser_Foundation Detail</t>
  </si>
  <si>
    <t>GRT-DS-IP-DT-170061</t>
  </si>
  <si>
    <t>GRT-YT01-P0MAG-410007</t>
  </si>
  <si>
    <t>410007</t>
  </si>
  <si>
    <t>Condenser_Data Sheet</t>
  </si>
  <si>
    <t>410007-0</t>
  </si>
  <si>
    <t>GRT-YT01-P0MAG-410008</t>
  </si>
  <si>
    <t>410008</t>
  </si>
  <si>
    <t>Condenser_Nozzle Force and Moment</t>
  </si>
  <si>
    <t>GRT-YT01-P0MAG-410009</t>
  </si>
  <si>
    <t>410009</t>
  </si>
  <si>
    <t>Condenser_Performance Curves</t>
  </si>
  <si>
    <t>GRT-YL00-P0MAG-410010</t>
  </si>
  <si>
    <t>410010</t>
  </si>
  <si>
    <t>Condenser_Instrument list and Datasheet for Condenser</t>
  </si>
  <si>
    <t>GRT-DS-IP-DT-180015</t>
  </si>
  <si>
    <t>124-5th DRM</t>
  </si>
  <si>
    <t>410011</t>
  </si>
  <si>
    <t>Condenser_Instruction Manuals for Erection, Installation, Operation and Maintenance</t>
  </si>
  <si>
    <t>GRT-YK08-P0MAG-410012</t>
  </si>
  <si>
    <t>410012</t>
  </si>
  <si>
    <t>Transition Piece Assembly between LP TBN and Condenser</t>
  </si>
  <si>
    <t>1DCR1</t>
  </si>
  <si>
    <t>GRT-YK08-P0LAA-420001</t>
  </si>
  <si>
    <t>420001</t>
  </si>
  <si>
    <t xml:space="preserve">Outline Drawing for Deaerator &amp; Feedwater Storage Tank </t>
  </si>
  <si>
    <t>GRT-DS-IP-DT-180037</t>
  </si>
  <si>
    <t>125-5th DRM</t>
  </si>
  <si>
    <t>GRT-CV03-P0LAA-420002</t>
  </si>
  <si>
    <t>420002</t>
  </si>
  <si>
    <t xml:space="preserve">Datasheet for Deaerator &amp; Feedwater Storage Tank </t>
  </si>
  <si>
    <t>126-5th DRM</t>
  </si>
  <si>
    <t>GRT-CQ02-P0LAA-420003</t>
  </si>
  <si>
    <t>420003</t>
  </si>
  <si>
    <t>OPERATING AND MAINTENANCE MANUAL FOR DEAERATOR &amp; FEEDWATER STORAGE TANK</t>
  </si>
  <si>
    <t>GRT-YD00-P0LCM-430010</t>
  </si>
  <si>
    <t>430010</t>
  </si>
  <si>
    <t>Outline Drawing for Atmospheric Flash Tank</t>
  </si>
  <si>
    <t>GRT-DS-IP-DT-170524</t>
  </si>
  <si>
    <t>106-5th DRM</t>
  </si>
  <si>
    <t>GRT-YD00-P0PGB-430020</t>
  </si>
  <si>
    <t>430020</t>
  </si>
  <si>
    <t>Outline Drawing for CCW Chemical Additive Tank</t>
  </si>
  <si>
    <t>GRT-DS-IP-DT-170523</t>
  </si>
  <si>
    <t>107-5th DRM</t>
  </si>
  <si>
    <t>GRT-YD00-P0PGB-430030</t>
  </si>
  <si>
    <t>430030</t>
  </si>
  <si>
    <t>Outline Drawing for CCW Expansion Head Tank</t>
  </si>
  <si>
    <t>GRT-DS-IP-DT-170392</t>
  </si>
  <si>
    <t>430030-0</t>
  </si>
  <si>
    <t>GRT-YT10-P0LCM-430110</t>
  </si>
  <si>
    <t>430110</t>
  </si>
  <si>
    <t>Strength Calculation for Atmospheric Flash Tank</t>
  </si>
  <si>
    <t>GRT-DS-IP-DT-170542</t>
  </si>
  <si>
    <t>131-5th DRM</t>
  </si>
  <si>
    <t>GRT-YT10-P0PGB-430120</t>
  </si>
  <si>
    <t>430120</t>
  </si>
  <si>
    <t>Strength Calculation for CCW Chemical Additive Tank</t>
  </si>
  <si>
    <t>132-5th DRM</t>
  </si>
  <si>
    <t>GRT-YT10-P0PGB-430130</t>
  </si>
  <si>
    <t>430130</t>
  </si>
  <si>
    <t>Strength Calculation for CCW Expansion Head Tank</t>
  </si>
  <si>
    <t>133-5th DRM</t>
  </si>
  <si>
    <t>GRT-XG02-P0PAH-440001</t>
  </si>
  <si>
    <t>440001</t>
  </si>
  <si>
    <t>Condenser Tube Cleaning System_P &amp; I Diagram</t>
  </si>
  <si>
    <t>GRT-DS-IP-DT-170361</t>
  </si>
  <si>
    <t>440001-0</t>
  </si>
  <si>
    <t>GRT-YK08-P0PAH-440002</t>
  </si>
  <si>
    <t>440002</t>
  </si>
  <si>
    <t>Condenser Tube Cleaning System_Outline Drawing</t>
  </si>
  <si>
    <t>440002-0</t>
  </si>
  <si>
    <t>GRT-YK08-P0PAH-440003</t>
  </si>
  <si>
    <t>440003</t>
  </si>
  <si>
    <t>Condenser Tube Cleaning System_Outline Drawing for Ball Recirculation unit</t>
  </si>
  <si>
    <t>GRT-DS-IP-DT-170508</t>
  </si>
  <si>
    <t>GRT-YF00-P0PAH-440004</t>
  </si>
  <si>
    <t>440004</t>
  </si>
  <si>
    <t>Control Logic for CTCS &amp; Debris Filter</t>
  </si>
  <si>
    <t>GRT-DS-IP-DT-170449</t>
  </si>
  <si>
    <t>440004-0</t>
  </si>
  <si>
    <t>GRT-YV02-P0PAH-440005</t>
  </si>
  <si>
    <t>440005</t>
  </si>
  <si>
    <t>Cable Connection/wiring Diagram(for power, control &amp; instrument cable) for CTCS &amp; Debris Filter</t>
  </si>
  <si>
    <t>GRT-DS-IP-DT-180009</t>
  </si>
  <si>
    <t>2018-01-23</t>
  </si>
  <si>
    <t>GRT-YB03-P0PAH-440006</t>
  </si>
  <si>
    <t>440006</t>
  </si>
  <si>
    <t>Configuration Diagram of Package System for CTCS &amp; Debris Filter</t>
  </si>
  <si>
    <t>440006-1</t>
  </si>
  <si>
    <t>GRT-YK08-P0PAH-440007</t>
  </si>
  <si>
    <t>440007</t>
  </si>
  <si>
    <t>Outline Drawing for Control Panel of CTCS &amp; Debris Filter</t>
  </si>
  <si>
    <t>440007-1</t>
  </si>
  <si>
    <t>GRT-YT01-P0PAH-440008</t>
  </si>
  <si>
    <t>440008</t>
  </si>
  <si>
    <t>Condenser Tube Cleaning System_Technical Data Sheet</t>
  </si>
  <si>
    <t>440008-0</t>
  </si>
  <si>
    <t>GRT-CQ02-P0PAH-440009</t>
  </si>
  <si>
    <t>440009</t>
  </si>
  <si>
    <t>Condenser Tube Cleaning system_Operation &amp; Maintenance Manual</t>
  </si>
  <si>
    <t>GRT-XG02-P0PAH-440051</t>
  </si>
  <si>
    <t>440051</t>
  </si>
  <si>
    <t>CCW HEX Tube Cleaning System_P &amp; I Diagram</t>
  </si>
  <si>
    <t>67-5th DRM</t>
  </si>
  <si>
    <t>GRT-YK08-P0PAH-440052</t>
  </si>
  <si>
    <t>440052</t>
  </si>
  <si>
    <t>CCW HEX Tube Cleaning System_Outline Drawing</t>
  </si>
  <si>
    <t>68-5th DRM</t>
  </si>
  <si>
    <t>GRT-YK08-P0PAH-440053</t>
  </si>
  <si>
    <t>440053</t>
  </si>
  <si>
    <t>CCW HEX Tube Cleaning System_Outline Drawing for Ball Recirculation unit</t>
  </si>
  <si>
    <t>69-5th DRM</t>
  </si>
  <si>
    <t>GRT-YF00-P0PAH-440054</t>
  </si>
  <si>
    <t>440054</t>
  </si>
  <si>
    <t>CCW HEX Tube Cleaning System_Control Logic</t>
  </si>
  <si>
    <t>GRT-DS-IP-DT-170451</t>
  </si>
  <si>
    <t>440054-0</t>
  </si>
  <si>
    <t>GRT-YV02-P0PAH-440055</t>
  </si>
  <si>
    <t>440055</t>
  </si>
  <si>
    <t>CCW HEX Tube Cleaning System_Cable Connection/wiring Diagram(for power, control &amp; instrument cable)</t>
  </si>
  <si>
    <t>GRT-DS-IP-DT-180010</t>
  </si>
  <si>
    <t>GRT-YB03-P0PAH-440056</t>
  </si>
  <si>
    <t>440056</t>
  </si>
  <si>
    <t>CCW HEX Tube Cleaning System_Configuration Diagram of Package System</t>
  </si>
  <si>
    <t>440056-1</t>
  </si>
  <si>
    <t>GRT-YK08-P0PAH-440057</t>
  </si>
  <si>
    <t>440057</t>
  </si>
  <si>
    <t>CCW HEX Tube Cleaning System_Outline Drawing for Control Panel</t>
  </si>
  <si>
    <t>440057-1</t>
  </si>
  <si>
    <t>GRT-YT01-P0PAH-440058</t>
  </si>
  <si>
    <t>440058</t>
  </si>
  <si>
    <t>CCW HEX Tube Cleaning System_Technical Data Sheet</t>
  </si>
  <si>
    <t>440058-0</t>
  </si>
  <si>
    <t>GRT-CQ02-P0PAH-440059</t>
  </si>
  <si>
    <t>440059</t>
  </si>
  <si>
    <t>CCW HEX Tube Cleaning system_Operation &amp; Maintenance Manual</t>
  </si>
  <si>
    <t>GRT-XG02-P0PBB-440101</t>
  </si>
  <si>
    <t>440101</t>
  </si>
  <si>
    <t>Debris Filter_P &amp; I Diagram</t>
  </si>
  <si>
    <t>440101-0</t>
  </si>
  <si>
    <t>GRT-YK08-P0PBB-440102</t>
  </si>
  <si>
    <t>440102</t>
  </si>
  <si>
    <t>Debris Filter_Outline Drawing</t>
  </si>
  <si>
    <t>70-5th DRM</t>
  </si>
  <si>
    <t>GRT-YT01-P0PBB-440103</t>
  </si>
  <si>
    <t>440103</t>
  </si>
  <si>
    <t>Debris Filter_Technical Data Sheet</t>
  </si>
  <si>
    <t>440103-0</t>
  </si>
  <si>
    <t>GRT-CQ02-P0PAH-440104</t>
  </si>
  <si>
    <t>440104</t>
  </si>
  <si>
    <t>Debris Filter_Operation &amp; Maintenance Manual</t>
  </si>
  <si>
    <t>GRT-YK08-P0MAJ-460100</t>
  </si>
  <si>
    <t>460100</t>
  </si>
  <si>
    <t>General Arrangement Drawing For Condenser Vacuum Pump</t>
  </si>
  <si>
    <t>GRT-DS-IP-DT-170535</t>
  </si>
  <si>
    <t>109-5th DRM</t>
  </si>
  <si>
    <t>GRT-XG02-P0MAJ-460101</t>
  </si>
  <si>
    <t>460101</t>
  </si>
  <si>
    <t>P &amp; ID For Condenser Vacuum Pump</t>
  </si>
  <si>
    <t>GRT-DS-IP-DT-180011</t>
  </si>
  <si>
    <t>128-5th DRM</t>
  </si>
  <si>
    <t>GRT-YV02-P0MAJ-460102</t>
  </si>
  <si>
    <t>460102</t>
  </si>
  <si>
    <t>Wiring Diargam For Condenser Vacuum Pump</t>
  </si>
  <si>
    <t>GRT-DS-IP-DT-170365</t>
  </si>
  <si>
    <t>460102-0</t>
  </si>
  <si>
    <t>GRT-YB10-P0MAJ-460103</t>
  </si>
  <si>
    <t>460103</t>
  </si>
  <si>
    <t>Terminal Box For Condenser Vacuum Pump</t>
  </si>
  <si>
    <t>460103-0</t>
  </si>
  <si>
    <t>GRT-YT01-P0MAJ-460104</t>
  </si>
  <si>
    <t>460104</t>
  </si>
  <si>
    <t>Technical Data Sheet for Condenser Vacuum Pump</t>
  </si>
  <si>
    <t>GRT-DS-IP-DT-170322</t>
  </si>
  <si>
    <t>460104-0</t>
  </si>
  <si>
    <t>GRT-YT01-P0MAJ-460105</t>
  </si>
  <si>
    <t>460105</t>
  </si>
  <si>
    <t>Motor Data sheet and Characteristic Curves and Drawing For CVP</t>
  </si>
  <si>
    <t>GRT-DS-IP-DT-170396</t>
  </si>
  <si>
    <t>GRT-YT01-P0MAJ-460106</t>
  </si>
  <si>
    <t>460106</t>
  </si>
  <si>
    <t>Heat Exchanger Drawing and Data Sheet For Condenser Vacuum Pump</t>
  </si>
  <si>
    <t>460106-0</t>
  </si>
  <si>
    <t>GRT-YL00-P0MAJ-460107</t>
  </si>
  <si>
    <t>460107</t>
  </si>
  <si>
    <t>Instrument list For Condenser Vacuum Pump</t>
  </si>
  <si>
    <t>GRT-DS-IP-DT-170395</t>
  </si>
  <si>
    <t>460107-0</t>
  </si>
  <si>
    <t>GRT-CQ02-P0MAJ-460108</t>
  </si>
  <si>
    <t>460108</t>
  </si>
  <si>
    <t>129-5th DRM</t>
  </si>
  <si>
    <t>GRT-XS00-P0MAJ-460109</t>
  </si>
  <si>
    <t>460109</t>
  </si>
  <si>
    <t>Vacuum Pump System Description &amp; Control Philosophy</t>
  </si>
  <si>
    <t>GRT-DS-IP-DT-180102</t>
  </si>
  <si>
    <t>GRT-XB02-P0MAJ-460111</t>
  </si>
  <si>
    <t>460111</t>
  </si>
  <si>
    <t>Foundation Drawing For Condenser Vacuum Pump</t>
  </si>
  <si>
    <t>GRT-DS-IP-DT-170331</t>
  </si>
  <si>
    <t>460111-0</t>
  </si>
  <si>
    <t>GRT-XK00-P0MAJ-460112</t>
  </si>
  <si>
    <t>460112</t>
  </si>
  <si>
    <t>Outline &amp; Sectional Drawing For Condenser Vacuum Pump</t>
  </si>
  <si>
    <t>460112-0</t>
  </si>
  <si>
    <t>GRT-XK00-P0MAJ-460113</t>
  </si>
  <si>
    <t>460113</t>
  </si>
  <si>
    <t>Tank Drawing For Condenser Vacuum Pump</t>
  </si>
  <si>
    <t>GRT-DS-IP-DT-170526</t>
  </si>
  <si>
    <t>110-5th DRM</t>
  </si>
  <si>
    <t>GRT-XK00-P0MAJ-460114</t>
  </si>
  <si>
    <t>460114</t>
  </si>
  <si>
    <t>Baseframe Drawing For Condenser Vacuum Pump</t>
  </si>
  <si>
    <t>GRT-DS-IP-DT-170393</t>
  </si>
  <si>
    <t>460114-0</t>
  </si>
  <si>
    <t>GRT-YT01-P0MAJ-460115</t>
  </si>
  <si>
    <t>460115</t>
  </si>
  <si>
    <t>Recirculation Pump Data Sheet and Characteristic Curves and Drawing For CVP</t>
  </si>
  <si>
    <t>111-5th DRM</t>
  </si>
  <si>
    <t>GRT-XK00-P0MAJ-460116</t>
  </si>
  <si>
    <t>460116</t>
  </si>
  <si>
    <t>Name Plate Drawing For Condenser Vacuum Pump</t>
  </si>
  <si>
    <t>GRT-XK00-P0MAJ-460117</t>
  </si>
  <si>
    <t>460117</t>
  </si>
  <si>
    <t>Coupling Drawing For Condenser Vacuum Pump</t>
  </si>
  <si>
    <t>GRT-DB00-P0MAJ-460118</t>
  </si>
  <si>
    <t>460118</t>
  </si>
  <si>
    <t>Performance Curves For Condenser Vacuum Pump</t>
  </si>
  <si>
    <t>460118-0</t>
  </si>
  <si>
    <t>GRT-XN00-P0MAJ-460119</t>
  </si>
  <si>
    <t>460119</t>
  </si>
  <si>
    <t>Valve and Specialty List For Condenser Vacuum Pump</t>
  </si>
  <si>
    <t>460119-0</t>
  </si>
  <si>
    <t>GRT-PL03-P0MAJ-460120</t>
  </si>
  <si>
    <t>460120</t>
  </si>
  <si>
    <t>Terminal Point List For Condenser Vacuum Pump</t>
  </si>
  <si>
    <t>460120-0</t>
  </si>
  <si>
    <t>GRT-YL10-P0MAJ-460121</t>
  </si>
  <si>
    <t>460121</t>
  </si>
  <si>
    <t>Spare Part List For Condenser Vacuum Pump</t>
  </si>
  <si>
    <t>GRT-DS-IP-DT-170271</t>
  </si>
  <si>
    <t>460121-0</t>
  </si>
  <si>
    <t>GRT-DA06-P0MAJ-460122</t>
  </si>
  <si>
    <t>460122</t>
  </si>
  <si>
    <t>Utility Consumption List For Condenser Vacuum Pump</t>
  </si>
  <si>
    <t>460122-0</t>
  </si>
  <si>
    <t>GRT-DA06-P0MAJ-460123</t>
  </si>
  <si>
    <t>460123</t>
  </si>
  <si>
    <t>Lubricant List For Condenser Vacuum Pump</t>
  </si>
  <si>
    <t>460123-0</t>
  </si>
  <si>
    <t>GRT-YL00-P0MAJ-460127</t>
  </si>
  <si>
    <t>460127</t>
  </si>
  <si>
    <t>Instrument Data sheet For Condenser Vacuum Pump</t>
  </si>
  <si>
    <t>GRT-DS-IP-DT-170304</t>
  </si>
  <si>
    <t>460127-0</t>
  </si>
  <si>
    <t>GRT-YK08-P0MAJ-460200</t>
  </si>
  <si>
    <t>460200</t>
  </si>
  <si>
    <t>General Arrangement Drawing For Water Box Vacuum Pump</t>
  </si>
  <si>
    <t>GRT-DS-IP-DT-170455</t>
  </si>
  <si>
    <t>GRT-XG02-P0MAJ-460201</t>
  </si>
  <si>
    <t>460201</t>
  </si>
  <si>
    <t>P &amp; ID For Water Box Vacuum Pump</t>
  </si>
  <si>
    <t>130-5th DRM</t>
  </si>
  <si>
    <t>GRT-YV02-P0MAJ-460202</t>
  </si>
  <si>
    <t>460202</t>
  </si>
  <si>
    <t>Wiring Diargam For Water Box Vacuum Pump</t>
  </si>
  <si>
    <t>460202-0</t>
  </si>
  <si>
    <t>GRT-YB10-P0MAJ-460203</t>
  </si>
  <si>
    <t>460203</t>
  </si>
  <si>
    <t>Terminal Box For Water Box Vacuum Pump</t>
  </si>
  <si>
    <t>460203-0</t>
  </si>
  <si>
    <t>GRT-YT01-P0MAJ-460205</t>
  </si>
  <si>
    <t>460205</t>
  </si>
  <si>
    <t>Motor Data sheet and Characteristic Curves and Drawing For WBVP</t>
  </si>
  <si>
    <t>GRT-DS-IP-DT-170507</t>
  </si>
  <si>
    <t>72-5th DRM</t>
  </si>
  <si>
    <t>GRT-YT01-P0MAJ-460206</t>
  </si>
  <si>
    <t>460206</t>
  </si>
  <si>
    <t>Heat Exchanger Drawing and Data Sheet For Water Box Vacuum Pump</t>
  </si>
  <si>
    <t>460206-0</t>
  </si>
  <si>
    <t>GRT-YL00-P0MAJ-460207</t>
  </si>
  <si>
    <t>460207</t>
  </si>
  <si>
    <t>Instrument list For Water Box Vacuum Pump</t>
  </si>
  <si>
    <t>460207-0</t>
  </si>
  <si>
    <t>GRT-XB02-P0MAJ-460211</t>
  </si>
  <si>
    <t>460211</t>
  </si>
  <si>
    <t>Foundation Drawing For Water Box Vacuum Pump</t>
  </si>
  <si>
    <t>73-5th DRM</t>
  </si>
  <si>
    <t>GRT-XK00-P0MAJ-460212</t>
  </si>
  <si>
    <t>460212</t>
  </si>
  <si>
    <t>Outline &amp; Sectional Drawing For Water Box Vacuum Pump</t>
  </si>
  <si>
    <t>460212-0</t>
  </si>
  <si>
    <t>GRT-XK00-P0MAJ-460213</t>
  </si>
  <si>
    <t>460213</t>
  </si>
  <si>
    <t>Tank Drawing For Water Box Vacuum Pump</t>
  </si>
  <si>
    <t>112-5th DRM</t>
  </si>
  <si>
    <t>GRT-XK00-P0MAJ-460214</t>
  </si>
  <si>
    <t>460214</t>
  </si>
  <si>
    <t>Baseframe Drawing For Water Box Vacuum Pump</t>
  </si>
  <si>
    <t>74-5th DRM</t>
  </si>
  <si>
    <t>GRT-YT01-P0MAJ-460215</t>
  </si>
  <si>
    <t>460215</t>
  </si>
  <si>
    <t>Recirculation Pump Data Sheet and Characteristic Curves and Drawing For WBVP</t>
  </si>
  <si>
    <t>GRT-XK00-P0MAJ-460216</t>
  </si>
  <si>
    <t>460216</t>
  </si>
  <si>
    <t>Name Plate Drawing For Water Box Vacuum Pump</t>
  </si>
  <si>
    <t>GRT-XK00-P0MAJ-460217</t>
  </si>
  <si>
    <t>460217</t>
  </si>
  <si>
    <t>Coupling Drawing For Water Box Vacuum Pump</t>
  </si>
  <si>
    <t>GRT-DB00-P0MAJ-460218</t>
  </si>
  <si>
    <t>460218</t>
  </si>
  <si>
    <t>Performance Curves For Water Box Vacuum Pump</t>
  </si>
  <si>
    <t>460218-0</t>
  </si>
  <si>
    <t>GRT-XN00-P0MAJ-460219</t>
  </si>
  <si>
    <t>460219</t>
  </si>
  <si>
    <t>Valve and Specialty List For Water Box Vacuum Pump</t>
  </si>
  <si>
    <t>460219-0</t>
  </si>
  <si>
    <t>GRT-PL03-P0MAJ-460220</t>
  </si>
  <si>
    <t>460220</t>
  </si>
  <si>
    <t>Terminal Point List For Water Box Vacuum Pump</t>
  </si>
  <si>
    <t>460220-0</t>
  </si>
  <si>
    <t>GRT-YL10-P0MAJ-460221</t>
  </si>
  <si>
    <t>460221</t>
  </si>
  <si>
    <t>Spare Part List For Water Box Vacuum Pump</t>
  </si>
  <si>
    <t>460221-0</t>
  </si>
  <si>
    <t>GRT-DA06-P0MAJ-460222</t>
  </si>
  <si>
    <t>460222</t>
  </si>
  <si>
    <t>Utility Consumption List For Water Box Vacuum Pump</t>
  </si>
  <si>
    <t>460222-0</t>
  </si>
  <si>
    <t>GRT-DA06-P0MAJ-460223</t>
  </si>
  <si>
    <t>460223</t>
  </si>
  <si>
    <t>Lubricant List For Water Box Vacuum Pump</t>
  </si>
  <si>
    <t>460223-0</t>
  </si>
  <si>
    <t>GRT-YL00-P0MAJ-460227</t>
  </si>
  <si>
    <t>460227</t>
  </si>
  <si>
    <t>Instrument Data sheet For Water Box Vacuum Pump</t>
  </si>
  <si>
    <t>460227-0</t>
  </si>
  <si>
    <t>GRT-DN02-P0LBA-830001</t>
  </si>
  <si>
    <t>830001</t>
  </si>
  <si>
    <t>[Commissioning Procedure] HP &amp; LP Steam System</t>
  </si>
  <si>
    <t>GRT-DN02-P0LBG-830002</t>
  </si>
  <si>
    <t>830002</t>
  </si>
  <si>
    <t xml:space="preserve">[Commissioning Procedure] Auxiliary Steam System </t>
  </si>
  <si>
    <t>GRT-DN02-P0PC-830003</t>
  </si>
  <si>
    <t>830003</t>
  </si>
  <si>
    <t xml:space="preserve">[Commissioning Procedure] Auxiliary Cooling Water System </t>
  </si>
  <si>
    <t>GRT-DN02-P0PG-830004</t>
  </si>
  <si>
    <t>830004</t>
  </si>
  <si>
    <t>[Commissioning Procedure] Closed Cooling Water system</t>
  </si>
  <si>
    <t>GRT-DN02-P0LC-830005</t>
  </si>
  <si>
    <t>830005</t>
  </si>
  <si>
    <t>[Commissioning Procedure] Condensate System</t>
  </si>
  <si>
    <t>GRT-DN02-P0LA-830006</t>
  </si>
  <si>
    <t>830006</t>
  </si>
  <si>
    <t>[Commissioning Procedure] Feedwater System</t>
  </si>
  <si>
    <t>GRT-DN02-P0SCA-830007</t>
  </si>
  <si>
    <t>830007</t>
  </si>
  <si>
    <t>[Commissioning Procedure] Compressed Air System</t>
  </si>
  <si>
    <t>GRT-DN02-P0QC-830008</t>
  </si>
  <si>
    <t>830008</t>
  </si>
  <si>
    <t>[Commissioning Procedure] Chemical Dosing System</t>
  </si>
  <si>
    <t>GRT-DN02-P0QU-830009</t>
  </si>
  <si>
    <t>830009</t>
  </si>
  <si>
    <t>[Commissioning Procedure] Sampling System</t>
  </si>
  <si>
    <t>GRT-DN02-P0LBD-830010</t>
  </si>
  <si>
    <t>830010</t>
  </si>
  <si>
    <t>[Commissioning Procedure] Condesate Filter System</t>
  </si>
  <si>
    <t>GRT-DN02-P0MAJ-830011</t>
  </si>
  <si>
    <t>830011</t>
  </si>
  <si>
    <t>[Commissioning Procedure] Condenser Vacuum System</t>
  </si>
  <si>
    <t>GRT-DN02-P1H-830012</t>
  </si>
  <si>
    <t>830012</t>
  </si>
  <si>
    <t>[Commissioning Procedure] HRSG</t>
  </si>
  <si>
    <t>GRT-DN02-P1LBF-830013</t>
  </si>
  <si>
    <t>830013</t>
  </si>
  <si>
    <t>[Commissioning Procedure] HRSG Safety Valve Popping Test</t>
  </si>
  <si>
    <t>GRT-DN02-P0MAJ-830014</t>
  </si>
  <si>
    <t>830014</t>
  </si>
  <si>
    <t>[Commissioning Procedure] Water box vacuum</t>
  </si>
  <si>
    <t>GRT-DN02-P0PAH-830015</t>
  </si>
  <si>
    <t>830015</t>
  </si>
  <si>
    <t>[Commissioning Procedure] CTCS / Debris filter</t>
  </si>
  <si>
    <t>830016</t>
  </si>
  <si>
    <t>[Commissioning Procedure] CEMS</t>
  </si>
  <si>
    <t>GRT-DN02-P0MAV-830018</t>
  </si>
  <si>
    <t>830018</t>
  </si>
  <si>
    <t>[Commissioning Procedure] STG</t>
  </si>
  <si>
    <t>830019</t>
  </si>
  <si>
    <t>[Commissioning Procedure] Disturbance Test</t>
  </si>
  <si>
    <t>GRT-DN02-P1ZEN-830020</t>
  </si>
  <si>
    <t>830020</t>
  </si>
  <si>
    <t>GRT-DN02-P1ZEN-830021</t>
  </si>
  <si>
    <t>830021</t>
  </si>
  <si>
    <t>[Commissioning Procedure] Load Change Test</t>
  </si>
  <si>
    <t>GRT-DN02-P1ZEN-830022</t>
  </si>
  <si>
    <t>830022</t>
  </si>
  <si>
    <t>[Commissioning Procedure] Capacity Test</t>
  </si>
  <si>
    <t>GRT-DN02-P1ZEN-830026</t>
  </si>
  <si>
    <t>830026</t>
  </si>
  <si>
    <t>[Commissioning Procedure] Reliability Test</t>
  </si>
  <si>
    <t>GRT-DN02-P1ZEN-830027</t>
  </si>
  <si>
    <t>830027</t>
  </si>
  <si>
    <t>[Commissioning Procedure] Performance Test</t>
  </si>
  <si>
    <t>GRT-DN02-P1ZEN-830028</t>
  </si>
  <si>
    <t>830028</t>
  </si>
  <si>
    <t>[Commissioning Procedure] Noise Test</t>
  </si>
  <si>
    <t>GRT-DS-IP-DT-180194</t>
  </si>
  <si>
    <t>2018-08-14</t>
  </si>
  <si>
    <t>1000001-1</t>
  </si>
  <si>
    <t>GRT-DS-IP-DT-180230</t>
  </si>
  <si>
    <t>2018-10-02</t>
  </si>
  <si>
    <t>100002-1</t>
  </si>
  <si>
    <t>GRT-DS-IP-DT-180181</t>
  </si>
  <si>
    <t>2018-07-27</t>
  </si>
  <si>
    <t>100003-0</t>
  </si>
  <si>
    <t>100004-0</t>
  </si>
  <si>
    <t>100005-0</t>
  </si>
  <si>
    <t>100006-0</t>
  </si>
  <si>
    <t>100007-0</t>
  </si>
  <si>
    <t>100008-0</t>
  </si>
  <si>
    <t>100009-0</t>
  </si>
  <si>
    <t>GRT-DS-IP-DT-180215</t>
  </si>
  <si>
    <t>2018-09-20</t>
  </si>
  <si>
    <t>110004-2</t>
  </si>
  <si>
    <t>110005-2</t>
  </si>
  <si>
    <t>GRT-DS-IP-DT-180161</t>
  </si>
  <si>
    <t>2018-08-02</t>
  </si>
  <si>
    <t>110107-0</t>
  </si>
  <si>
    <t>GRT-DS-IP-DT-180150</t>
  </si>
  <si>
    <t>2018-07-12</t>
  </si>
  <si>
    <t>111011-1</t>
  </si>
  <si>
    <t>GRT-DS-IP-DT-180210</t>
  </si>
  <si>
    <t>2018-08-30</t>
  </si>
  <si>
    <t>111101-1</t>
  </si>
  <si>
    <t>GRT-DS-IP-DT-180173</t>
  </si>
  <si>
    <t>2018-07-19</t>
  </si>
  <si>
    <t>111103-1</t>
  </si>
  <si>
    <t>111106-1</t>
  </si>
  <si>
    <t>111111-1</t>
  </si>
  <si>
    <t>111210-1</t>
  </si>
  <si>
    <t>GRT-DS-IP-DT-180152</t>
  </si>
  <si>
    <t>2018-06-29</t>
  </si>
  <si>
    <t>113017-1</t>
  </si>
  <si>
    <t>GRT-DS-IP-DT-180211</t>
  </si>
  <si>
    <t>113117-2</t>
  </si>
  <si>
    <t>113205-1</t>
  </si>
  <si>
    <t>GRT-DS-IP-DT-180231</t>
  </si>
  <si>
    <t>121013-2</t>
  </si>
  <si>
    <t>GRT-DS-IP-DT-180174</t>
  </si>
  <si>
    <t>122008-1</t>
  </si>
  <si>
    <t>GRT-DS-IP-DT-180202</t>
  </si>
  <si>
    <t>122022-1</t>
  </si>
  <si>
    <t>GRT-DS-IP-DT-180187</t>
  </si>
  <si>
    <t>122508-1</t>
  </si>
  <si>
    <t>122522-1</t>
  </si>
  <si>
    <t>GRT-DS-IP-DT-180144</t>
  </si>
  <si>
    <t>2018-06-08</t>
  </si>
  <si>
    <t>123003-1</t>
  </si>
  <si>
    <t>GRT-DS-IP-DT-180118</t>
  </si>
  <si>
    <t>2018-05-04</t>
  </si>
  <si>
    <t>130023-2</t>
  </si>
  <si>
    <t>2018-04-25</t>
  </si>
  <si>
    <t>130032-1</t>
  </si>
  <si>
    <t>130034-1</t>
  </si>
  <si>
    <t>GRT-DS-IP-DT-180110</t>
  </si>
  <si>
    <t>2018-04-27</t>
  </si>
  <si>
    <t>130040-2</t>
  </si>
  <si>
    <t>GRT-FF03-P0SGA-133001</t>
  </si>
  <si>
    <t>133001</t>
  </si>
  <si>
    <t>[Fire Fighting System] Water Spray System P&amp;ID for STG Enclosure Inside</t>
  </si>
  <si>
    <t>GRT-DS-IP-DT-180197</t>
  </si>
  <si>
    <t>2018-08-10</t>
  </si>
  <si>
    <t>133001-0</t>
  </si>
  <si>
    <t>GRT-FF01-P0SGA-133002</t>
  </si>
  <si>
    <t>133002</t>
  </si>
  <si>
    <t>[Fire Fighting System] Water Spray System Plan for STG Enclosure Inside</t>
  </si>
  <si>
    <t>133002-0</t>
  </si>
  <si>
    <t>GRT-XG11-P0SGA-133003</t>
  </si>
  <si>
    <t>133003</t>
  </si>
  <si>
    <t>[Fire Fighting System] Single Line Diagram for STG Enclosure Inside</t>
  </si>
  <si>
    <t>133003-0</t>
  </si>
  <si>
    <t>GRT-FF02-P0SGA-133004</t>
  </si>
  <si>
    <t>133004</t>
  </si>
  <si>
    <t>[Fire Fighting System] Detection and Alarm System Equipment Location Plan for STG Enclosure Inside</t>
  </si>
  <si>
    <t>GRT-DS-IP-DT-180204</t>
  </si>
  <si>
    <t>133004-0</t>
  </si>
  <si>
    <t>GRT-FF05-P0SGA-133005</t>
  </si>
  <si>
    <t>133005</t>
  </si>
  <si>
    <t>[Fire Fighting System] Water Spray System Hydraulic Calculation</t>
  </si>
  <si>
    <t>133005-0</t>
  </si>
  <si>
    <t>GRT-DS-IP-DT-180190</t>
  </si>
  <si>
    <t>2018-05-16</t>
  </si>
  <si>
    <t>143012-2</t>
  </si>
  <si>
    <t>GRT-DS-IP-DT-180214</t>
  </si>
  <si>
    <t>144010-2</t>
  </si>
  <si>
    <t>GRT-DS-IP-DT-180125</t>
  </si>
  <si>
    <t>144512-1</t>
  </si>
  <si>
    <t>GRT-DS-IP-DT-180126</t>
  </si>
  <si>
    <t>144513-1</t>
  </si>
  <si>
    <t>GRT-DS-IP-DT-180127</t>
  </si>
  <si>
    <t>144514-1</t>
  </si>
  <si>
    <t>GRT-DS-IP-DT-180128</t>
  </si>
  <si>
    <t>144515-1</t>
  </si>
  <si>
    <t>144904-2</t>
  </si>
  <si>
    <t>144905-2</t>
  </si>
  <si>
    <t>2018-09-06</t>
  </si>
  <si>
    <t>GRT-DS-IP-DT-180198</t>
  </si>
  <si>
    <t>161123-1</t>
  </si>
  <si>
    <t>GRT-DS-IP-DT-180175</t>
  </si>
  <si>
    <t>161202-1</t>
  </si>
  <si>
    <t>GRT-DS-IP-DT-180212</t>
  </si>
  <si>
    <t>161203-1</t>
  </si>
  <si>
    <t>161204-1</t>
  </si>
  <si>
    <t>161205-1</t>
  </si>
  <si>
    <t>GRT-DS-IP-DT-180226</t>
  </si>
  <si>
    <t>2018-09-26</t>
  </si>
  <si>
    <t>161206-2</t>
  </si>
  <si>
    <t>161212-1</t>
  </si>
  <si>
    <t>GRT-DS-IP-DT-180203</t>
  </si>
  <si>
    <t>161213-1</t>
  </si>
  <si>
    <t>161303-1</t>
  </si>
  <si>
    <t>161304-1</t>
  </si>
  <si>
    <t>161305-1</t>
  </si>
  <si>
    <t>161306-1</t>
  </si>
  <si>
    <t>161307-1</t>
  </si>
  <si>
    <t>161308-1</t>
  </si>
  <si>
    <t>161312-1</t>
  </si>
  <si>
    <t>161313-1</t>
  </si>
  <si>
    <t>GRT-DS-IP-DT-180189</t>
  </si>
  <si>
    <t>161401-1</t>
  </si>
  <si>
    <t>163702-1</t>
  </si>
  <si>
    <t>GRT-DS-IP-DT-180184</t>
  </si>
  <si>
    <t>164311-1</t>
  </si>
  <si>
    <t>GRT-DS-IP-DT-180178</t>
  </si>
  <si>
    <t>200022-1</t>
  </si>
  <si>
    <t>200030-1</t>
  </si>
  <si>
    <t>GRT-DS-IP-DT-180242</t>
  </si>
  <si>
    <t>2018-11-16</t>
  </si>
  <si>
    <t>200035-2</t>
  </si>
  <si>
    <t>GRT-DS-IP-DT-180112</t>
  </si>
  <si>
    <t>200051-2</t>
  </si>
  <si>
    <t>GRT-DS-IP-DT-180201</t>
  </si>
  <si>
    <t>200052-4</t>
  </si>
  <si>
    <t>GRT-DS-IP-DT-180108</t>
  </si>
  <si>
    <t>200053-0</t>
  </si>
  <si>
    <t>200056-0</t>
  </si>
  <si>
    <t>200057-0</t>
  </si>
  <si>
    <t>200058-0</t>
  </si>
  <si>
    <t>200059-4</t>
  </si>
  <si>
    <t>GRT-YK10-P0MA-200061</t>
  </si>
  <si>
    <t>200061</t>
  </si>
  <si>
    <t>[STG]_Assembly manual for auxiliary equipment</t>
  </si>
  <si>
    <t>GRT-DS-IP-DT-180167</t>
  </si>
  <si>
    <t>200061-0</t>
  </si>
  <si>
    <t>GRT-YK09-P0MA-200062</t>
  </si>
  <si>
    <t>200062</t>
  </si>
  <si>
    <t>[STG]_Commissioning manual for auxiliary equipment</t>
  </si>
  <si>
    <t>GRT-DS-IP-DT-180208</t>
  </si>
  <si>
    <t>200062-1</t>
  </si>
  <si>
    <t>GRT-YK09-P0MA-200063</t>
  </si>
  <si>
    <t>200063</t>
  </si>
  <si>
    <t>[STG]_ Elec. Heater panel</t>
  </si>
  <si>
    <t>GRT-DS-IP-DT-180200</t>
  </si>
  <si>
    <t>2018-08-24</t>
  </si>
  <si>
    <t>300001-0</t>
  </si>
  <si>
    <t>GRT-DS-IP-DT-180137</t>
  </si>
  <si>
    <t>2018-05-25</t>
  </si>
  <si>
    <t>300024-1</t>
  </si>
  <si>
    <t>GRT-DS-IP-DT-180216</t>
  </si>
  <si>
    <t>300028-1</t>
  </si>
  <si>
    <t>GRT-DS-IP-DT-180160</t>
  </si>
  <si>
    <t>30029-1</t>
  </si>
  <si>
    <t>300049-0</t>
  </si>
  <si>
    <t>300050-1</t>
  </si>
  <si>
    <t>GRT-DS-IP-DT-180113</t>
  </si>
  <si>
    <t>GRT-DS-IP-DT-180117</t>
  </si>
  <si>
    <t>300059-1</t>
  </si>
  <si>
    <t>GRT-DS-IP-DT-180124</t>
  </si>
  <si>
    <t>300060-1</t>
  </si>
  <si>
    <t>300061-1</t>
  </si>
  <si>
    <t>GRT-DS-IP-DT-180239</t>
  </si>
  <si>
    <t>2018-10-26</t>
  </si>
  <si>
    <t>300062-2</t>
  </si>
  <si>
    <t>300066-1</t>
  </si>
  <si>
    <t>GRT-YD00-P1H-300070</t>
  </si>
  <si>
    <t>300070</t>
  </si>
  <si>
    <t>[HRSG]_ERECTION ISOMETRIC DRAWING FOR SMALL BORE PIPING</t>
  </si>
  <si>
    <t>GRT-DS-IP-DT-180129</t>
  </si>
  <si>
    <t>400070-2</t>
  </si>
  <si>
    <t>GRT-DS-IP-DT-180164</t>
  </si>
  <si>
    <t>420003-2</t>
  </si>
  <si>
    <t>GRT-DS-IP-DT-180219</t>
  </si>
  <si>
    <t>44009-1</t>
  </si>
  <si>
    <t>44104-1</t>
  </si>
  <si>
    <t>460109-2</t>
  </si>
  <si>
    <t>GRT-DN02-P0ZEN-830000</t>
  </si>
  <si>
    <t>830000</t>
  </si>
  <si>
    <t>General Commissioning Procedure</t>
  </si>
  <si>
    <t>[HRSG]_NDE Procedure for HRSG Heat Exchanger</t>
  </si>
  <si>
    <t>GRT-DS-IP-DT-190001</t>
  </si>
  <si>
    <t>2019-01-08</t>
  </si>
  <si>
    <t>110003-1</t>
  </si>
  <si>
    <t>GRT-DS-IP-DT-190004</t>
  </si>
  <si>
    <t>2019-01-15</t>
  </si>
  <si>
    <t>200006-1</t>
  </si>
  <si>
    <t>200008-1</t>
  </si>
  <si>
    <t>200040-1</t>
  </si>
  <si>
    <t>GRT-DS-IP-DT-190008</t>
  </si>
  <si>
    <t>2019-01-16</t>
  </si>
  <si>
    <t>200047-1</t>
  </si>
  <si>
    <t>GRT-DS-IP-DT-190002</t>
  </si>
  <si>
    <t>300020-2</t>
  </si>
  <si>
    <t>GRT-DS-IP-DT-190005</t>
  </si>
  <si>
    <t>300042-2</t>
  </si>
  <si>
    <t>GRT-DS-IP-DT-190021</t>
  </si>
  <si>
    <t>2019-02-11</t>
  </si>
  <si>
    <t>161122-2</t>
  </si>
  <si>
    <t>GRT-DS-IP-DT-190017</t>
  </si>
  <si>
    <t>2019-02-04</t>
  </si>
  <si>
    <t>161134-2</t>
  </si>
  <si>
    <t>GRT-DS-IP-DT-180269</t>
  </si>
  <si>
    <t>2019-01-21</t>
  </si>
  <si>
    <t>162301-2</t>
  </si>
  <si>
    <t>GRT-DS-IP-DT-190022</t>
  </si>
  <si>
    <t>200043-2</t>
  </si>
  <si>
    <t>GRT-DS-IP-DT-190009</t>
  </si>
  <si>
    <t>200063-0</t>
  </si>
  <si>
    <t>GRT-DS-IP-DT-180276</t>
  </si>
  <si>
    <t>300044-2</t>
  </si>
  <si>
    <t>GRT-YV02-P0QC-130017</t>
  </si>
  <si>
    <t>2019-02-13</t>
  </si>
  <si>
    <t>[Commissioning Procedure] Start-up Test</t>
  </si>
  <si>
    <t>100003</t>
  </si>
  <si>
    <t>161006</t>
  </si>
  <si>
    <t>GRT-DS-IP-DT-190037</t>
  </si>
  <si>
    <t>2019-03-05</t>
  </si>
  <si>
    <t>200034-2</t>
  </si>
  <si>
    <t>GRT-DS-IP-DT-190064</t>
  </si>
  <si>
    <t>2019-04-11</t>
  </si>
  <si>
    <t>300007-3</t>
  </si>
  <si>
    <t>GRT-DS-IP-DT-190061</t>
  </si>
  <si>
    <t>2019-04-05</t>
  </si>
  <si>
    <t>3000037-1</t>
  </si>
  <si>
    <t>GRT-DS-IP-DT-190012</t>
  </si>
  <si>
    <t>2019-01-28</t>
  </si>
  <si>
    <t>300070-2</t>
  </si>
  <si>
    <t>GRT-DS-IP-DT-190013</t>
  </si>
  <si>
    <t>2019-01-24</t>
  </si>
  <si>
    <t>440059-1</t>
  </si>
  <si>
    <t>GRT-DS-IP-DT-190055</t>
  </si>
  <si>
    <t>2019-04-01</t>
  </si>
  <si>
    <t>130017-2</t>
  </si>
  <si>
    <t>GRT-YK09-P0MA-200026</t>
  </si>
  <si>
    <t>GRT-DS-IP-DT-190048</t>
  </si>
  <si>
    <t>2019-03-29</t>
  </si>
  <si>
    <t>200026-3</t>
  </si>
  <si>
    <t>GRT-UE00-P1H-300008</t>
  </si>
  <si>
    <t>GRT-DS-IP-DT-190065</t>
  </si>
  <si>
    <t>2019-04-29</t>
  </si>
  <si>
    <t>300040-1</t>
  </si>
  <si>
    <t>GRT-DS-IP-DT-190024</t>
  </si>
  <si>
    <t>130020-3</t>
  </si>
  <si>
    <t>GRT-DS-IP-DT-190076</t>
  </si>
  <si>
    <t>2019-05-21</t>
  </si>
  <si>
    <t>300033-1</t>
  </si>
  <si>
    <t>GRT-DN02-P1H-830017</t>
  </si>
  <si>
    <t>830017</t>
  </si>
  <si>
    <t>[Commissioning Procedure]_Bypass Damper</t>
  </si>
  <si>
    <t>DHI</t>
    <phoneticPr fontId="24" type="noConversion"/>
  </si>
  <si>
    <t>GRT-DS-IP-DT-190050</t>
  </si>
  <si>
    <t>200027-3</t>
  </si>
  <si>
    <t>GRT-DS-IP-DT-190103</t>
  </si>
  <si>
    <t>2019-08-08</t>
  </si>
  <si>
    <t>300008-3</t>
  </si>
  <si>
    <t>GRT-DS-IP-DT-190104</t>
  </si>
  <si>
    <t>300052-2</t>
  </si>
  <si>
    <t>I</t>
  </si>
  <si>
    <t>GRT-DS-IP-DT-190131</t>
  </si>
  <si>
    <t>2019-09-10</t>
  </si>
  <si>
    <t>161211-1</t>
  </si>
  <si>
    <t>161311-1</t>
  </si>
  <si>
    <t>GRT-DS-IP-DT-190108</t>
  </si>
  <si>
    <t>2019-08-22</t>
  </si>
  <si>
    <t>830017-1</t>
  </si>
  <si>
    <t>GRT-DS-IP-DT-180263</t>
  </si>
  <si>
    <t>GRT-DS-IP-DT-190144</t>
  </si>
  <si>
    <t>2019-10-03</t>
  </si>
  <si>
    <t>161101-3</t>
  </si>
  <si>
    <t>161207-4</t>
  </si>
  <si>
    <t>161208-4</t>
  </si>
  <si>
    <t>GRT-DS-IP-DT-190139</t>
  </si>
  <si>
    <t>2019-09-24</t>
  </si>
  <si>
    <t>300006-2</t>
  </si>
  <si>
    <t>GRT-DS-IP-DT-190141</t>
  </si>
  <si>
    <t>2019-09-25</t>
  </si>
  <si>
    <t>830000-1</t>
  </si>
  <si>
    <t>820001</t>
  </si>
  <si>
    <t>[Commissioning Program]_Steam Blowing-Out Emergency Response Plan</t>
  </si>
  <si>
    <t>2019-11-20</t>
  </si>
  <si>
    <t>GRT-DS-IP-DT-190151</t>
  </si>
  <si>
    <t>2019-10-25</t>
  </si>
  <si>
    <t>161102-2</t>
  </si>
  <si>
    <t>GRT-DS-IP-DT-190149</t>
  </si>
  <si>
    <t>2019-10-24</t>
  </si>
  <si>
    <t>200005-3</t>
  </si>
  <si>
    <t>GRT-DS-IP-DT-190150</t>
  </si>
  <si>
    <t>2019-10-23</t>
  </si>
  <si>
    <t>200028-1</t>
  </si>
  <si>
    <t>200029-2</t>
  </si>
  <si>
    <t>GRT-DS-IP-DT-190174</t>
  </si>
  <si>
    <t>GRT-DS-IP-DT-190173</t>
  </si>
  <si>
    <t>2019-12-03</t>
  </si>
  <si>
    <t>830001-2</t>
  </si>
  <si>
    <t>GRT-DS-IP-DT-190155</t>
  </si>
  <si>
    <t>830002-2</t>
  </si>
  <si>
    <t>GRT-DS-IP-DT-190154</t>
  </si>
  <si>
    <t>830003-2</t>
  </si>
  <si>
    <t>GRT-DS-IP-DT-190156</t>
  </si>
  <si>
    <t>840004-2</t>
  </si>
  <si>
    <t>GRT-DS-IP-DT-190172</t>
  </si>
  <si>
    <t>830005-2</t>
  </si>
  <si>
    <t>GRT-DS-IP-DT-190168</t>
  </si>
  <si>
    <t>2019-11-25</t>
  </si>
  <si>
    <t>830006-2</t>
  </si>
  <si>
    <t>GRT-DS-IP-DT-190157</t>
  </si>
  <si>
    <t>2019-11-21</t>
  </si>
  <si>
    <t>830007-2</t>
  </si>
  <si>
    <t>GRT-DS-IP-DT-190164</t>
  </si>
  <si>
    <t>830008-2</t>
  </si>
  <si>
    <t>GRT-DS-IP-DT-190165</t>
  </si>
  <si>
    <t>830009-2</t>
  </si>
  <si>
    <t>GRT-DS-IP-DT-190159</t>
  </si>
  <si>
    <t>830010-2</t>
  </si>
  <si>
    <t>GRT-DS-IP-DT-190160</t>
  </si>
  <si>
    <t>2019-11-22</t>
  </si>
  <si>
    <t>830011-2</t>
  </si>
  <si>
    <t>GRT-DS-IP-DT-190175</t>
  </si>
  <si>
    <t>830012-2</t>
  </si>
  <si>
    <t>GRT-DS-IP-DT-190167</t>
  </si>
  <si>
    <t>830014-2</t>
  </si>
  <si>
    <t>GRT-DS-IP-DT-190166</t>
  </si>
  <si>
    <t>830015-2</t>
  </si>
  <si>
    <t>2019-11-28</t>
  </si>
  <si>
    <t>830018-2</t>
  </si>
  <si>
    <t>GRT-DS-IP-DT-190163</t>
  </si>
  <si>
    <t>830022-2</t>
  </si>
  <si>
    <t>GRT-DS-IP-DT-190179</t>
  </si>
  <si>
    <t>2019-12-10</t>
  </si>
  <si>
    <t>830027-3</t>
  </si>
  <si>
    <t>GRT-DS-IP-DT-190178</t>
  </si>
  <si>
    <t>830028-3</t>
  </si>
  <si>
    <t>GRT-DS-IP-DT-190182</t>
  </si>
  <si>
    <t>2019-12-19</t>
  </si>
  <si>
    <t>200025-1</t>
  </si>
  <si>
    <t>200049-1</t>
  </si>
  <si>
    <t>Operation and Maintenance Manuals for Condenser &amp; Water box vacuum pump</t>
  </si>
  <si>
    <t>GRT-DS-IP-DT-200001</t>
  </si>
  <si>
    <t>2020-01-04</t>
  </si>
  <si>
    <t>830013-4</t>
  </si>
  <si>
    <t>2019-12-20</t>
  </si>
  <si>
    <t>GRT-DS-IP-DT-190183</t>
  </si>
  <si>
    <t>830026-2</t>
  </si>
  <si>
    <t>2019-03-03</t>
  </si>
  <si>
    <t>200014-3</t>
  </si>
  <si>
    <t>2018-11-14</t>
  </si>
  <si>
    <t>300048-2</t>
  </si>
  <si>
    <t>GRT-DS-IP-DT-200012</t>
  </si>
  <si>
    <t>GRT-DS-IP-DT-200014</t>
  </si>
  <si>
    <t>GRT-DS-IP-DT-200015</t>
  </si>
  <si>
    <t>GRT-DS-IP-DT-200011</t>
  </si>
  <si>
    <t>GRT-DS-IP-DT-200010</t>
  </si>
  <si>
    <t>GRT-DS-IP-DT-200013</t>
  </si>
  <si>
    <t>GRT-DS-IP-DT-200024</t>
  </si>
  <si>
    <t>GRT-DS-IP-DT-200003</t>
  </si>
  <si>
    <t>GRT-DS-IP-DT-200006</t>
  </si>
  <si>
    <t>GRT-DS-IP-DT-200025</t>
  </si>
  <si>
    <t>GRT-DS-IP-DT-200009</t>
  </si>
  <si>
    <t>GRT-DS-IP-DT-200023</t>
  </si>
  <si>
    <t>4</t>
  </si>
  <si>
    <t>GRT-DS-IP-DT-200016</t>
  </si>
  <si>
    <t>GRT-DS-IP-DT-200008</t>
  </si>
  <si>
    <t>GRT-DS-IP-DT-200021</t>
  </si>
  <si>
    <t>GRT-DS-IP-DT-200017</t>
  </si>
  <si>
    <t>GRT-DS-IP-DT-200007</t>
  </si>
  <si>
    <t>GRT-DS-IP-DT-200018</t>
  </si>
  <si>
    <t>GRT-DS-IP-DT-200005</t>
  </si>
  <si>
    <t>GRT-DS-IP-DT-200020</t>
  </si>
  <si>
    <t>2020-02-07</t>
  </si>
  <si>
    <t>110103-2</t>
  </si>
  <si>
    <t>2020-01-18</t>
  </si>
  <si>
    <t>1111102-2</t>
  </si>
  <si>
    <t>2020-01-31</t>
  </si>
  <si>
    <t>120001-3</t>
  </si>
  <si>
    <t>120002-3</t>
  </si>
  <si>
    <t>120003-3</t>
  </si>
  <si>
    <t>120007-3</t>
  </si>
  <si>
    <t>04.032/E04/PLNE/VIII/2017</t>
  </si>
  <si>
    <t>120014-3</t>
  </si>
  <si>
    <t>120022-3</t>
  </si>
  <si>
    <t>2020-01-15</t>
  </si>
  <si>
    <t>130055-3</t>
  </si>
  <si>
    <t>140008-7</t>
  </si>
  <si>
    <t>140011-5</t>
  </si>
  <si>
    <t>143001-5</t>
  </si>
  <si>
    <t>143002-5</t>
  </si>
  <si>
    <t>143003-5</t>
  </si>
  <si>
    <t>143005-5</t>
  </si>
  <si>
    <t>143006-5</t>
  </si>
  <si>
    <t>143007-5</t>
  </si>
  <si>
    <t>143008-3</t>
  </si>
  <si>
    <t>143009-3</t>
  </si>
  <si>
    <t>143013-3</t>
  </si>
  <si>
    <t>143014-3</t>
  </si>
  <si>
    <t>143015-3</t>
  </si>
  <si>
    <t>143017-3</t>
  </si>
  <si>
    <t>144001-7</t>
  </si>
  <si>
    <t>144002-7</t>
  </si>
  <si>
    <t>144003-7</t>
  </si>
  <si>
    <t>144005-7</t>
  </si>
  <si>
    <t>144006-7</t>
  </si>
  <si>
    <t>144007-7</t>
  </si>
  <si>
    <t>144008-7</t>
  </si>
  <si>
    <t>144011-7</t>
  </si>
  <si>
    <t>144012-7</t>
  </si>
  <si>
    <t>144501-5</t>
  </si>
  <si>
    <t>144511-3</t>
  </si>
  <si>
    <t>161001-1</t>
  </si>
  <si>
    <t>161002-1</t>
  </si>
  <si>
    <t>161006-3</t>
  </si>
  <si>
    <t>2020-01-21</t>
  </si>
  <si>
    <t>163700-3</t>
  </si>
  <si>
    <t>163701-3</t>
  </si>
  <si>
    <t>164301-2</t>
  </si>
  <si>
    <t>164302-2</t>
  </si>
  <si>
    <t>164303-2</t>
  </si>
  <si>
    <t>164304-2</t>
  </si>
  <si>
    <t>164305-2</t>
  </si>
  <si>
    <t>164306-2</t>
  </si>
  <si>
    <t>164307-2</t>
  </si>
  <si>
    <t>164308-2</t>
  </si>
  <si>
    <t>164309-2</t>
  </si>
  <si>
    <t>164310-2</t>
  </si>
  <si>
    <t>164312-2</t>
  </si>
  <si>
    <t>460200-2</t>
  </si>
  <si>
    <t>2017-11-23</t>
  </si>
  <si>
    <t>1DCR2</t>
  </si>
  <si>
    <t>2020-01-22</t>
  </si>
  <si>
    <t>110008-3</t>
  </si>
  <si>
    <t>110009-3</t>
  </si>
  <si>
    <t>20.015/E04/PLNE/IX/2017</t>
  </si>
  <si>
    <t>113001-3</t>
  </si>
  <si>
    <t>113002-3</t>
  </si>
  <si>
    <t>13.010/E04/PLNE/IX/2017</t>
  </si>
  <si>
    <t>140001-7</t>
  </si>
  <si>
    <t>140002-7</t>
  </si>
  <si>
    <t>140003-7</t>
  </si>
  <si>
    <t>140004-7</t>
  </si>
  <si>
    <t>140005-7</t>
  </si>
  <si>
    <t>140006-7</t>
  </si>
  <si>
    <t>140007-7</t>
  </si>
  <si>
    <t>161121-3</t>
  </si>
  <si>
    <t>161131-3</t>
  </si>
  <si>
    <t>161133-3</t>
  </si>
  <si>
    <t>440003-3</t>
  </si>
  <si>
    <t>440005-3</t>
  </si>
  <si>
    <t>440055-3</t>
  </si>
  <si>
    <t>17.007/E04/PLNE/X/2017</t>
  </si>
  <si>
    <t>20.011/E04/PLNE/X/2017</t>
  </si>
  <si>
    <t>23.001/E04/PLNE/X/2017</t>
  </si>
  <si>
    <t>GRT-DN02-P1ZEN-830023</t>
  </si>
  <si>
    <t>830023</t>
  </si>
  <si>
    <t>[Commissioning Procedure]_Fast cut back</t>
  </si>
  <si>
    <t>GRT-DS-IP-DT-200035</t>
  </si>
  <si>
    <t>2020-03-19</t>
  </si>
  <si>
    <t>143016-2</t>
  </si>
  <si>
    <t>410012-2</t>
  </si>
  <si>
    <t>GRT-DN02-P1ZEN-830024</t>
  </si>
  <si>
    <t>GRT-DN02-P1ZEN-830025</t>
  </si>
  <si>
    <t>[Commissioning Procedure]_Load Rejection</t>
  </si>
  <si>
    <t>[Commissioning Procedure]_Island operation</t>
  </si>
  <si>
    <t>GRT-DS-IP-DT-200044</t>
  </si>
  <si>
    <t>GRT-DS-IP-DT-200043</t>
  </si>
  <si>
    <t>2020-05-06</t>
  </si>
  <si>
    <t>830024-1</t>
  </si>
  <si>
    <t>830025-1</t>
  </si>
  <si>
    <t>GRT-DN02-P0ZEN-820001</t>
    <phoneticPr fontId="24" type="noConversion"/>
  </si>
  <si>
    <t>PP</t>
  </si>
  <si>
    <t>GRT-DA06-P0ZEN-115001</t>
  </si>
  <si>
    <t>115001</t>
  </si>
  <si>
    <t>[Process General]       Line List</t>
  </si>
  <si>
    <t>GRT-PP-IP-DT-170208</t>
  </si>
  <si>
    <t>N.A</t>
  </si>
  <si>
    <t>GRT-DA06-P0ZEN-115002</t>
  </si>
  <si>
    <t>115002</t>
  </si>
  <si>
    <t>[Process General]       Equipment list</t>
  </si>
  <si>
    <t>GRT-DA06-P0ZEN-115003</t>
  </si>
  <si>
    <t>115003</t>
  </si>
  <si>
    <t>[Process General]       Tie-In List</t>
  </si>
  <si>
    <t>GRT-PP-IP-DT-170064</t>
  </si>
  <si>
    <t>0002.001/C.1.2.17.01/E04/PLNE/V/2017</t>
  </si>
  <si>
    <t>GRT-XG02-P0ZEN-115004</t>
  </si>
  <si>
    <t>115004</t>
  </si>
  <si>
    <t>[Process General]       Piping and Instrument Diagram (PID) Legends</t>
  </si>
  <si>
    <t>GRT-PP-IP-DT-170012</t>
  </si>
  <si>
    <t>0003.001/ADDONGRT150MW/E04/PLNE/II/2017</t>
  </si>
  <si>
    <t>GRT-XG08-P0ZEN-115005</t>
  </si>
  <si>
    <t>115005</t>
  </si>
  <si>
    <t>[Process General]      Utility Flow Diagram for Sea Water Intake &amp; Circulating Sea Water Cooling System</t>
  </si>
  <si>
    <t>GRT-PP-IP-DT-170242</t>
  </si>
  <si>
    <t>GRT-XG08-P0ZEN-115006</t>
  </si>
  <si>
    <t>115006</t>
  </si>
  <si>
    <t>[Process General]      Utility Flow Diagram for Raw Water System</t>
  </si>
  <si>
    <t>GRT-XG08-P0ZEN-115007</t>
  </si>
  <si>
    <t>115007</t>
  </si>
  <si>
    <t>[Process General]      Water Balance Calculation</t>
  </si>
  <si>
    <t>GRT-XS03-P0ZEN-115008</t>
  </si>
  <si>
    <t>115008</t>
  </si>
  <si>
    <t>[Process General]       Process Description for BOP</t>
  </si>
  <si>
    <t>GRT-XS03-P0ZEN-115009</t>
  </si>
  <si>
    <t>115009</t>
  </si>
  <si>
    <t>[Process General]       Process Control Philosophy for BOP</t>
  </si>
  <si>
    <t>GRT-XW01-P0ZEN-115010</t>
  </si>
  <si>
    <t>115010</t>
  </si>
  <si>
    <t>[Process General]       Process Design Basis</t>
  </si>
  <si>
    <t>GRT-XW01-P0ZEN-115011</t>
  </si>
  <si>
    <t>115011</t>
  </si>
  <si>
    <t>[Process General]       BEDD</t>
  </si>
  <si>
    <t>GRT-PP-IP-DT-170239</t>
  </si>
  <si>
    <t>GRT-XW01-P0ZEN-115012</t>
  </si>
  <si>
    <t>115012</t>
  </si>
  <si>
    <t>[Process General]       Overpressure study</t>
  </si>
  <si>
    <t>GRT-XW01-P0ZEN-115013</t>
  </si>
  <si>
    <t>115013</t>
  </si>
  <si>
    <t>[Process General]       Process Simulation Report</t>
  </si>
  <si>
    <t>GRT-XW03-P0ZEN-115014</t>
  </si>
  <si>
    <t>115014</t>
  </si>
  <si>
    <t>[Process General]       Process Calculation for IA &amp; PA consumption</t>
  </si>
  <si>
    <t>GRT-PP-IP-DT-170339</t>
  </si>
  <si>
    <t>GRT-XW03-P0ZEN-115015</t>
  </si>
  <si>
    <t>115015</t>
  </si>
  <si>
    <t>[Process General]       Line Sizing Calculation</t>
  </si>
  <si>
    <t>GRT-XW03-P0ZEN-115016</t>
  </si>
  <si>
    <t>115016</t>
  </si>
  <si>
    <t>[Process General]       Hydraulic Calculation</t>
  </si>
  <si>
    <t>GRT-DP00-P0ZEN-125019</t>
  </si>
  <si>
    <t>125019</t>
  </si>
  <si>
    <t>[Mechanical General]    Specification for Storage Tank</t>
  </si>
  <si>
    <t>GRT-PP-IP-DT-170075</t>
  </si>
  <si>
    <t>GRT-DP00-P0ZEN-125020</t>
  </si>
  <si>
    <t>125020</t>
  </si>
  <si>
    <t>[Mechanical General]    Specification for Centrifugal Pump</t>
  </si>
  <si>
    <t>GRT-PP-IP-DT-170209</t>
  </si>
  <si>
    <t>GRT-DP00-P0ZEN-125021</t>
  </si>
  <si>
    <t>125021</t>
  </si>
  <si>
    <t>[Mechanical General]    Specification &amp; Design Criteria for HVAC</t>
  </si>
  <si>
    <t>GRT-PP-IP-DT-170172</t>
  </si>
  <si>
    <t>GRT-YL19-P0ZEN-125022</t>
  </si>
  <si>
    <t>125022</t>
  </si>
  <si>
    <t>[Mechanical General]    Power Consumption List</t>
  </si>
  <si>
    <t>GRT-PP-IP-DT-170276</t>
  </si>
  <si>
    <t>0024.001/C.1.2.17.01/E04/PLNE/X/2017</t>
  </si>
  <si>
    <t>GRT-CC00-P0ZEN-145023</t>
  </si>
  <si>
    <t>145023</t>
  </si>
  <si>
    <t>[Piping General]     Plot Plan for BOP</t>
  </si>
  <si>
    <t>GRT-CC00-P0ZEN-145024</t>
  </si>
  <si>
    <t>145024</t>
  </si>
  <si>
    <t>[Piping General]     Information Drawing for Loading Data &amp; Local Foundation Water Treatment Area</t>
  </si>
  <si>
    <t>GRT-PP-IP-DT-170105</t>
  </si>
  <si>
    <t>0012.001/C.1.2.17.01/E04/PLNE/VI/2017</t>
  </si>
  <si>
    <t>GRT-CC00-P0ZEN-145025</t>
  </si>
  <si>
    <t>145025</t>
  </si>
  <si>
    <t>[Piping General]     Layout Crossing Road &amp; Electrical Underground</t>
  </si>
  <si>
    <t>GRT-PP-IP-DT-170212</t>
  </si>
  <si>
    <t>GRT-CC00-P0ZEN-145026</t>
  </si>
  <si>
    <t>145026</t>
  </si>
  <si>
    <t>[Piping General]     Detail Crossing Road &amp; Electrical Underground</t>
  </si>
  <si>
    <t>GRT-CC00-P0ZEN-145027</t>
  </si>
  <si>
    <t>145027</t>
  </si>
  <si>
    <t>[Piping General]     Piping Layout Drawing for Sea Water System</t>
  </si>
  <si>
    <t>GRT-CC05-P0ZEN-145028</t>
  </si>
  <si>
    <t>145028</t>
  </si>
  <si>
    <t>[Piping General]     Support Standard Drawing</t>
  </si>
  <si>
    <t>GRT-PP-IP-DT-170089</t>
  </si>
  <si>
    <t>0029.001/C.1.2.17.01/E04/PLNE/V/2017</t>
  </si>
  <si>
    <t>GRT-CC07-P0ZEN-145029</t>
  </si>
  <si>
    <t>145029</t>
  </si>
  <si>
    <t>[Piping General]     Piping Wall Thickness Calculation</t>
  </si>
  <si>
    <t>GRT-PP-IP-DT-170086</t>
  </si>
  <si>
    <t>GRT-CV03-P0ZEN-145030</t>
  </si>
  <si>
    <t>145030</t>
  </si>
  <si>
    <t>[Piping General]     Piping Design Specification</t>
  </si>
  <si>
    <t>GRT-DE00-P0ZEN-145031</t>
  </si>
  <si>
    <t>145031</t>
  </si>
  <si>
    <t>[Piping General]     Piping Fabrication and Installation</t>
  </si>
  <si>
    <t>GRT-DE00-P0ZEN-145032</t>
  </si>
  <si>
    <t>145032</t>
  </si>
  <si>
    <t>[Piping General]     Specification for Wrapping Tape Material</t>
  </si>
  <si>
    <t>GRT-DE00-P0ZEN-145033</t>
  </si>
  <si>
    <t>145033</t>
  </si>
  <si>
    <t>[Piping General]     Piping Material Specification</t>
  </si>
  <si>
    <t>GRT-PP-IP-DT-170369</t>
  </si>
  <si>
    <t>0022.001/C.I.2.17.01/E04/PLNE/XII/2017</t>
  </si>
  <si>
    <t>GRT-DE00-P0ZEN-145034</t>
  </si>
  <si>
    <t>145034</t>
  </si>
  <si>
    <t>[Piping General]     Specification for Cement Lined for Carbon Stell pipe</t>
  </si>
  <si>
    <t>GRT-XJ00-P0ZEN-145035</t>
  </si>
  <si>
    <t>145035</t>
  </si>
  <si>
    <t>[Piping General]     Isometric Drawing</t>
  </si>
  <si>
    <t>GRT-PP-IP-DT-191236 (DCR 00043)</t>
  </si>
  <si>
    <t>040/061/GRT/UPR/2019</t>
  </si>
  <si>
    <t>GRT-XV00-P0ZEN-145036</t>
  </si>
  <si>
    <t>145036</t>
  </si>
  <si>
    <t>[Piping General]     Pipe Support List</t>
  </si>
  <si>
    <t>GRT-PP-IP-DT-191115 (DCR 00035)</t>
  </si>
  <si>
    <t>028/061/GRT/UPR/2019</t>
  </si>
  <si>
    <t>GRT-XN00-P0ZEN-145037</t>
  </si>
  <si>
    <t>145037</t>
  </si>
  <si>
    <t>[Piping General]     Valve List</t>
  </si>
  <si>
    <t>GRT-PP-IP-DT-170168</t>
  </si>
  <si>
    <t>GRT-YT01-P0ZEN-145038</t>
  </si>
  <si>
    <t>145038</t>
  </si>
  <si>
    <t>[Piping General]     Data Sheet for Valve</t>
  </si>
  <si>
    <t>GRT-PP-IP-DT-170267</t>
  </si>
  <si>
    <t>GRT-YT01-P0ZEN-145039</t>
  </si>
  <si>
    <t>145039</t>
  </si>
  <si>
    <t>[Piping General]     Data Sheet for Special Item</t>
  </si>
  <si>
    <t>GRT-PP-IP-DT-170259</t>
  </si>
  <si>
    <t>GRT-YE00-P0ZEN-155040</t>
  </si>
  <si>
    <t>155040</t>
  </si>
  <si>
    <t>[Electrical General]   General Electrical Symbol List</t>
  </si>
  <si>
    <t>GRT-PP-IP-DT-170282</t>
  </si>
  <si>
    <t>0025.001/C.1.2.17.01/E04/PLNE/X/2017</t>
  </si>
  <si>
    <t>GRT-YE00-P0ZEN-155041</t>
  </si>
  <si>
    <t>155041</t>
  </si>
  <si>
    <t>[Electrical General]   Standard Installation Drawing for Electrical</t>
  </si>
  <si>
    <t>GRT-YE00-P0ZEN-155042</t>
  </si>
  <si>
    <t>[Electrical General]   General Area Clock System Wiring Layout</t>
  </si>
  <si>
    <t>GRT-PP-IP-DT-170329</t>
  </si>
  <si>
    <t>GRT-YE00-P0ZEN-155043</t>
  </si>
  <si>
    <t>GRT-YE00-P0ZEN-155045</t>
  </si>
  <si>
    <t>[Electrical General]    Cable Tray, Trench and Power Wiring Layout for General Area</t>
  </si>
  <si>
    <t>GRT-PP-IP-DT-170215</t>
  </si>
  <si>
    <t>GRT-YE06-P0ZEN-155046</t>
  </si>
  <si>
    <t>[Electrical General]    Grounding Wiring Layout for General Area</t>
  </si>
  <si>
    <t>GRT-PP-IP-DT-170185</t>
  </si>
  <si>
    <t>GRT-YE06-P0ZEN-155047</t>
  </si>
  <si>
    <t>[Electrical General]    Lightning Protection Layout for General Area</t>
  </si>
  <si>
    <t>GRT-PP-IP-DT-170155</t>
  </si>
  <si>
    <t>GRT-YL16-P0ZEN-155048</t>
  </si>
  <si>
    <t>[Electrical General]    Power and Control Cable Schedule</t>
  </si>
  <si>
    <t>GRT-YQ01-P0ZEN-155049</t>
  </si>
  <si>
    <t>[Electrical General]   Flood Light Wiring Layout for Outfall Area</t>
  </si>
  <si>
    <t>GRT-PP-IP-DT-170151</t>
  </si>
  <si>
    <t>GRT-YQ01-P0ZEN-155050</t>
  </si>
  <si>
    <t>[Electrical General]     Lighting and Receptacle Panel Schedule and Connection Diagram for Oufall Area</t>
  </si>
  <si>
    <t>GRT-YR02-P0ZEN-155074</t>
  </si>
  <si>
    <t>[Electrical General]     Datasheet for Electrical Bulk Material</t>
  </si>
  <si>
    <t>GRT-PP-IP-DT-170301</t>
  </si>
  <si>
    <t>0002.001/C.1.2.17.01/E04/PLNE/X/2017</t>
  </si>
  <si>
    <t>GRT-YR02-P0ZEN-155073</t>
  </si>
  <si>
    <t>[Electrical General]     Datasheet for Cable Tray &amp; Accessories</t>
  </si>
  <si>
    <t>GRT-PP-IP-DT-170094</t>
  </si>
  <si>
    <t>GRT-YR02-P0ZEN-155072</t>
  </si>
  <si>
    <t>[Electrical General]     Datasheet for Lighting Fixture &amp; Accessories</t>
  </si>
  <si>
    <t>GRT-YR02-P0ZEN-155071</t>
  </si>
  <si>
    <t>[Electrical General]     Datasheet for Busduct</t>
  </si>
  <si>
    <t>GRT-PP-IP-DT-170293</t>
  </si>
  <si>
    <t>GRT-YR02-P0ZEN-155070</t>
  </si>
  <si>
    <t>[Electrical General]     Datasheet for UPS, Battery &amp; Battery Charger</t>
  </si>
  <si>
    <t>GRT-PP-IP-DT-191041</t>
  </si>
  <si>
    <t>019/061/GRT/UPR/2019</t>
  </si>
  <si>
    <t>GRT-YR02-P0ZEN-155069</t>
  </si>
  <si>
    <t>[Electrical General]     Datasheet for Cable and Wire</t>
  </si>
  <si>
    <t>GRT-YR02-P0ZEN-155068</t>
  </si>
  <si>
    <t>[Electrical General]     Datasheet for Distribution &amp; Lighting Panel</t>
  </si>
  <si>
    <t>GRT-YR02-P0ZEN-155067</t>
  </si>
  <si>
    <t>[Electrical General]     Datasheet for Low Voltage Switchgear and MCC</t>
  </si>
  <si>
    <t>GRT-PP-IP-DT-170187</t>
  </si>
  <si>
    <t>GRT-YR02-P0ZEN-155066</t>
  </si>
  <si>
    <t>[Electrical General]     Datasheet for Medium Voltage Switchgear and MCC</t>
  </si>
  <si>
    <t>GRT-YR02-P0ZEN-155065</t>
  </si>
  <si>
    <t>[Electrical General]     Datasheet for Auxiliary &amp; Service Transformer</t>
  </si>
  <si>
    <t>GRT-YR02-P0ZEN-155064</t>
  </si>
  <si>
    <t>[Electrical General]     Datasheet for Main Transformer</t>
  </si>
  <si>
    <t>GRT-PP-IP-DT-170226</t>
  </si>
  <si>
    <t>GRT-YR02-P0ZEN-155063</t>
  </si>
  <si>
    <t>[Electrical General]     Datasheet for Emergency Diesel Generator</t>
  </si>
  <si>
    <t>GRT-PP-IP-DT-170077</t>
  </si>
  <si>
    <t>GRT-YR02-P0ZEN-155061</t>
  </si>
  <si>
    <t>[Electrical General]     Specification for Busduct</t>
  </si>
  <si>
    <t>GRT-PP-IP-DT-170099</t>
  </si>
  <si>
    <t>GRT-YR02-P0ZEN-155060</t>
  </si>
  <si>
    <t>[Electrical General]     Specification for UPS, Battery &amp; Battery Charger</t>
  </si>
  <si>
    <t>GRT-YR02-P0ZEN-155059</t>
  </si>
  <si>
    <t>[Electrical General]     Specification for Induction Motor</t>
  </si>
  <si>
    <t>GRT-YR02-P0ZEN-155058</t>
  </si>
  <si>
    <t>[Electrical General]     Specification for Cable and Wire</t>
  </si>
  <si>
    <t>GRT-YR02-P0ZEN-155057</t>
  </si>
  <si>
    <t>[Electrical General]     Specification for Distribution &amp; Lighting Panel</t>
  </si>
  <si>
    <t>GRT-PP-IP-DT-170102</t>
  </si>
  <si>
    <t>GRT-YR02-P0ZEN-155056</t>
  </si>
  <si>
    <t>[Electrical General]     Specification for Low Voltage Switchgear and MCC</t>
  </si>
  <si>
    <t>GRT-YR02-P0ZEN-155055</t>
  </si>
  <si>
    <t>[Electrical General]     Specification for Medium Voltage Switchgear and MCC</t>
  </si>
  <si>
    <t>GRT-YR02-P0ZEN-155054</t>
  </si>
  <si>
    <t>[Electrical General]     Specification for Auxiliary &amp; Service Transformer</t>
  </si>
  <si>
    <t>GRT-YR02-P0ZEN-155053</t>
  </si>
  <si>
    <t>[Electrical General]     Specification for Main Transformer</t>
  </si>
  <si>
    <t>GRT-YR02-P0ZEN-155052</t>
  </si>
  <si>
    <t>[Electrical General]     Specification for Emergency Diesel Generator</t>
  </si>
  <si>
    <t>GRT-YR02-P0ZEN-155051</t>
  </si>
  <si>
    <t>[Electrical General]     General Specification for Electrical</t>
  </si>
  <si>
    <t>GRT-YS02-P0ZEN-155075</t>
  </si>
  <si>
    <t>[Electrical General]     Connection Diagram For Power and Control Cable</t>
  </si>
  <si>
    <t>GRT-YU01-P0ZEN-155076</t>
  </si>
  <si>
    <t>[Electrical General]     Overall Single Line Diagram for 150 kv</t>
  </si>
  <si>
    <t>GRT-PP-IP-DT-170334</t>
  </si>
  <si>
    <t>GRT-YU01-P0ZEN-155077</t>
  </si>
  <si>
    <t>[Electrical General]     Single Line Diagram for MV System</t>
  </si>
  <si>
    <t>GRT-PP-IP-DT-170283</t>
  </si>
  <si>
    <t>GRT-YU01-P0ZEN-155078</t>
  </si>
  <si>
    <t>[Electrical General]     Single Line Diagram for LV System</t>
  </si>
  <si>
    <t>GRT-YU01-P0ZEN-155079</t>
  </si>
  <si>
    <t>[Electrical General]     Single Line Diagram for UPS &amp; DC System</t>
  </si>
  <si>
    <t>GRT-YU01-P0ZEN-155080</t>
  </si>
  <si>
    <t>[Electrical General]     Single Line Diagram for Protection &amp; Metering System</t>
  </si>
  <si>
    <t>GRT-PP-IP-DT-180654</t>
  </si>
  <si>
    <t>Comment Sheet IP</t>
  </si>
  <si>
    <t>GRT-XW03-P0ZEN-155081</t>
  </si>
  <si>
    <t>[Electrical General]     Electrical Load Data Calculation</t>
  </si>
  <si>
    <t>GRT-XW03-P0ZEN-155082</t>
  </si>
  <si>
    <t>[Electrical General]     Voltage Drop and Power Flow Study</t>
  </si>
  <si>
    <t>GRT-PP-IP-DT-170230</t>
  </si>
  <si>
    <t>GRT-XW03-P0ZEN-155083</t>
  </si>
  <si>
    <t>[Electrical General]     Short Circuit Calculation</t>
  </si>
  <si>
    <t>GRT-XW03-P0ZEN-155084</t>
  </si>
  <si>
    <t>[Electrical General]    Protective Relay Coordination Study for MV &amp; LV Switcgear</t>
  </si>
  <si>
    <t>GRT-PP-IP-DT-170274</t>
  </si>
  <si>
    <t>0023.001/C.1.2.15.01/E04/PLNE/X/2017</t>
  </si>
  <si>
    <t>GRT-XW03-P0ZEN-155085</t>
  </si>
  <si>
    <t>[Electrical General]     Emergency Diesel  Capacity Calculation</t>
  </si>
  <si>
    <t>GRT-XW03-P0ZEN-155086</t>
  </si>
  <si>
    <t>[Electrical General]     Transformer Sizing Calculation</t>
  </si>
  <si>
    <t>GRT-XW03-P0ZEN-155087</t>
  </si>
  <si>
    <t>[Electrical General]     UPS, Battery &amp; Battery Charger Capacity</t>
  </si>
  <si>
    <t>GRT-XW03-P0ZEN-155088</t>
  </si>
  <si>
    <t>[Electrical General]    Lighting Illumination Level Calculation</t>
  </si>
  <si>
    <t>GRT-XW03-P0ZEN-155089</t>
  </si>
  <si>
    <t>[Electrical General]     Grounding System Calculation</t>
  </si>
  <si>
    <t>GRT-PP-IP-DT-170048</t>
  </si>
  <si>
    <t>GRT-XW03-P0ZEN-155090</t>
  </si>
  <si>
    <t>[Electrical General]     Lightning Protection System Calculation</t>
  </si>
  <si>
    <t>GRT-PP-IP-DT-170193</t>
  </si>
  <si>
    <t>GRT-XW03-P0ZEN-155091</t>
  </si>
  <si>
    <t xml:space="preserve">[Electrical General]     Cable Size Calculation </t>
  </si>
  <si>
    <t>GRT-XW03-P0ZEN-155092</t>
  </si>
  <si>
    <t>[Electrical General]     MOTOR STARTING ANALYSIS</t>
  </si>
  <si>
    <t>GRT-PP-IP-DT-170236</t>
  </si>
  <si>
    <t>GRT-XW03-P0ZEN-155095</t>
  </si>
  <si>
    <t>[Electrical General]      Busduct Sizing Calculation</t>
  </si>
  <si>
    <t>GRT-XW03-P0ZEN-155096</t>
  </si>
  <si>
    <t>[Electrical General]      Electrical Load List</t>
  </si>
  <si>
    <t>GRT-CV03-P0ZEN-165097</t>
  </si>
  <si>
    <t>[Instrument General]     Data Sheet for CCTV Camera</t>
  </si>
  <si>
    <t>GRT-PP-IP-DT-191509</t>
  </si>
  <si>
    <t>MOM MINI DRM 28-29NOV19</t>
  </si>
  <si>
    <t>GRT-CV03-P0ZEN-165098</t>
  </si>
  <si>
    <t>[Instrument General]     Data Sheet for Telephone System</t>
  </si>
  <si>
    <t>GRT-PP-IP-DT-180397</t>
  </si>
  <si>
    <t>GRT-CV03-P0ZEN-165099</t>
  </si>
  <si>
    <t>[Instrument General]     Data Sheet for Paging System</t>
  </si>
  <si>
    <t>GRT-PP-IP-DT-170175</t>
  </si>
  <si>
    <t>GRT-YD00-P0ZEN-165100</t>
  </si>
  <si>
    <t>[Instrument General]     Instrument Layout Keyplan</t>
  </si>
  <si>
    <t>GRT-YD00-P0ZEN-165101</t>
  </si>
  <si>
    <t>[Instrument General]     Instrument Main Cable Way Layout</t>
  </si>
  <si>
    <t>GRT-PP-IP-DT-170249</t>
  </si>
  <si>
    <t>GRT-YD00-P0ZEN-165102</t>
  </si>
  <si>
    <t>[Instrument General]     CCTV Location Plan Layout</t>
  </si>
  <si>
    <t>GRT-PP-IP-DT-180425</t>
  </si>
  <si>
    <t>stempel approved</t>
  </si>
  <si>
    <t>GRT-YD00-P0ZEN-165103</t>
  </si>
  <si>
    <t>[Instrument General]     CCTV Cable Wiring Layout</t>
  </si>
  <si>
    <t>GRT-YD00-P0ZEN-165104</t>
  </si>
  <si>
    <t>[Instrument General]     Telephone Location Plan Layout</t>
  </si>
  <si>
    <t>GRT-YD00-P0ZEN-165105</t>
  </si>
  <si>
    <t>[Instrument General]     Telephone Cable Wiring Layout</t>
  </si>
  <si>
    <t>GRT-PP-IP-DT-170232</t>
  </si>
  <si>
    <t>GRT-YD00-P0ZEN-165106</t>
  </si>
  <si>
    <t>[Instrument General]     Paging Location Plan Layout</t>
  </si>
  <si>
    <t>GRT-YD00-P0ZEN-165107</t>
  </si>
  <si>
    <t>[Instrument General]     Paging Cable Wiring Layout</t>
  </si>
  <si>
    <t>GRT-YD00-P0ZEN-165108</t>
  </si>
  <si>
    <t>[Instrument General]     Instrument Grounding Layout</t>
  </si>
  <si>
    <t>GRT-PP-IP-DT-170286</t>
  </si>
  <si>
    <t>GRT-YD00-P0ZEN-165109</t>
  </si>
  <si>
    <t>[Instrument General]     Instrument Panel Arrangement for BOP</t>
  </si>
  <si>
    <t>DRM_22-24MAY2019 (DCR 0041)</t>
  </si>
  <si>
    <t>2DCR1</t>
  </si>
  <si>
    <t>031/061/GRT/UPR/2018</t>
  </si>
  <si>
    <t>GRT-YD00-P0ZEN-165110</t>
  </si>
  <si>
    <t>[Instrument General]     Instrument Panel Base Frame &amp; Hole Opening</t>
  </si>
  <si>
    <t>GRT-YD00-P0ZEN-165111</t>
  </si>
  <si>
    <t>[Instrument General]     Instrument Wiring Layout Inside Control Room</t>
  </si>
  <si>
    <t>GRT-PP-IC-FCR-00028</t>
  </si>
  <si>
    <t>1FCR3</t>
  </si>
  <si>
    <t>0185/SMGRT.IP-TEI/VII/2019</t>
  </si>
  <si>
    <t>GRT-YF00-P0ZEN-165112</t>
  </si>
  <si>
    <t>[Instrument General]     Instrument Control Logic for Sea Water Intake System</t>
  </si>
  <si>
    <t>GRT-PP-IP-DT-180849</t>
  </si>
  <si>
    <t>GRT-YL01-P0ZEN-165114</t>
  </si>
  <si>
    <t>[Instrument General]     Instrument Index for BOP</t>
  </si>
  <si>
    <t>GRT-YL15-P0ZEN-165115</t>
  </si>
  <si>
    <t>[Instrument General]     Instrument Cable Drum Schedule for BOP</t>
  </si>
  <si>
    <t>GRT-PP-IP-DT-170305</t>
  </si>
  <si>
    <t>0015.001/C.1.2.17.01/E04/PLNE/XI/2017</t>
  </si>
  <si>
    <t>GRT-YK00-P0ZEN-165116</t>
  </si>
  <si>
    <t>[Instrument General]     Instrument Typical Drawing for Installation</t>
  </si>
  <si>
    <t>GRT-PP-IP-DT-170355</t>
  </si>
  <si>
    <t>GRT-YK00-P0ZEN-165117</t>
  </si>
  <si>
    <t>[Instrument General]     CCTV Typical Drawing for Installation</t>
  </si>
  <si>
    <t>GRT-YK00-P0ZEN-165118</t>
  </si>
  <si>
    <t>[Instrument General]     Telephone Typical Drawing for Installation</t>
  </si>
  <si>
    <t>GRT-PP-IP-DT-170271</t>
  </si>
  <si>
    <t>GRT-YK00-P0ZEN-165119</t>
  </si>
  <si>
    <t>[Instrument General]     Paging Typical Drawing for Installation</t>
  </si>
  <si>
    <t>GRT-YQ07-P0ZEN-165120</t>
  </si>
  <si>
    <t>[Instrument General]     General Specification for Telephone System</t>
  </si>
  <si>
    <t>GRT-YR04-P0ZEN-165121</t>
  </si>
  <si>
    <t>[Instrument General]     Instrument General Symbol &amp; Index</t>
  </si>
  <si>
    <t>GRT-PP-IP-DT-170013</t>
  </si>
  <si>
    <t>0027.001/ADDONGRT150MW/E04/PLNE/III/2017</t>
  </si>
  <si>
    <t>GRT-YR05-P0ZEN-165123</t>
  </si>
  <si>
    <t>[Instrument General]     General Specification for CCTV</t>
  </si>
  <si>
    <t>GRT-YS01-P0ZEN-165124</t>
  </si>
  <si>
    <t>[Instrument General]     CCTV Block Diagram</t>
  </si>
  <si>
    <t>GRT-YS01-P0ZEN-165125</t>
  </si>
  <si>
    <t>[Instrument General]    Telephone System Block Diagram</t>
  </si>
  <si>
    <t>GRT-YS01-P0ZEN-165126</t>
  </si>
  <si>
    <t>[Instrument General]    Paging System Block Diagram</t>
  </si>
  <si>
    <t>GRT-CA07-P0ZEN-175127</t>
  </si>
  <si>
    <t>[Civil General]   Design Specification for Civil and Structural</t>
  </si>
  <si>
    <t>GRT-YT01-P0PAC-115136</t>
  </si>
  <si>
    <t>Sea Water Intake  Pump Process Data Sheet</t>
  </si>
  <si>
    <t>GRT-YT01-P0PAC-115137</t>
  </si>
  <si>
    <t>[Circulating Water Pump]   Sea Water Intake Basin Process Data Sheet</t>
  </si>
  <si>
    <t>GRT-YD00-P0PAC-125139</t>
  </si>
  <si>
    <t>[Circulating Water Pump]   GA Drawing Stop Log Screen</t>
  </si>
  <si>
    <t>GRT-PP-IP-DT-191080</t>
  </si>
  <si>
    <t>MINI DRM 13-15MAR2019</t>
  </si>
  <si>
    <t>GRT-YD00-P0PAC-125140</t>
  </si>
  <si>
    <t>[Circulating Water Pump]   GA Drawing Bar Screen</t>
  </si>
  <si>
    <t>GRT-YD00-P0PAC-125141</t>
  </si>
  <si>
    <t>[Circulating Water Pump]   GA Drawing Travelling Screen</t>
  </si>
  <si>
    <t>GRT-YT01-P0PAC-125142</t>
  </si>
  <si>
    <t>[Circulating Water Pump]   Mech. Data Sheet for CWP Pump</t>
  </si>
  <si>
    <t>GRT-CC00-P0PAC-145145</t>
  </si>
  <si>
    <t>[Circulating Water Pump]   Piping Layout Drawing for Sea Water Intake System</t>
  </si>
  <si>
    <t>GRT-CC00-P0PAC-145146</t>
  </si>
  <si>
    <t>[Circulating Water Pump]    Detail &amp; Section Drawing for Sea Water Intake System</t>
  </si>
  <si>
    <t>GRT-XW03-P0PAC-155147</t>
  </si>
  <si>
    <t>[Circulating Water Pump]    Electrical Load Data Calculation for Sea Water Intake</t>
  </si>
  <si>
    <t>GRT-XW03-P0PAC-155148</t>
  </si>
  <si>
    <t>[Circulating Water Pump]    Grounding System Calculation for Sea Water Intake</t>
  </si>
  <si>
    <t>GRT-XW03-P0PAC-155149</t>
  </si>
  <si>
    <t>[Circulating Water Pump]    Cable Size Calculation for Sea Water Intake</t>
  </si>
  <si>
    <t>GRT-XW03-P0PAC-155001</t>
  </si>
  <si>
    <t>[Circulating Water Pump]    Lighting Illumination Level Calculation for Sea Water Intake</t>
  </si>
  <si>
    <t>GRT-YD16-P0PAC-155151</t>
  </si>
  <si>
    <t>[Circulating Water Pump]    Cable Tray and Power Wiring Layout</t>
  </si>
  <si>
    <t>GRT-YE03-P0PAC-155152</t>
  </si>
  <si>
    <t>[Circulating Water Pump]    Grounding and Lightning Protection Layout</t>
  </si>
  <si>
    <t>GRT-YQ01-P0PAC-155153</t>
  </si>
  <si>
    <t>[Circulating Water Pump]    Lighting and Receptacle Wiring Layout</t>
  </si>
  <si>
    <t>GRT-YQ01-P0PAC-155154</t>
  </si>
  <si>
    <t>[Circulating Water Pump]    Lighting and Receptacle Connection Diagram</t>
  </si>
  <si>
    <t>GRT-CV03-P0PAC-165155</t>
  </si>
  <si>
    <t>[Circulating Water Pump]     Instrument Data Sheet for Circulating Water Pump</t>
  </si>
  <si>
    <t>GRT-YD00-P0PAC-165156</t>
  </si>
  <si>
    <t>[Circulating Water Pump]     Instrument Main Cable &amp; JB Layout</t>
  </si>
  <si>
    <t>GRT-PP-IP-DT-170140</t>
  </si>
  <si>
    <t>GRT-YD00-P0PAC-165157</t>
  </si>
  <si>
    <t>[Circulating Water Pump]     Instrument Location Plan Layout</t>
  </si>
  <si>
    <t>GRT-YD00-P0PAC-165158</t>
  </si>
  <si>
    <t>[Circulating Water Pump]     Instrument Cable Wiring Layout</t>
  </si>
  <si>
    <t>GRT-YL01-P0PAC-165160</t>
  </si>
  <si>
    <t>[Circulating Water Pump]     I/O List</t>
  </si>
  <si>
    <t>GRT-PP-IP-DT-170314</t>
  </si>
  <si>
    <t>GRT-YL15-P0PAC-165161</t>
  </si>
  <si>
    <t>[Circulating Water Pump]     Instrument Cable Schedule</t>
  </si>
  <si>
    <t>GRT-PP-IP-DT-191210</t>
  </si>
  <si>
    <t>0029.001/C.I.2.17.01/E04/PLNE/V/2019</t>
  </si>
  <si>
    <t>GRT-YS02-P0PAC-165162</t>
  </si>
  <si>
    <t>[Circulating Water Pump]     Instrument Termination Diagram for Circulating Water Pump</t>
  </si>
  <si>
    <t>GRT-CC03-P0PAC-175164</t>
  </si>
  <si>
    <t>175164</t>
  </si>
  <si>
    <t>[Circulating Water Pump]    Circulating Water Pump Framing Plan</t>
  </si>
  <si>
    <t>GRT-CC03-P0PAC-175165</t>
  </si>
  <si>
    <t>[Circulating Water Pump]    Circulating Water Pump Section, Slab Schedule and Wall Schedule</t>
  </si>
  <si>
    <t>MINI DRM  28-29NOV19</t>
  </si>
  <si>
    <t>GRT-CC03-P0PAC-175166</t>
  </si>
  <si>
    <t>[Circulating Water Pump]    Circulating Water Pump Sections</t>
  </si>
  <si>
    <t>GRT-PP-IP-DT-170190</t>
  </si>
  <si>
    <t>GRT-CC03-P0PAC-175167</t>
  </si>
  <si>
    <t>[Circulating Water Pump]    Circulating Water Pump Detail 1 &amp; 2</t>
  </si>
  <si>
    <t>GRT-CC03-P0PAC-175168</t>
  </si>
  <si>
    <t>[Circulating Water Pump]    Circulating Water Pump Detail 3</t>
  </si>
  <si>
    <t>GRT-CC03-P0PAC-175169</t>
  </si>
  <si>
    <t>[Circulating Water Pump]    Circulating Water Pump Detail 4,5 and Suction Chamber</t>
  </si>
  <si>
    <t>GRT-CC03-P0PAC-175170(1OF7)</t>
  </si>
  <si>
    <t>[Circulating Water Pump]    Circulating Water Pump Stop Log Detail and Section</t>
  </si>
  <si>
    <t>GRT-CC03-P0PAC-175170(2OF7)</t>
  </si>
  <si>
    <t>[Circulating Water Pump]    Circulating Water Pump Gantry Crane and Traveling Screen Detail</t>
  </si>
  <si>
    <t>GRT-CC03-P0PAC-175170(3OF7)</t>
  </si>
  <si>
    <t>[Circulating Water Pump]    Circulating Water Pump Bar Screen and Mechanical Rake/Car Detail</t>
  </si>
  <si>
    <t>GRT-CC03-P0PAC-175170(4OF7)</t>
  </si>
  <si>
    <t>[Circulating Water Pump]    Circulating Water Pump Screen Wash Pumps and Sea Water Feed Pumps Detail</t>
  </si>
  <si>
    <t>GRT-CC03-P0PAC-175170(5OF7)</t>
  </si>
  <si>
    <t>[Circulating Water Pump]    Circulating Water Pump CWP Pedestal Detail</t>
  </si>
  <si>
    <t>GRT-CC03-P0PAC-175170(6OF7)</t>
  </si>
  <si>
    <t>[Circulating Water Pump]    Circulating Water Pump Gantry Crane Rail-2 Detail</t>
  </si>
  <si>
    <t>GRT-CC03-P0PAC-175170(7OF7)</t>
  </si>
  <si>
    <t>[Circulating Water Pump]    Circulating Water Pump Pipe Header Pedestal Detail</t>
  </si>
  <si>
    <t>GRT-CC03-P0PAC-175170</t>
  </si>
  <si>
    <t>GRT-CC07-P0PAC-175174</t>
  </si>
  <si>
    <t>[Circulating Water Pump]    Calculation Sheet for Cooling Water Intake Basin</t>
  </si>
  <si>
    <t>GRT-PP-IP-DT-170255</t>
  </si>
  <si>
    <t>GRT-CC00-P0PAD-145176</t>
  </si>
  <si>
    <t>[Circulating Water Pump Outfall]      Piping Layout Drawing for Sea Water Outfall</t>
  </si>
  <si>
    <t>GRT-CC00-P0PAD-145177</t>
  </si>
  <si>
    <t>[Circulating Water Pump Outfall]      Detail &amp; Section Drawing for Sea Water Outfall</t>
  </si>
  <si>
    <t>GRT-CC07-P0PAD-175178(1OF3)</t>
  </si>
  <si>
    <t>[Circulating Water Pump Outfall]      Circulating Water Pump Outfall Plan</t>
  </si>
  <si>
    <t>GRT-PP-IP-DT-170218</t>
  </si>
  <si>
    <t>GRT-CC07-P0PAD-175178(2OF3)</t>
  </si>
  <si>
    <t>[Circulating Water Pump Outfall]      Circulating Water Pump Outfall Section Slab Schedule and Wall Schedule</t>
  </si>
  <si>
    <t>GRT-CC07-P0PAD-175178(3OF3)</t>
  </si>
  <si>
    <t>[Circulating Water Pump Outfall]      Circulating Water Pump Outfall Section and Detail</t>
  </si>
  <si>
    <t>GRT-CC07-P0PAD-175179(1OF2)</t>
  </si>
  <si>
    <t>[Circulating Water Pump Outfall]      Circulating Water Pump Outfall Details</t>
  </si>
  <si>
    <t>GRT-CC07-P0PAD-175179(2OF2)</t>
  </si>
  <si>
    <t>GRT-CC07-P0PAD-175180</t>
  </si>
  <si>
    <t>[Circulating Water Pump Outfall]      Calculation Sheet for Circulating Water Pump Outfall</t>
  </si>
  <si>
    <t>GRT-XG02-P0UGX-115183</t>
  </si>
  <si>
    <t>[Chlorination System]    Piping and instrument diagram (PID) Chlorination System</t>
  </si>
  <si>
    <t>GRT-PP-IP-DT-170367</t>
  </si>
  <si>
    <t>GRT-XW01-P0UGX-115184</t>
  </si>
  <si>
    <t>[Chlorination System]    Process specification for Chlorination system</t>
  </si>
  <si>
    <t>GRT-CA05-P0UGX-125185</t>
  </si>
  <si>
    <t>[Chlorination System]    Chlorination Plant Building Cold Water Layout &amp; Isometric</t>
  </si>
  <si>
    <t>GRT-PP-PLN-E-170041</t>
  </si>
  <si>
    <t>0021.001/C.1.2.17.01/E04/PLNE/IV/2017</t>
  </si>
  <si>
    <t>GRT-CA05-P0UGX-125186</t>
  </si>
  <si>
    <t>[Chlorination System]     Chlorination Plant Building Grey, Black Water Layout &amp; Isometric</t>
  </si>
  <si>
    <t>GRT-HM01-P0UGX-125187</t>
  </si>
  <si>
    <t>[Chlorination System]    Chlorination Plant Building HVAC Flow Schematic Diagram</t>
  </si>
  <si>
    <t>GRT-HM01-P0UGX-125188</t>
  </si>
  <si>
    <t>[Chlorination System]     Chlorination Plant Building HVAC Ducting Layout</t>
  </si>
  <si>
    <t>GRT-HM01-P0UGX-125189</t>
  </si>
  <si>
    <t xml:space="preserve">[Chlorination System]      Chlorination Plant Building HVAC Elevation, Equipment Layout </t>
  </si>
  <si>
    <t>GRT-PP-IP-DT-170263</t>
  </si>
  <si>
    <t>GRT-HM01-P0UGX-125190</t>
  </si>
  <si>
    <t>[Chlorination System]      Chlorination Plant Building HVAC, Elevation, Section &amp; Detail</t>
  </si>
  <si>
    <t>GRT-HM05-P0UGX-125191</t>
  </si>
  <si>
    <t>[Chlorination System]       HVAC Calculation for Chlorination Plant Building</t>
  </si>
  <si>
    <t>GRT-CC00-P0UGX-145192</t>
  </si>
  <si>
    <t>[Chlorination System]       Piping Layout Drawing for Chlorination</t>
  </si>
  <si>
    <t>GRT-YD16-P0UGX-155193</t>
  </si>
  <si>
    <t>[Chlorination System]       Cable Tray and Power Wiring Layout</t>
  </si>
  <si>
    <t>GRT-PP-IP-DT-170376</t>
  </si>
  <si>
    <t>GRT-YE07-P0UGX-155194</t>
  </si>
  <si>
    <t>[Chlorination System]        Grounding Wiring Layout</t>
  </si>
  <si>
    <t>GRT-YE07-P0UGX-155195</t>
  </si>
  <si>
    <t>[Chlorination System]        Lightning Protection Layout</t>
  </si>
  <si>
    <t>GRT-PP-IP-DT-191389 (DCR 0040)</t>
  </si>
  <si>
    <t>APPROVED ON SITE (PLN E)</t>
  </si>
  <si>
    <t>GRT-YQ01-P0UGX-155196</t>
  </si>
  <si>
    <t>[Chlorination System]        Lighting and Receptale Wiring Layout</t>
  </si>
  <si>
    <t>GRT-YQ01-P0UGX-155197</t>
  </si>
  <si>
    <t>[Chlorination System]        Lighting and Receptacle Panel Schedule and Connection Diagram</t>
  </si>
  <si>
    <t>GRT-CA00-P0UGX-175206</t>
  </si>
  <si>
    <t>[Chlorination System]       Chlorination System Architectural Plan, View, Section &amp; Finishing Schedule</t>
  </si>
  <si>
    <t>GRT-PP-IP-DT-170198</t>
  </si>
  <si>
    <t>GRT-CA00-P0UGX-175207</t>
  </si>
  <si>
    <t>[Chlorination System]       Section, Detail &amp; Finishing Schedule</t>
  </si>
  <si>
    <t>GRT-CA01-P0UGX-175208</t>
  </si>
  <si>
    <t>[Chlorination System]       Foundation Plan</t>
  </si>
  <si>
    <t>GRT-CA01-P0UGX-175209</t>
  </si>
  <si>
    <t>[Chlorination System]       Foundation Detail</t>
  </si>
  <si>
    <t>GRT-CA01-P0UGX-175210</t>
  </si>
  <si>
    <t>[Chlorination System]      Steel Structure Framing Plan</t>
  </si>
  <si>
    <t>GRT-CA01-P0UGX-175211</t>
  </si>
  <si>
    <t>[Chlorination System]      Steel Structure Framing Elevation and Detail</t>
  </si>
  <si>
    <t>GRT-CA06-P0UGX-175212</t>
  </si>
  <si>
    <t>[Chlorination System]      Calculation Sheet for Chlorination System Building</t>
  </si>
  <si>
    <t>GRT-YE00-P1UHA-155213</t>
  </si>
  <si>
    <t>[HRSG]     Cable Tray and Power Wiring Layout</t>
  </si>
  <si>
    <t>GRT-YE00-P1UHA-155214</t>
  </si>
  <si>
    <t>[HRSG]     Clock System Wiring Layout</t>
  </si>
  <si>
    <t>GRT-YE06-P1UHA-155215</t>
  </si>
  <si>
    <t>[HRSG]     Grounding Wiring Layout</t>
  </si>
  <si>
    <t>GRT-PP-IP-DT-170110</t>
  </si>
  <si>
    <t>GRT-YE06-P1UHA-155216</t>
  </si>
  <si>
    <t>[HRSG]     Lightning Protection Layout</t>
  </si>
  <si>
    <t>GRT-YQ01-P1UHA-155217</t>
  </si>
  <si>
    <t>[HRSG]     Lighting and Receptale Wiring Layout</t>
  </si>
  <si>
    <t>GRT-YQ01-P1UHA-155218</t>
  </si>
  <si>
    <t>[HRSG]     Lighting and Receptacle Panel Schedule and Connection Diagram</t>
  </si>
  <si>
    <t>GRT-YD00-P1UHA-165219</t>
  </si>
  <si>
    <t>[HRSG]      Instrument Main Cable &amp; JB Layout</t>
  </si>
  <si>
    <t>GRT-PP-IP-DT-170306</t>
  </si>
  <si>
    <t>GRT-CC03-P1UHA-175220</t>
  </si>
  <si>
    <t>[HRSG]      Foundation Plan</t>
  </si>
  <si>
    <t>GRT-CC03-P1UHA-175221</t>
  </si>
  <si>
    <t>[HRSG]     Foundation Detail (1/2)</t>
  </si>
  <si>
    <t>GRT-CC03-P1UHA-175222</t>
  </si>
  <si>
    <t>[HRSG]     Foundation Detail (2/2)</t>
  </si>
  <si>
    <t>GRT-HM01-P0UMA-125233</t>
  </si>
  <si>
    <t>[STG BUILDING]    Steam Turbine Building HVAC Flow Schematic Diagram</t>
  </si>
  <si>
    <t>GRT-PP-IP-DT-170119</t>
  </si>
  <si>
    <t>GRT-HM01-P0UMA-125234</t>
  </si>
  <si>
    <t>[STG BUILDING]    Steam Turbine Building HVAC Ducting Layout</t>
  </si>
  <si>
    <t>GRT-HM01-P0UMA-125235</t>
  </si>
  <si>
    <t>[STG BUILDING]    Steam Turbine Building HVAC Equipment Layout</t>
  </si>
  <si>
    <t xml:space="preserve">GRT-PP-IP-DT-191407 </t>
  </si>
  <si>
    <t>GRT-HM01-P0UMA-125236</t>
  </si>
  <si>
    <t>[STG BUILDING]    Steam Turbine Building HVAC Elevation, Section &amp; Detail</t>
  </si>
  <si>
    <t>GRT-HM05-P0UMA-125237</t>
  </si>
  <si>
    <t>[STG BUILDING]    HVAC Calculation for Steam Turbine Generator Building</t>
  </si>
  <si>
    <t>GRT-YD16-P0UMA-155238</t>
  </si>
  <si>
    <t>[STG BUILDING]   Cable Tray &amp; Power Wiring Layout</t>
  </si>
  <si>
    <t>GRT-YE07-P0UMA-155240</t>
  </si>
  <si>
    <t>[STG BUILDING]    Grounding Wiring Layout</t>
  </si>
  <si>
    <t>GRT-YE07-P0UMA-155241</t>
  </si>
  <si>
    <t>[STG BUILDING]    Lightning Protection Layout</t>
  </si>
  <si>
    <t>GRT-PP-IP-DT-191407 (DCR 00052)</t>
  </si>
  <si>
    <t>GRT-YQ01-P0UMA-155242</t>
  </si>
  <si>
    <t>[STG BUILDING]    Lighting and Receptacle Wiring Layout</t>
  </si>
  <si>
    <t>GRT-YQ01-P0UMA-155243</t>
  </si>
  <si>
    <t>[STG BUILDING]    Lighting and Receptacle Panel Schedule and Connection Diagram</t>
  </si>
  <si>
    <t>GRT-YD00-P0UMA-165244</t>
  </si>
  <si>
    <t>[STG BUILDING]    Instrument Main Cable &amp; JB Layout</t>
  </si>
  <si>
    <t>GRT-CA00-P0UMA-175245</t>
  </si>
  <si>
    <t>[STG BUILDING]    Floor Plan, Roof Plan &amp; Finishing Schedule</t>
  </si>
  <si>
    <t>GRT-PP-IP-DT-191080 (DCR 00027)</t>
  </si>
  <si>
    <t>GRT-CA00-P0UMA-175246</t>
  </si>
  <si>
    <t>[STG BUILDING]    Architectural Door &amp; Window Schedule</t>
  </si>
  <si>
    <t>GRT-PP-IP-DT-170326</t>
  </si>
  <si>
    <t>DRM SEOUL 7-NOVEMBER-2017</t>
  </si>
  <si>
    <t>GRT-CA01-P0UMA-175250</t>
  </si>
  <si>
    <t>[STG BUILDING]    Foundation Plan (1/2)</t>
  </si>
  <si>
    <t>GRT-PP-IP-DT-170206</t>
  </si>
  <si>
    <t>GRT-CA01-P0UMA-175251</t>
  </si>
  <si>
    <t>[STG BUILDING]    Condenser Foundation Detail</t>
  </si>
  <si>
    <t>GRT-CA01-P0UMA-175252</t>
  </si>
  <si>
    <t>[STG BUILDING]    Basement Floor Plan, El +3.104,EL+2.604, EL.+0.544, EL-0.496, &amp; El-1.150 ( T.O.C )</t>
  </si>
  <si>
    <t>GRT-PP-IP-DT-191080 (DCR 00029)</t>
  </si>
  <si>
    <t>GRT-CA01-P0UMA-175253</t>
  </si>
  <si>
    <t>[STG BUILDING]    Floor Plan EL. +.104 (T.O.C)</t>
  </si>
  <si>
    <t>GRT-PP-IP-DT-191080 (DCR 00028)</t>
  </si>
  <si>
    <t>GRT-CA01-P0UMA-175254</t>
  </si>
  <si>
    <t>[STG BUILDING]    Foundation Framing Elevation</t>
  </si>
  <si>
    <t>GRT-CA01-P0UMA-175259</t>
  </si>
  <si>
    <t>[STG BUILDING]    Location Foundation Plant and Detail</t>
  </si>
  <si>
    <t>GRT-PP-IP-DT-170333</t>
  </si>
  <si>
    <t>0027.001/C.1.2.17.01/E04/PLNE/XI/2017</t>
  </si>
  <si>
    <t>GRT-CA03-P0UMA-175260</t>
  </si>
  <si>
    <t>[STG BUILDING]    Steam Turbine Building Steel Structure Column Layout Plan</t>
  </si>
  <si>
    <t>1a</t>
  </si>
  <si>
    <t>GRT-CA03-P0UMA-175261</t>
  </si>
  <si>
    <t>[STG BUILDING]    Steam Turbine Building Steel Structure Mezzanine Floor El +11.604 (F.F.L)</t>
  </si>
  <si>
    <t>GRT-CA03-P0UMA-175262</t>
  </si>
  <si>
    <t>[STG BUILDING]    Steam Turbine Building Steel Structure Operating Floor El +17.104 (F.F.L)</t>
  </si>
  <si>
    <t>GRT-CA03-P0UMA-175263</t>
  </si>
  <si>
    <t>[STG BUILDING]    Steam Turbine Building Steel Structure Roof Plan #1</t>
  </si>
  <si>
    <t>GRT-CA03-P0UMA-175264</t>
  </si>
  <si>
    <t>[STG BUILDING]    Steam Turbine Building Steel Structure Runway Girder El +28.604 (T.O.R)</t>
  </si>
  <si>
    <t>GRT-CA03-P0UMA-175265</t>
  </si>
  <si>
    <t>[STG BUILDING]    Steam Turbine Building Steel Structure Roof Plan #2</t>
  </si>
  <si>
    <t>GRT-PP-IP-DT-191080 (DCR 00034)</t>
  </si>
  <si>
    <t>GRT-CA03-P0UMA-175266</t>
  </si>
  <si>
    <t>[STG BUILDING]    Steam Turbine Building Steel Structure Framing Elevation Line SA0 &amp; SA</t>
  </si>
  <si>
    <t>GRT-CA03-P0UMA-175267</t>
  </si>
  <si>
    <t>[STG BUILDING]    Steam Turbine Building Steel Structure Framing Elevation Line SB, SC &amp; SE</t>
  </si>
  <si>
    <t>GRT-CA03-P0UMA-175268</t>
  </si>
  <si>
    <t>[STG BUILDING]    Steam Turbine Building Steel Structure Framing Elevation Line SD &amp; SE</t>
  </si>
  <si>
    <t>GRT-CA03-P0UMA-175269</t>
  </si>
  <si>
    <t>[STG BUILDING]    Steam Turbine Building Steel Structure Framing Elevation Line S8, S9 &amp; S10</t>
  </si>
  <si>
    <t>GRT-CA03-P0UMA-175270</t>
  </si>
  <si>
    <t>[STG BUILDING]    Steam Turbine Building Steel Structure Framing Elevation Line S11 &amp; S12</t>
  </si>
  <si>
    <t>GRT-CA06-P0UMA-175271</t>
  </si>
  <si>
    <t>[STG BUILDING]    Calculation Sheet for Steel Structure and Foundation</t>
  </si>
  <si>
    <t>GRT-CC03-P0UMA-175272</t>
  </si>
  <si>
    <t>[STG ]  Concrete Structure Foundation Plan &amp; Section</t>
  </si>
  <si>
    <t>GRT-CC03-P0UMA-175273</t>
  </si>
  <si>
    <t>[STG BUILDING]    Concrete Structure Framing Elevation</t>
  </si>
  <si>
    <t>GRT-CC03-P0UMA-175274</t>
  </si>
  <si>
    <t>[STG BUILDING]    Foundation Elevation, Section and Detail (2/2)</t>
  </si>
  <si>
    <t>GRT-PP-IP-DT-170079</t>
  </si>
  <si>
    <t>0019.001/C.1.2.17.01/E04/PLNEV/2017</t>
  </si>
  <si>
    <t>GRT-CC03-P0UMA-175277(1OF2)</t>
  </si>
  <si>
    <t>[STG ]  Concrete structure Insert Plate Plant and Detail</t>
  </si>
  <si>
    <t>GRT-CC03-P0UMA-175277(2OF2)</t>
  </si>
  <si>
    <t>GRT-CC07-P0UMA-175278</t>
  </si>
  <si>
    <t>[STG BUILDING]  Calculation Sheet for Foundation</t>
  </si>
  <si>
    <t>GRT-XG02-P0UGD-115279</t>
  </si>
  <si>
    <t>[WTP]   Piping and instrument diagram (PID) Raw Water System</t>
  </si>
  <si>
    <t>GRT-PP-IP-DT-190929</t>
  </si>
  <si>
    <t>004/061/GRT/UPR/2019</t>
  </si>
  <si>
    <t>GRT-XG02-P0UGD-115280</t>
  </si>
  <si>
    <t>[WTP]   Piping and instrument diagram (PID) Demin Make-up System</t>
  </si>
  <si>
    <t>GRT-XG02-P0UGD-115281</t>
  </si>
  <si>
    <t>[WTP]   Piping and instrument diagram (PID) Water Treatment System</t>
  </si>
  <si>
    <t>GRT-YT01-P0UGD-115282</t>
  </si>
  <si>
    <t>[WTP]   Process data sheet for raw water tank</t>
  </si>
  <si>
    <t>GRT-YT01-P0UGD-115283</t>
  </si>
  <si>
    <t>[WTP]   Process data sheet for make-up demin water tank</t>
  </si>
  <si>
    <t>GRT-YT01-P0UGD-115284</t>
  </si>
  <si>
    <t>[WTP]   Process data sheet for make up demin for closed cooling system pump</t>
  </si>
  <si>
    <t>GRT-YT01-P0UGD-115285</t>
  </si>
  <si>
    <t>[WTP]   Process data sheet for Portable Water Pump</t>
  </si>
  <si>
    <t>GRT-XG02-P0UGD-115286</t>
  </si>
  <si>
    <t>[WTP]   Piping and instrumentation Diagram for Auxiliary Service Water System</t>
  </si>
  <si>
    <t>GRT-PP-IP-DT-170343</t>
  </si>
  <si>
    <t>GRT-XG02-P0UGD-115287</t>
  </si>
  <si>
    <t>[WTP]   Piping and instrument diagram (PID) Service Water System</t>
  </si>
  <si>
    <t>GRT-YT01-P0UGD-115288</t>
  </si>
  <si>
    <t>[WTP]   Process data sheet for raw water pump</t>
  </si>
  <si>
    <t>GRT-YT01-P0UGD-115289</t>
  </si>
  <si>
    <t>[WTP]   Process data sheet for service water pump</t>
  </si>
  <si>
    <t>GRT-YT01-P0UGD-115290</t>
  </si>
  <si>
    <t>[WTP]   Process data sheet for sump pumps</t>
  </si>
  <si>
    <t>GRT-XG02-P0UGD-115291</t>
  </si>
  <si>
    <t xml:space="preserve">[WTP]   Piping and Instrumentation Diagram for Interconnecting System </t>
  </si>
  <si>
    <t>GRT-XW03-P0UGD-115292</t>
  </si>
  <si>
    <t>[WTP]   Process calculation for service water pump</t>
  </si>
  <si>
    <t>GRT-XW03-P0UGD-115293</t>
  </si>
  <si>
    <t>[WTP]   Process calculation for sump pumps</t>
  </si>
  <si>
    <t>GRT-XW01-P0UGD-115294</t>
  </si>
  <si>
    <t>[WTP]   Process idividual specification for Water treatment system</t>
  </si>
  <si>
    <t>GRT-XW03-P0UGD-115295</t>
  </si>
  <si>
    <t>[WTP]   Process calculation for raw water tank</t>
  </si>
  <si>
    <t>GRT-XW03-P0UGD-115296</t>
  </si>
  <si>
    <t>[WTP]   Process calculation for make-up demin water tank</t>
  </si>
  <si>
    <t>GRT-XW03-P0UGD-115297</t>
  </si>
  <si>
    <t>[WTP]   Process calculation for make up demin system pump</t>
  </si>
  <si>
    <t>GRT-XW03-P0UGD-115298</t>
  </si>
  <si>
    <t>[WTP]   Process calculation for auxiliary service water pump</t>
  </si>
  <si>
    <t>GRT-XW03-P0UGD-115299</t>
  </si>
  <si>
    <t>[WTP]   Process calculation for raw water pump</t>
  </si>
  <si>
    <t>GRT-YT01-P0UGD-125300</t>
  </si>
  <si>
    <t>[WTP]   Mech. Data Sheet for Make-up Demin Water Tank</t>
  </si>
  <si>
    <t>GRT-PP-IP-DT-170257</t>
  </si>
  <si>
    <t>GRT-YT01-P0UGD-125301</t>
  </si>
  <si>
    <t>[WTP]   Mech. Data Sheet for Make up Demin for Closed Cooling System Pump</t>
  </si>
  <si>
    <t>GRT-PP-IP-DT-170154</t>
  </si>
  <si>
    <t>0001.001/C.1.2.17.01/E04/PLNE/VIII/2017</t>
  </si>
  <si>
    <t>GRT-YT01-P0UGD-125451</t>
  </si>
  <si>
    <t>[WTP]   Mech. Data Sheet for Portable Water Pump</t>
  </si>
  <si>
    <t>GRT-YT01-P0UGD-125303</t>
  </si>
  <si>
    <t>[WTP]   Mech. Data Sheet for Raw Water Tank</t>
  </si>
  <si>
    <t>GRT-PP-IP-DT-170270</t>
  </si>
  <si>
    <t>019.001/C.1.2.17.01/E04/PLNE/X/2017</t>
  </si>
  <si>
    <t>GRT-YT01-P0UGD-125304</t>
  </si>
  <si>
    <t>[WTP]   Mech. Data Sheet for Service Water Pump</t>
  </si>
  <si>
    <t>GRT-YT01-P0UGD-125305</t>
  </si>
  <si>
    <t>[WTP]   Mech. Data Sheet for Sump Pumps</t>
  </si>
  <si>
    <t>GRT-CC00-P0UGD-145306</t>
  </si>
  <si>
    <t>[WTP]   Piping Layout Drawing for Water Treatment Area</t>
  </si>
  <si>
    <t>GRT-PP-IP-DT-180405</t>
  </si>
  <si>
    <t>GRT-CC00-P0UGD-145307</t>
  </si>
  <si>
    <t>[WTP]   Piping Layout Drawing  Demin Water Area</t>
  </si>
  <si>
    <t>GRT-CC00-P0UGD-145308</t>
  </si>
  <si>
    <t>[WTP]   Piping Layout Drawing  Demin to HRSG Area</t>
  </si>
  <si>
    <t>GRT-YD16-P0UGD-155309</t>
  </si>
  <si>
    <t>[WTP]   Cable Tray and Power Wiring Layout</t>
  </si>
  <si>
    <t>GRT-YE07-P0UGD-155310</t>
  </si>
  <si>
    <t>[WTP]   Grounding Wiring Layout</t>
  </si>
  <si>
    <t>GRT-YE07-P0UGD-155311</t>
  </si>
  <si>
    <t>[WTP]   Lightning Protection Layout</t>
  </si>
  <si>
    <t>GRT-YQ01-P0UGD-155312</t>
  </si>
  <si>
    <t>[WTP]   Lighting and Receptacle Wiring Layout</t>
  </si>
  <si>
    <t>GRT-YQ01-P0UGD-155313</t>
  </si>
  <si>
    <t>[WTP]    Lighting and Receptacle Panel Schedule and Connection Diagram</t>
  </si>
  <si>
    <t>GRT-CV03-P0UGD-165314</t>
  </si>
  <si>
    <t>[WTP]    Instrument Data sheet for Potable Water System</t>
  </si>
  <si>
    <t>GRT-PP-IP-DT-180471</t>
  </si>
  <si>
    <t>Stempel Approved</t>
  </si>
  <si>
    <t>GRT-CV03-P0UGD-165315</t>
  </si>
  <si>
    <t>[WTP]    Instrument Data Sheet for Raw Water System</t>
  </si>
  <si>
    <t>GRT-CV03-P0UGD-165316</t>
  </si>
  <si>
    <t>[WTP]    Instrument Data Sheet for Demin Make up System</t>
  </si>
  <si>
    <t>GRT-CV03-P0UGD-165317</t>
  </si>
  <si>
    <t>[WTP]    Instrument Data Sheet for Service Water System</t>
  </si>
  <si>
    <t>GRT-PP-IP-DT-170280</t>
  </si>
  <si>
    <t>GRT-YD00-P0UGD-165318</t>
  </si>
  <si>
    <t>[WTP]    Instrument Location Plan Layout for Potable Water System</t>
  </si>
  <si>
    <t>GRT-YD00-P0UGD-165319</t>
  </si>
  <si>
    <t>[WTP]    Instrument Main Cable &amp; JB Layout for Potable Water System</t>
  </si>
  <si>
    <t>GRT-YD00-P0UGD-165320</t>
  </si>
  <si>
    <t>[WTP]    Instrument Cable Wiring Layout for Raw Water System</t>
  </si>
  <si>
    <t>GRT-PP-IP-DT-170164</t>
  </si>
  <si>
    <t>GRT-YD00-P0UGD-165321</t>
  </si>
  <si>
    <t>[WTP]    Instrument Location Plan Layout for Raw Water System</t>
  </si>
  <si>
    <t>GRT-YD00-P0UGD-165322</t>
  </si>
  <si>
    <t>[WTP]    Instrument Location Plan Layout for Service Water System</t>
  </si>
  <si>
    <t>GRT-YD00-P0UGD-165323</t>
  </si>
  <si>
    <t>[WTP]    Instrument Main Cable &amp; JB Layout for Raw Water System</t>
  </si>
  <si>
    <t>GRT-YD00-P0UGD-165324</t>
  </si>
  <si>
    <t>[WTP]    Instrument Main Cable &amp; JB Layout for Service Water System</t>
  </si>
  <si>
    <t>GRT-YD00-P0UGD-165325</t>
  </si>
  <si>
    <t>[WTP]    Instrument Cable Wiring Layout for Potable Water System</t>
  </si>
  <si>
    <t>GRT-YD00-P0UGD-165326</t>
  </si>
  <si>
    <t>[WTP]    Instrument Cable Wiring Layout for Water Treatment System</t>
  </si>
  <si>
    <t>GRT-YD00-P0UGD-165327</t>
  </si>
  <si>
    <t>[WTP]    Instrument Location Plan Layout for Water Treatment System</t>
  </si>
  <si>
    <t>GRT-YD00-P0UGD-165328</t>
  </si>
  <si>
    <t>[WTP]    Instrument Main Cable &amp; JB Layout for Water Treatment System</t>
  </si>
  <si>
    <t>GRT-PP-IP-DT-170133</t>
  </si>
  <si>
    <t>GRT-YL01-P0UGD-165333</t>
  </si>
  <si>
    <t>[DCS]    I/O List for Demin Makeup System</t>
  </si>
  <si>
    <t>GRT-YL01-P0UGD-165334</t>
  </si>
  <si>
    <t>[DCS]    I/O List for Raw Water System</t>
  </si>
  <si>
    <t>GRT-YL01-P0UGD-165335</t>
  </si>
  <si>
    <t>[DCS]    I/O List for Service Water System</t>
  </si>
  <si>
    <t>GRT-PP-IP-DT-170361</t>
  </si>
  <si>
    <t>GRT-YL01-P0UGD-165336</t>
  </si>
  <si>
    <t>[DCS]    I/O List for Auxiliary Service Water System</t>
  </si>
  <si>
    <t>GRT-PP-IP-DT-170254</t>
  </si>
  <si>
    <t>0017.001/C.1.2.17.01/E04/PLNE/X/2017</t>
  </si>
  <si>
    <t>GRT-YS02-P0UGD-165341</t>
  </si>
  <si>
    <t>[WTP]    Instrument Termination Diagram for Potable Water System</t>
  </si>
  <si>
    <t>GRT-YS02-P0UGD-165342</t>
  </si>
  <si>
    <t>[WTP]    Instrument Termination Diagram for Raw Water System</t>
  </si>
  <si>
    <t>GRT-PP-IP-DT-170244</t>
  </si>
  <si>
    <t>GRT-YS02-P0UGD-165343</t>
  </si>
  <si>
    <t>[WTP]     Instrument Termination Diagram for Water Treatment System</t>
  </si>
  <si>
    <t>GRT-YS02-P0UGD-165344</t>
  </si>
  <si>
    <t>[WTP]     Instrument Termination Diagram for Service Water System</t>
  </si>
  <si>
    <t>GRT-CA00-P0UGD-175345</t>
  </si>
  <si>
    <t>[WTP]    Water Treatment Plant Architectural Plan, View, Section &amp; Finishing Schedule</t>
  </si>
  <si>
    <t>GRT-PP-IP-DT-170107</t>
  </si>
  <si>
    <t>GRT-CA00-P0UGD-175346</t>
  </si>
  <si>
    <t>[WTP]    Architectural door &amp; Window key Plant and Schedule</t>
  </si>
  <si>
    <t>GRT-CA01-P0UGD-175347</t>
  </si>
  <si>
    <t>[WTP]    Foundation Plan</t>
  </si>
  <si>
    <t>GRT-CA01-P0UGD-175348</t>
  </si>
  <si>
    <t>[WTP]    Concrete Structure Floor Plan, Section &amp; Member Schedule</t>
  </si>
  <si>
    <t>GRT-CA03-P0UGD-175349</t>
  </si>
  <si>
    <t>[WTP]    Steel Structure Framing Plan</t>
  </si>
  <si>
    <t>GRT-CA03-P0UGD-175350</t>
  </si>
  <si>
    <t>[WTP]    Steel Structure Framing Elevation and Detail</t>
  </si>
  <si>
    <t>GRT-CC03-P0UGD-175352</t>
  </si>
  <si>
    <t>[WTP]    Make Up Closed Cooling Foundation</t>
  </si>
  <si>
    <t>GRT-CC03-P0UGD-175353</t>
  </si>
  <si>
    <t>[WTP]    Make Up Demin for Deaerator Pump Foundation</t>
  </si>
  <si>
    <t>GRT-PP-IP-DT-180910</t>
  </si>
  <si>
    <t>GRT-CC03-P0UGD-175354</t>
  </si>
  <si>
    <t>[WTP]    Service Water Pump Foundation</t>
  </si>
  <si>
    <t>GRT-CC03-P0UGD-175355</t>
  </si>
  <si>
    <t>[WTP]    Raw Water Tank Pump Foundation</t>
  </si>
  <si>
    <t>GRT-CC03-P0UGD-175357</t>
  </si>
  <si>
    <t>Sum Pit at STG Area Foundation Plan, Section and Detail</t>
  </si>
  <si>
    <t>GRT-YD16-P0UAG-155358</t>
  </si>
  <si>
    <t>[Transformer]    Cable Tray and Power Wiring Layout</t>
  </si>
  <si>
    <t>GRT-YE06-P0UAG-155359</t>
  </si>
  <si>
    <t>[Transformer]    Grounding Wiring Layout</t>
  </si>
  <si>
    <t>GRT-YE06-P0UAG-155360</t>
  </si>
  <si>
    <t>[Transformer]    Lightning Protection Layout</t>
  </si>
  <si>
    <t>GRT-YQ01-P0UAG-155361</t>
  </si>
  <si>
    <t>[Transformer]    Lighting and Receptale Wiring Layout</t>
  </si>
  <si>
    <t>GRT-YQ01-P0UAG-155362</t>
  </si>
  <si>
    <t>[Transformer]    Lighting and Receptacle Panel Schedule and Connection Diagram</t>
  </si>
  <si>
    <t>GRT-CC03-P0UAG-175363</t>
  </si>
  <si>
    <t>[Transformer]    FOUNDATION PLAN, PLAN EL. +5.672 (T.O.S) SECTION, DETAIL &amp; MEMBER SCHEDULE</t>
  </si>
  <si>
    <t>GRT-CC03-P0UAG-175364</t>
  </si>
  <si>
    <t>[Transformer]     Section Detail</t>
  </si>
  <si>
    <t>GRT-CC03-P0UAG-175365</t>
  </si>
  <si>
    <t>[Transformer]     Foundation  Detail</t>
  </si>
  <si>
    <t>GRT-CC07-P0UAG-175366</t>
  </si>
  <si>
    <t>[Transformer]   Calculation Sheet for Foundation</t>
  </si>
  <si>
    <t>GRT-YD16-P0UAA-155367</t>
  </si>
  <si>
    <t>[Switchyard]      Cable Tray and Power Wiring Layout</t>
  </si>
  <si>
    <t>GRT-YQ01-P0UAA-155369</t>
  </si>
  <si>
    <t>[Switchyard]      Lighting and Receptale Wiring Layout</t>
  </si>
  <si>
    <t>GRT-YQ01-P0UAA-155370</t>
  </si>
  <si>
    <t>[Switchyard]     Lighting and Receptacle Panel Schedule and Connection Diagram</t>
  </si>
  <si>
    <t>GRT-YW06-P0UAA-155371</t>
  </si>
  <si>
    <t>[Switchyard]     Grounding Wiring Layout</t>
  </si>
  <si>
    <t>GRT-CC03-P0UAA-175372</t>
  </si>
  <si>
    <t>[Switchyard]     Foundation Layout</t>
  </si>
  <si>
    <t>GRT-PP-IP-DT-191080 (DCR 00026)</t>
  </si>
  <si>
    <t>GRT-CC03-P0UAA-175373</t>
  </si>
  <si>
    <t>[Switchyard]    Type 1 Foundation Plan, Section &amp; Detail</t>
  </si>
  <si>
    <t>GRT-CC07-P0UAA-175376</t>
  </si>
  <si>
    <t>[Switchyard]    Calculation Sheet for Foundation</t>
  </si>
  <si>
    <t>GRT-CE00-P0SG-115377</t>
  </si>
  <si>
    <t>[Fire Fighting System]    Lay out fire protection equipment</t>
  </si>
  <si>
    <t>GRT-PP-IP-DT-190925 (DCR0017)</t>
  </si>
  <si>
    <t>GRT-CE00-P0SG-115378</t>
  </si>
  <si>
    <t>[Fire Fighting System]    Escape route lay out</t>
  </si>
  <si>
    <t>GRT-PP-IP-DT-170183</t>
  </si>
  <si>
    <t>GRT-YT01-P0SG-115379</t>
  </si>
  <si>
    <t>[Fire Fighting System]    Process data sheet for Jockey Pump</t>
  </si>
  <si>
    <t>GRT-PP-IP-DT-170047</t>
  </si>
  <si>
    <t>GRT-YT01-P0SG-115380</t>
  </si>
  <si>
    <t>[Fire Fighting System]    Process data sheet for Fire Water Pump</t>
  </si>
  <si>
    <t>GRT-YT01-P0SG-115381</t>
  </si>
  <si>
    <t>[Fire Fighting System]    Datasheet for Fire Protection Equipment</t>
  </si>
  <si>
    <t>GRT-XG02-P0SG-115382</t>
  </si>
  <si>
    <t>[Fire Fighting System]    Piping &amp; Instrument Diagram for firewater system</t>
  </si>
  <si>
    <t>GRT-PP-IP-DT-191080 (DCR 00023)</t>
  </si>
  <si>
    <t>GRT-XG08-P0SG-115383</t>
  </si>
  <si>
    <t>[Fire Fighting System]    Utility Flow Diagram Fire water system</t>
  </si>
  <si>
    <t>GRT-XW01-P0SG-115384</t>
  </si>
  <si>
    <t>[Fire Fighting System]    Fire Protection Design Basis</t>
  </si>
  <si>
    <t>GRT-XW01-P0SG-115385</t>
  </si>
  <si>
    <t>[Fire Fighting System]    Fire Design Basis</t>
  </si>
  <si>
    <t>GRT-XW01-P0SG-115386</t>
  </si>
  <si>
    <t>[Fire Fighting System]    Specification for Fire Protection Equipment</t>
  </si>
  <si>
    <t>GRT-XW03-P0SG-115387</t>
  </si>
  <si>
    <t>[Fire Fighting System]     Process Calculation for Jockey Pump</t>
  </si>
  <si>
    <t>GRT-XW03-P0SG-115388</t>
  </si>
  <si>
    <t>[Fire Fighting System]     Process Calculation for Fire Water Pump</t>
  </si>
  <si>
    <t>GRT-XW03-P0SG-115389</t>
  </si>
  <si>
    <t>[Fire Fighting System]     Process Calculation for Fire Water Consumption</t>
  </si>
  <si>
    <t>GRT-XW03-P0SG-115390</t>
  </si>
  <si>
    <t>[Fire Fighting System]     Fire Water Hydraulic Calculation</t>
  </si>
  <si>
    <t>GRT-YT01-P0SG-125391</t>
  </si>
  <si>
    <t>[Fire Fighting System]     Mech. Data Sheet for Jockey Pump</t>
  </si>
  <si>
    <t>GRT-YT01-P0SG-125392</t>
  </si>
  <si>
    <t>[Fire Fighting System]     Mech. Data Sheet for Fire Water Pump</t>
  </si>
  <si>
    <t>GRT-YD16-P0UGD-155393</t>
  </si>
  <si>
    <t>[Fire Fighting Shelter]     Cable Tray and Power Wiring Layout</t>
  </si>
  <si>
    <t>GRT-YE07-P0UGD-155394</t>
  </si>
  <si>
    <t>[Fire Fighting Shelter]     Grounding Wiring Layout</t>
  </si>
  <si>
    <t>GRT-YE07-P0UGD-155395</t>
  </si>
  <si>
    <t>[Fire Fighting Shelter]     Lightning Protection Layout</t>
  </si>
  <si>
    <t>GRT-YQ01-P0UGD-155396</t>
  </si>
  <si>
    <t>[Fire Fighting Shelter]     Lighting and Receptale Wiring Layout</t>
  </si>
  <si>
    <t>GRT-YQ01-P0UGD-155397</t>
  </si>
  <si>
    <t>[Fire Fighting Shelter]     Lighting and Receptacle Panel Schedule and Connection Diagram</t>
  </si>
  <si>
    <t>GRT-CA01-P0UGD-175399</t>
  </si>
  <si>
    <t>[Fire Fighting Shelter]     Foundation, Foundation Plan &amp; Detail</t>
  </si>
  <si>
    <t>GRT-PP-IP-DT-191235 (DCR 00048)</t>
  </si>
  <si>
    <t>GRT-CA03-P0UGD-175400</t>
  </si>
  <si>
    <t>[Fire Fighting Shelter]     Steel Structure Framing Plan &amp; Elevation</t>
  </si>
  <si>
    <t>GRT-CA06-P0UGD-175401</t>
  </si>
  <si>
    <t>[Fire Fighting Shelter]     Calculation Sheet for Fire Fighting Shelter Stricture and Foundation</t>
  </si>
  <si>
    <t>GRT-YD16-P0UCA-155408</t>
  </si>
  <si>
    <t>[Control Building]     Cable Tray and Power Wiring Layout</t>
  </si>
  <si>
    <t>GRT-YE00-P0UCA-155409</t>
  </si>
  <si>
    <t>[Electrical Room]     Clock System Wiring Layout</t>
  </si>
  <si>
    <t>GRT-YE07-P0UCA-155410</t>
  </si>
  <si>
    <t>[Electrical Room]     Grounding Wiring Layout</t>
  </si>
  <si>
    <t>GRT-YM02-P0UCA-155411</t>
  </si>
  <si>
    <t>[Electrical Room]     Electrical Equipment Layout</t>
  </si>
  <si>
    <t>GRT-PP-IP-DT-191482</t>
  </si>
  <si>
    <t>057/061/GRT/UPR/2019</t>
  </si>
  <si>
    <t>GRT-YM02-P0UCA-155412</t>
  </si>
  <si>
    <t>Electrical Room     Section &amp; Detail Cable Tray Layout</t>
  </si>
  <si>
    <t>GRT-YD16-P0UBN-155413</t>
  </si>
  <si>
    <t>[Engine Diesel Generator]    Cable Tray and Power Wiring Layout</t>
  </si>
  <si>
    <t>GRT-CC07-P0UZA-175420</t>
  </si>
  <si>
    <t>[Structure for Transport, Trafic &amp; Other Purpose]          Calculation for Sheet Pile and Concrete Batter Pile for Thermal Barier</t>
  </si>
  <si>
    <t>GRT-CC03-P0UZA-175421</t>
  </si>
  <si>
    <t>[Structure for Transport, Trafic &amp; Other Purpose]          Thermal Barrier Pilling Plan and List</t>
  </si>
  <si>
    <t>GRT-CC03-P0UZA-175422</t>
  </si>
  <si>
    <t>[Structure for Transport, Trafic &amp; Other Purpose]          Thermal Barrier Layout</t>
  </si>
  <si>
    <t>GRT-CC03-P0UZA-175423</t>
  </si>
  <si>
    <t>[Structure for Transport, Trafic &amp; Other Purpose]          Thermal Barrier Cross Section</t>
  </si>
  <si>
    <t>GRT-CC03-P0UZA-175424(1OF2)</t>
  </si>
  <si>
    <t>[Structure for Transport, Trafic &amp; Other Purpose]          Thermal Barrier Pile Cap, Plan, Long Section and Detail</t>
  </si>
  <si>
    <t>GRT-CC03-P0UZA-175424(2OF2)</t>
  </si>
  <si>
    <t>[Structure for Transport, Trafic &amp; Other Purpose]          Thermal Barrier Pile Cap Rebar Arrangement and Section</t>
  </si>
  <si>
    <t>GRT-CC03-P0UZA-175425</t>
  </si>
  <si>
    <t>[Structure for Transport, Trafic &amp; Other Purpose]          Local Foundation and Pipe Sleeper Foundation Plan and Detail (1/8)</t>
  </si>
  <si>
    <t>DRM_22-24MAY2019 (DCR 0042)</t>
  </si>
  <si>
    <t>GRT-CC03-P0UZA-175426</t>
  </si>
  <si>
    <t xml:space="preserve">[Structure for Transport, Trafic &amp; Other Purpose]          Local Foundation and Pipe Sleeper Foundation Plan </t>
  </si>
  <si>
    <t>GRT-CC03-P0UZA-175427</t>
  </si>
  <si>
    <t>[Structure for Transport, Trafic &amp; Other Purpose]          Local Foundation and Pipe Sleeper Foundation Plan</t>
  </si>
  <si>
    <t>GRT-CC03-P0UZA-175428</t>
  </si>
  <si>
    <t>GRT-CC07-P0UZA-175429</t>
  </si>
  <si>
    <t>[Structure for Transport, Trafic &amp; Other Purpose]          Local Foundation and Pipe Sleeper Calculation Sheet</t>
  </si>
  <si>
    <t>GRT-PP-IP-DT-170184</t>
  </si>
  <si>
    <t>022.001/C.1.2.17.01/E04/PLNE/VIII/2017</t>
  </si>
  <si>
    <t>GRT-CC07-P0UZA-175430</t>
  </si>
  <si>
    <t>[Structure for Transport, Trafic &amp; Other Purpose]          CALCULATION SHEET FOR LOCAL FOUNDATION AND PIPE SLEEPER</t>
  </si>
  <si>
    <t>GRT-CC09-P0UZA-175447</t>
  </si>
  <si>
    <t>[Structure for Transport, Trafic &amp; Other Purpose]          Calculation Sheet for Piperack Structure</t>
  </si>
  <si>
    <t>GRT-CC09-P0UZA-175448(1OF2)</t>
  </si>
  <si>
    <t>[Structure for Transport, Trafic &amp; Other Purpose]          Pipe Rack Foundation Plan &amp; Grade Beam Schedule</t>
  </si>
  <si>
    <t>GRT-CC09-P0UZA-175448(2OF2)</t>
  </si>
  <si>
    <t>[Structure for Transport, Trafic &amp; Other Purpose]          Pipe Rack Foundation Detail</t>
  </si>
  <si>
    <t>GRT-CC09-P0UZA-175449(1OF5)</t>
  </si>
  <si>
    <t>PIPERACK STEEL STRUCTURE COLUMN ARRANGEMENT &amp; MEMBER SCHEDULE</t>
  </si>
  <si>
    <t>GRT-PP-IP-DT-191312 (DCR 00049)</t>
  </si>
  <si>
    <t>045/061/GRT/UPR/2019</t>
  </si>
  <si>
    <t>GRT-CC09-P0UZA-175449(2OF5)</t>
  </si>
  <si>
    <t>PIPERACK STEEL STRUCTURE FRAMING PLAN EL. + 10.604 (T.O.S)</t>
  </si>
  <si>
    <t>GRT-CC09-P0UZA-175449(3OF5)</t>
  </si>
  <si>
    <t>PIPERACK STEEL STRUCTURE FRAMING PLAN EL. + 14.604 (T.O.S)</t>
  </si>
  <si>
    <t>GRT-CC09-P0UZA-175449(4OF5)</t>
  </si>
  <si>
    <t xml:space="preserve">PIPERACK STEEL STRUCTURE FRAMING PLAN EL. + 15.604 (T.O.S) </t>
  </si>
  <si>
    <t>GRT-CC09-P0UZA-175449(5OF5)</t>
  </si>
  <si>
    <t>PIPERACK STEEL STRUCTURE FRAMING PLAN EL. + 17.304 (T.O.S)</t>
  </si>
  <si>
    <t>GRT-CC09-P0UZA-175450(1OF3)</t>
  </si>
  <si>
    <t>PIPE RACK STEEL STRUCTURE  PLAN EL. +19.004(T.O.S) &amp; FRAMING ELEVATION LINE</t>
  </si>
  <si>
    <t>GRT-CC09-P0UZA-175450(2OF3)</t>
  </si>
  <si>
    <t>PIPE RACK STEEL STRUCTURE ELEVATION LINE SAD -5 &amp; SAD-6</t>
  </si>
  <si>
    <t>GRT-PP-IP-DT-191376 (DCR 00050)</t>
  </si>
  <si>
    <t>053/061/GRT/UPR/2019</t>
  </si>
  <si>
    <t>GRT-CC09-P0UZA-175450(3OF3)</t>
  </si>
  <si>
    <t xml:space="preserve">PIPE RACK STEEL STRUCTURE   ELEVATION LINE S8-A &amp; S8-B </t>
  </si>
  <si>
    <t>GRT-CA06-P0UGD-175351</t>
  </si>
  <si>
    <t>Calculation Sheet for Water Treatment Plant Building Structure and Foundation</t>
  </si>
  <si>
    <t>GRT-CA07-P0ZEN-179029</t>
  </si>
  <si>
    <t>Study Thermal Barrier and Sedimentation</t>
  </si>
  <si>
    <t>GRT-PP-IP-DT-170123</t>
  </si>
  <si>
    <t>0022.001/C.1.2.17.01/E04/PLNE/VI/2017</t>
  </si>
  <si>
    <t>GRT-CC03-P0UGD-175581</t>
  </si>
  <si>
    <t>Sump Pit at HRSG Area Foundation Plan, Section and Detail</t>
  </si>
  <si>
    <t>GRT-CC07-P0ZEN-175582</t>
  </si>
  <si>
    <t>Calculation Sheet for Sump Pit</t>
  </si>
  <si>
    <t>GRT-CC07-P0UMA-175583</t>
  </si>
  <si>
    <t>Calculation Sheet for Equipment Foundation on STG Building Grounding Floor</t>
  </si>
  <si>
    <t>GRT-PP-IP-DT-170264</t>
  </si>
  <si>
    <t>GRT-CC03-P0UMA-175584</t>
  </si>
  <si>
    <t>Steam Turbine Building ACW &amp; CCW Foundation Detail</t>
  </si>
  <si>
    <t>GRT-CC03-P0UMA-175585</t>
  </si>
  <si>
    <t>Steam Turbine Building Condenser Vacuum pump &amp; Air Compressore Foundation Detail</t>
  </si>
  <si>
    <t>GRT-CC03-P0UMA-175586</t>
  </si>
  <si>
    <t>Steam Turbine Building Air Dryer &amp; Air Reciver Tank Foundation Detail</t>
  </si>
  <si>
    <t>GRT-CC03-P0UMA-175587</t>
  </si>
  <si>
    <t>Steam Turbine Building HP Feedwater Pump &amp; LP feedwater Pump Foundation Detail</t>
  </si>
  <si>
    <t>GRT-CC03-P0UMA-175588</t>
  </si>
  <si>
    <t>Steam Turbine Building Chemical Dosing System Foundation Detail</t>
  </si>
  <si>
    <t>GRT-CC03-P0UMA-175589</t>
  </si>
  <si>
    <t>Steam Turbine Building Foundation Detail</t>
  </si>
  <si>
    <t>GRT-CC03-P0UMA-175590</t>
  </si>
  <si>
    <t>GRT-CC03-P0UMA-175591</t>
  </si>
  <si>
    <t>GRT-DN06-P0ZEN-145458</t>
  </si>
  <si>
    <t>[Piping General]   Piping Pressure Test Procedure</t>
  </si>
  <si>
    <t>GRT-CC00-P0ZEN-145452</t>
  </si>
  <si>
    <t>Drawing Index Balance of Plant BOP</t>
  </si>
  <si>
    <t>GRT-CC00-P0UMA-145453-1</t>
  </si>
  <si>
    <t>Piping Layout Drawing Steam Turbine Generator Area</t>
  </si>
  <si>
    <t>GRT-CC00-P0UMA-145453-2</t>
  </si>
  <si>
    <t>GRT-CC00-P1UHA-145454</t>
  </si>
  <si>
    <t>Piping Layout Drawing for HRSG Area</t>
  </si>
  <si>
    <t>GRT-PP-IP-DT-170277</t>
  </si>
  <si>
    <t>GRT-YT001-P0ZEN-145626</t>
  </si>
  <si>
    <t>Data Sheet for Check Valve</t>
  </si>
  <si>
    <t>GRT-YT001-P0ZEN-145427</t>
  </si>
  <si>
    <t>General Arrangement for Check Valve</t>
  </si>
  <si>
    <t>GRT-YT001-P0ZEN-145628</t>
  </si>
  <si>
    <t>Data Sheet for Butterfly MOV Valve</t>
  </si>
  <si>
    <t>GRT-YT001-P0ZEN-145548</t>
  </si>
  <si>
    <t>General Arrangement Butterfly MOV Valve</t>
  </si>
  <si>
    <t>GRT-YT001-P0ZEN-145547</t>
  </si>
  <si>
    <t>Valve Closing Time Calculation Sheet</t>
  </si>
  <si>
    <t>GRT-HM05-P0UGD-125452</t>
  </si>
  <si>
    <t>HVAC Calculation for Water Treatment Building</t>
  </si>
  <si>
    <t>GRT-YD00-P0GAD-125624</t>
  </si>
  <si>
    <t>General Arrangement Circulating Water Pump</t>
  </si>
  <si>
    <t>GRT-FF01-P0SGC-125440</t>
  </si>
  <si>
    <t>Water Spray Layout for Transformer</t>
  </si>
  <si>
    <t>GRT-FF03-P0SGM-125442</t>
  </si>
  <si>
    <t>Fire Suppression/FM/200 Layout</t>
  </si>
  <si>
    <t>GRT-PP-IP-DT-170342</t>
  </si>
  <si>
    <t>0008.001/C.1.2.17.01/E04/PLNE/XII/2017</t>
  </si>
  <si>
    <t>GRT-FF04-P0SGM-125443</t>
  </si>
  <si>
    <t>Fire Suppression/FM/200 Isometric</t>
  </si>
  <si>
    <t>GRT-FF04-P0SGM-125445</t>
  </si>
  <si>
    <t>Technical Data Sheet FM200</t>
  </si>
  <si>
    <t>GRT-XW03-P0PAC-115135</t>
  </si>
  <si>
    <t>[Circulating Water Pump]     Process calculation for sea water for closed cooling system booster pump</t>
  </si>
  <si>
    <t>GRT-XG02-P0UGD-115469-1</t>
  </si>
  <si>
    <t>P &amp; ID For Waste Water Transfer System ( 1 of 2 )</t>
  </si>
  <si>
    <t>GRT-XG02-P0UGD-115469-2</t>
  </si>
  <si>
    <t>P &amp; ID For Waste Water Transfer System ( 2 of 2 )</t>
  </si>
  <si>
    <t>GRT-XW03-P1UHA-115456</t>
  </si>
  <si>
    <t>[WTP]   Process calculation for blowdown transfer pump</t>
  </si>
  <si>
    <t>GRT-YT01-P1UHA-115457</t>
  </si>
  <si>
    <t>[WTP]   Process data sheet for blowdown transfer pump</t>
  </si>
  <si>
    <t>GRTH-YR01-P0ZEN-115017</t>
  </si>
  <si>
    <t>Procedure for Hazop Study</t>
  </si>
  <si>
    <t>GRT-PP-IP-DT-170117</t>
  </si>
  <si>
    <t>0016.001/C.1.2.17.01/E04/PLNE/VI/2017</t>
  </si>
  <si>
    <t>GRTH-YR01-P0ZEN-115471</t>
  </si>
  <si>
    <t>Hazop Study Report</t>
  </si>
  <si>
    <t>GRT-DC01-P0GDN-125913</t>
  </si>
  <si>
    <t>Data Sheet Sea Water Booster Pump</t>
  </si>
  <si>
    <t>GRT-PP-IP-DT-170225</t>
  </si>
  <si>
    <t>0020.001/C.1.2.17.01/E04/PLNE/IX/2017</t>
  </si>
  <si>
    <t>GRT-DC01-P0GDN-125914</t>
  </si>
  <si>
    <t>Data Sheet Sea Water Strainer</t>
  </si>
  <si>
    <t>GRT-DC01-P0GDN-125915</t>
  </si>
  <si>
    <t>Data Sheet Electrolyzer</t>
  </si>
  <si>
    <t>GRT-DC01-P0GDN-125916</t>
  </si>
  <si>
    <t>Data Sheet Acid Cleaning Pump</t>
  </si>
  <si>
    <t>GRT-DC01-P0GDN-125917</t>
  </si>
  <si>
    <t>Data Sheet Dilunation air Blower</t>
  </si>
  <si>
    <t>GRT-DC01-P0GDN-125918</t>
  </si>
  <si>
    <t>Data Sheet Continuos Dosing Pump</t>
  </si>
  <si>
    <t>GRT-DC01-P0GDN-125919</t>
  </si>
  <si>
    <t>Data Sheet Shock DosingPump</t>
  </si>
  <si>
    <t>GRT-YT02-P0GD-165921</t>
  </si>
  <si>
    <t>Data sheet Pressure Indicator</t>
  </si>
  <si>
    <t>GRT-PP-IP-DT-170149</t>
  </si>
  <si>
    <t>0024.001/C.1.2.17.01/E04/PLNE/VIII/2017</t>
  </si>
  <si>
    <t>GRT-YT02-P0GD-165922</t>
  </si>
  <si>
    <t>Data Sheet Flow Transmitter</t>
  </si>
  <si>
    <t>GRT-YT02-P0GD-165923</t>
  </si>
  <si>
    <t>Data Sheet Level Transmitter</t>
  </si>
  <si>
    <t>GRT-YT02-P0GD-165924</t>
  </si>
  <si>
    <t>Data sheet Clorination Analyzer</t>
  </si>
  <si>
    <t>GRT-YT02-P0GD-165925</t>
  </si>
  <si>
    <t>Data Sheet Pressure Switch</t>
  </si>
  <si>
    <t>GRT-YT02-P0GD-165926</t>
  </si>
  <si>
    <t>Data Sheet Pressure Diffrential</t>
  </si>
  <si>
    <t>GRT-YT02-P0GD-165927</t>
  </si>
  <si>
    <t>Data Sheet Flow Indicator</t>
  </si>
  <si>
    <t>GRT-YT02-P0GD-165928</t>
  </si>
  <si>
    <t>Data Sheet Level Switch Electrochlorination</t>
  </si>
  <si>
    <t>GRT-PP-IP-DT-170227</t>
  </si>
  <si>
    <t>0003.001/C.1.2.17.01/E04/PLNE/X/2017</t>
  </si>
  <si>
    <t>GRT-YT02-P0GD-165929</t>
  </si>
  <si>
    <t>Data Sheet Temperatur Transmitter</t>
  </si>
  <si>
    <t>GRT-CC08-P0GAC-135930</t>
  </si>
  <si>
    <t>Equipment Lay out</t>
  </si>
  <si>
    <t>GRT-PP-IP-DT-191151</t>
  </si>
  <si>
    <t>029/061/GRT/UPR/2019</t>
  </si>
  <si>
    <t>GRT-XB02-P0GAC-135931</t>
  </si>
  <si>
    <t>Foundation Layout ELECTROCHLORINATION</t>
  </si>
  <si>
    <t>GRT-PP-IP-DT-180752 (DCR 00010)</t>
  </si>
  <si>
    <t>14.006/E04/PLNE/IX/2018</t>
  </si>
  <si>
    <t>GRT-XG07-P0GAC-135936</t>
  </si>
  <si>
    <t xml:space="preserve">PFD </t>
  </si>
  <si>
    <t>GRT-XG02-P0GAC-135937</t>
  </si>
  <si>
    <t>P &amp; ID</t>
  </si>
  <si>
    <t>GRT-PP-IP-DT-191080 (DCR 00038)</t>
  </si>
  <si>
    <t>GRT-DC01-P0LDF-125815</t>
  </si>
  <si>
    <t>DATA SHEET MIXED BED FEED PUMP</t>
  </si>
  <si>
    <t>GRT-PP-IP-DT-170275</t>
  </si>
  <si>
    <t>GRT-DC01-P0LDH-125816</t>
  </si>
  <si>
    <t>DATA SHEET AIR BLOWER</t>
  </si>
  <si>
    <t>GRT-DC01-P0LDP-125817</t>
  </si>
  <si>
    <t>DATA SHEET REGENERATION PUMP</t>
  </si>
  <si>
    <t>GRT-DC01-P0LDN-125818</t>
  </si>
  <si>
    <t>DATA SHEET ACID DOSING PUMP FOR NEUTRALIZING SYSTEM</t>
  </si>
  <si>
    <t>GRT-PP-IP-DT-170268</t>
  </si>
  <si>
    <t>D</t>
  </si>
  <si>
    <t>0019.001/C.1.2.17.01/E04/PLNE/X/2017</t>
  </si>
  <si>
    <t>GRT-DC01-P0LDN-125819</t>
  </si>
  <si>
    <t>DATA SHEET CAUSTIC DOSING PUMP FOR NUTRALIZING SYSTEM</t>
  </si>
  <si>
    <t>GRT-DC01-P0LDR-125820</t>
  </si>
  <si>
    <t>DATA SHEET NEUTRALIZATION DISCHARGE PUMP</t>
  </si>
  <si>
    <t>GRT-YT02-P0LD-165822</t>
  </si>
  <si>
    <t>DATA SHEET PRESSURE INDICATOR</t>
  </si>
  <si>
    <t>GRT-YT02-P0LD-165823</t>
  </si>
  <si>
    <t>DATA SHEET FLOW TRANSMITTER</t>
  </si>
  <si>
    <t>GRT-YT02-P0LD-165824</t>
  </si>
  <si>
    <t>DATA SHEET PH TRANSMITTER</t>
  </si>
  <si>
    <t>GRT-YT02-P0LD-165825</t>
  </si>
  <si>
    <t>DATA SHEET CONDUCTIVITY TRANSMITTER</t>
  </si>
  <si>
    <t>GRT-YT02-P0LD-165826</t>
  </si>
  <si>
    <t>DATA SHEET LEVEL SWITCH WTP MIXED BED</t>
  </si>
  <si>
    <t>GRT-YT02-P0LD-165827</t>
  </si>
  <si>
    <t>DATA SHEET PRESSURE SWITCH</t>
  </si>
  <si>
    <t>GRT-YT02-P0LD-165828</t>
  </si>
  <si>
    <t>DATA SHEET FLOW INDICATOR</t>
  </si>
  <si>
    <t>GRT-YT02-P0LD-165829</t>
  </si>
  <si>
    <t>DATA SHEET PRESSURE DIFFERENTIAL SWITCH</t>
  </si>
  <si>
    <t>GRT-XK58-P0GCK-125830</t>
  </si>
  <si>
    <t>GENERAL ARRANGEMENT ACID METERING TANK</t>
  </si>
  <si>
    <t>GRT-XK58-P0GCK-125840</t>
  </si>
  <si>
    <t>GENERAL ARRANGEMENT NAME PLATE OF TANK</t>
  </si>
  <si>
    <t>GRT-CC08-P0GCK-135834</t>
  </si>
  <si>
    <t>EQUIPMENT LAYOUT</t>
  </si>
  <si>
    <t>GRT-XB02-P0GCK-135835</t>
  </si>
  <si>
    <t>FOUNDATION LAYOUT</t>
  </si>
  <si>
    <t>0003.001/C.1.2.17.01/E04/PLNE/VIII/2017</t>
  </si>
  <si>
    <t>GRT-XG02-P0GCK-135841</t>
  </si>
  <si>
    <t>P &amp; ID Mixed BED System</t>
  </si>
  <si>
    <t>GRT-PP-IP-DT-191030</t>
  </si>
  <si>
    <t>GRT-CC07-P0LD-135842</t>
  </si>
  <si>
    <t>MASS BALANCE Mixed BED System</t>
  </si>
  <si>
    <t>GRT-YL25-P0LD-165852</t>
  </si>
  <si>
    <t>MODBUST LIST</t>
  </si>
  <si>
    <t>GRT-XM01-P0LD-195856</t>
  </si>
  <si>
    <t>CONTROL PHILOSOPHY</t>
  </si>
  <si>
    <t>GRT-PP-IP-DT-180561</t>
  </si>
  <si>
    <t>GRT-DC01-P0GD-125920</t>
  </si>
  <si>
    <t>Data Sheet Rectifier</t>
  </si>
  <si>
    <t>GRT-YL01-P0ZEN-165462</t>
  </si>
  <si>
    <t xml:space="preserve">DCS IO List for Electrical Interface System </t>
  </si>
  <si>
    <t>GRT-YL01-P0ZEN-165463</t>
  </si>
  <si>
    <t>DCS IO List for LDC Interface</t>
  </si>
  <si>
    <t>GRT-PP-IP-DT-191080 (DCR 00036)</t>
  </si>
  <si>
    <t>GRT-YL01-P0ZEN-165203</t>
  </si>
  <si>
    <t>IO List for Package Equipment</t>
  </si>
  <si>
    <t>GRT-PP-IP-DT-170332</t>
  </si>
  <si>
    <t>GRT-CV03-P0UGD-165559</t>
  </si>
  <si>
    <t>Instrument Data Sheet for Waste Water Transfer System</t>
  </si>
  <si>
    <t>GRT-YL01-P0UGD-165558</t>
  </si>
  <si>
    <t>DCS IO List for Waste Water Transfer System</t>
  </si>
  <si>
    <t>GRT-YD00-P0UGD-165560</t>
  </si>
  <si>
    <t>Instrument Loscation Plant Layout for Waste Water Transfer System</t>
  </si>
  <si>
    <t>GRT-YS02-P0ZEN-165568</t>
  </si>
  <si>
    <t>Instrument Termination Dagaram for Waste Water Transfer System</t>
  </si>
  <si>
    <t>GRT-YF00-P0ZEN-165568</t>
  </si>
  <si>
    <t>Instrument Control Loop for Sea Water Intake System</t>
  </si>
  <si>
    <t>GRT-PP-IP-DT-190939</t>
  </si>
  <si>
    <t>006/061/GRT/UPR/2019</t>
  </si>
  <si>
    <t>GRT-YF00-P0ZEN-165569</t>
  </si>
  <si>
    <t>Instrument Control Logic  for Circulating Sea Water Cooling System</t>
  </si>
  <si>
    <t>GRT-YF00-P0ZEN-165570</t>
  </si>
  <si>
    <t>Instrument Control Logic for Raw Water System</t>
  </si>
  <si>
    <t>GRT-YF00-P0ZEN-165571</t>
  </si>
  <si>
    <t>Instrument Control loop for Raw Water System</t>
  </si>
  <si>
    <t>GRT-YF00-P0ZEN-165572</t>
  </si>
  <si>
    <t>Instrument Control Logic for Demin  Make up System</t>
  </si>
  <si>
    <t>GRT-YF00-P0ZEN-165573</t>
  </si>
  <si>
    <t>Instrument Control Loop for Demin Make up System</t>
  </si>
  <si>
    <t>GRT-YF00-P0ZEN-165574</t>
  </si>
  <si>
    <t>INSTRUMENT CONTROL LOGIC FOR AUXILIARY SERVICE WATER SYSTEM</t>
  </si>
  <si>
    <t>GRT-YF00-P0ZEN-165575</t>
  </si>
  <si>
    <t>Instrument Control Logic for Service Water System</t>
  </si>
  <si>
    <t>GRT-YF00-P0ZEN-165576</t>
  </si>
  <si>
    <t>Instrument Control Loop for Waste water Transfer System</t>
  </si>
  <si>
    <t>GRT-YF00-P0ZEN-165577</t>
  </si>
  <si>
    <t>GRT-YF00-P0ZEN-165578</t>
  </si>
  <si>
    <t>Instrument Control Loop for Electrical</t>
  </si>
  <si>
    <t>GRT-YF00-P0ZEN-165579</t>
  </si>
  <si>
    <t>Instrument Control Logic for Electrical System</t>
  </si>
  <si>
    <t>GRT-YF00-P0ZEN-165580</t>
  </si>
  <si>
    <t>Instrument Control Loop  for Condenser Circulating Sea Water Cooling System</t>
  </si>
  <si>
    <t>GRT-YQ05-P0BYA-165651</t>
  </si>
  <si>
    <t>DCS System Alarm Diagram</t>
  </si>
  <si>
    <t>GRT-YD07-P0BYA-165652</t>
  </si>
  <si>
    <t>DCS Input / Output Signal List of DAS</t>
  </si>
  <si>
    <t>GRT-YD07-P0BYA-165653</t>
  </si>
  <si>
    <t>DCS Input / Output Signal List of GTC</t>
  </si>
  <si>
    <t>GRT-YD07-P0BYA-165654</t>
  </si>
  <si>
    <t>DCS Input / Output Signal List of GWC</t>
  </si>
  <si>
    <t>GRT-YD07-P0BYA-165655</t>
  </si>
  <si>
    <t>DCS Input / Output Signal List of SRS</t>
  </si>
  <si>
    <t>GRT-YD07-P0BYA-165671</t>
  </si>
  <si>
    <t>DCS Input / Output Signal List of H/W</t>
  </si>
  <si>
    <t>GRT-YS02-P0BYA-165643</t>
  </si>
  <si>
    <t>DCS Lan Configuration</t>
  </si>
  <si>
    <t>GRT-DC01-P0BYA-165644</t>
  </si>
  <si>
    <t>DCS Hardware Specification</t>
  </si>
  <si>
    <t>GRT-YR00-P0BYA-165645</t>
  </si>
  <si>
    <t>DCS Software Specification og GTC</t>
  </si>
  <si>
    <t>GRT-DC01-P0BYA-165646</t>
  </si>
  <si>
    <t>DCS SRS Specification of GTC</t>
  </si>
  <si>
    <t>GRT-YR05-P0BYA-165650</t>
  </si>
  <si>
    <t>DCS Outline Drawing of SRS</t>
  </si>
  <si>
    <t>GRT-CV03-P0ZEN-165674</t>
  </si>
  <si>
    <t>Data Sheet for Waste Water Transfer System</t>
  </si>
  <si>
    <t>GRT-CV03-P0ZEN-165675</t>
  </si>
  <si>
    <t>Data Sheet for Service Water System</t>
  </si>
  <si>
    <t>GRT-CV03-P0ZEN-165676</t>
  </si>
  <si>
    <t>Data Sheet for Raw Water System</t>
  </si>
  <si>
    <t>GRT-CV03-P0ZEN-165677</t>
  </si>
  <si>
    <t>Data Sheet for Portable Water System</t>
  </si>
  <si>
    <t>GRT-CV03-P0ZEN-165678</t>
  </si>
  <si>
    <t>Data Sheet for Demin Make up Sysytem</t>
  </si>
  <si>
    <t>GRT-CV03-P0ZEN-165679</t>
  </si>
  <si>
    <t>Data Sheet for Circulating Water Pump</t>
  </si>
  <si>
    <t>GRT-YR05-P0BYA-165647</t>
  </si>
  <si>
    <t>DCS Outline Drawing of DAS</t>
  </si>
  <si>
    <t>GRT-YR05-P0BYA-165648</t>
  </si>
  <si>
    <t>DCS Outline Drawing of GTC</t>
  </si>
  <si>
    <t>GRT-YR05-P0BYA-165649</t>
  </si>
  <si>
    <t>DCS Outline Drawing of GWC</t>
  </si>
  <si>
    <t>GRT-YS01-P0BYA-165656</t>
  </si>
  <si>
    <t>GTCS-Schematic Diagram of DAS</t>
  </si>
  <si>
    <t>GRT-YS01-P0BYA-165657</t>
  </si>
  <si>
    <t>GTCS-Schematic Diagram of GTC</t>
  </si>
  <si>
    <t>GRT-YS01-P0BYA-165668</t>
  </si>
  <si>
    <t>GTCS-Spare Part List</t>
  </si>
  <si>
    <t>GRT-YS01-P0BYA-165658</t>
  </si>
  <si>
    <t>GTCS-Schematic Diagram of GWC</t>
  </si>
  <si>
    <t>GRT-YS01-P0BYA-165659</t>
  </si>
  <si>
    <t>GTCS-Schematic Diagram of SRS</t>
  </si>
  <si>
    <t>GRT-YF02-P0BYA-165673</t>
  </si>
  <si>
    <t>GTCS-System Configuration for GTC</t>
  </si>
  <si>
    <t>GRT-YR02-P0ZEN-156250</t>
  </si>
  <si>
    <t>150KV Grati Switchgear Surge Arrester Technical Particular &amp; Guarantee</t>
  </si>
  <si>
    <t>GRT-YR02-P0ZEN-156251</t>
  </si>
  <si>
    <t>150KV Grati Switchgear Circuit Breaker Technical Particular &amp; Guarantee</t>
  </si>
  <si>
    <t>GRT-YR02-P0ZEN-156252</t>
  </si>
  <si>
    <t>150KV Grati Switchgear Current Transfoemer Tecnical Particular &amp; Guarantee</t>
  </si>
  <si>
    <t>GRT-YR02-P0ZEN-156253</t>
  </si>
  <si>
    <t>150KV Grati Switchgear Disconnector Switch Tecnical Particular &amp; Guarantee</t>
  </si>
  <si>
    <t>GRT-YR02-P0ZEN-156254</t>
  </si>
  <si>
    <t>150KV Grati Switchgear Capacotator Voltage Transformer Tecnical Particular &amp; Guarantee</t>
  </si>
  <si>
    <t>GRT-YR02-P0ZEN-156255</t>
  </si>
  <si>
    <t>150 KV Grati Switchgear Disconnector Swich Tecnical Particular &amp; Guarantee</t>
  </si>
  <si>
    <t>GRT-YR02-P0AT-156106</t>
  </si>
  <si>
    <t>Technical Specification UAT 15kV</t>
  </si>
  <si>
    <t>GRT-PP-IP-DT-170256</t>
  </si>
  <si>
    <t>0009.001/C.1.2.17.01/E04/PLNE/X/2017</t>
  </si>
  <si>
    <t>GRT-YR02-P0AT-156117</t>
  </si>
  <si>
    <t>Technical Specification SST 15kV</t>
  </si>
  <si>
    <t>GRT-YD00-P0AT-156128</t>
  </si>
  <si>
    <t>General Arrangement Drawing 150/15.75 kV – 250 MVA</t>
  </si>
  <si>
    <t>GRT-PP-IP-DT-191407 (DCR 0039)</t>
  </si>
  <si>
    <t>0FCR2</t>
  </si>
  <si>
    <t>GRT-XB02-P0AT-156129</t>
  </si>
  <si>
    <t>Foundation Drawing 150/15.75 kV – 250 MVA Power Transformer</t>
  </si>
  <si>
    <t>GRT-YS01-P0AT-156130</t>
  </si>
  <si>
    <t>Rating &amp; Schematic Plate 150/15.75 kV – 250 MVA Power Transformer</t>
  </si>
  <si>
    <t>GRT-CC01-P0AT-156131</t>
  </si>
  <si>
    <t>Oil Piping &amp; Valve Location Plate 150/15.75 kV – 250 MVA Power Transformer</t>
  </si>
  <si>
    <t>GRT-YS01-P0AT-156132</t>
  </si>
  <si>
    <t>Schematic Diagram of Contorl Cubicle 150/15.75 kV-250 MVA Power Transformer</t>
  </si>
  <si>
    <t>0023.001/C.1.2.17.01/E04/PLNE/X/2017</t>
  </si>
  <si>
    <t>GRT-YS01-P0AT-156133</t>
  </si>
  <si>
    <t>Schematic Diagram of Remote Control Panel 150/15.75 kV – 250 MVA Power Transformer</t>
  </si>
  <si>
    <t>GRT-XM00-P0AT-156134</t>
  </si>
  <si>
    <t>Heaviest Part for Transformer Drawing Plate 150/15.75 kV – 250 MVA Power Transformer</t>
  </si>
  <si>
    <t>GRT-YT01-P0AT-156135</t>
  </si>
  <si>
    <t>Tecnical Specification (TPG) 150/15.75 kV – 250 MVA Power Transformer</t>
  </si>
  <si>
    <t>GRT-YD00-P0AT-156304</t>
  </si>
  <si>
    <t>General Arrangement Drawing of 1000 KVA</t>
  </si>
  <si>
    <t>GRT-PP-IP-DT-170260</t>
  </si>
  <si>
    <t>0030.001/C.1.2.17.01/E04/PLNE/V/2017</t>
  </si>
  <si>
    <t>GRT-YD00-P0AT-156305</t>
  </si>
  <si>
    <t>General Arrangement Drawing of 2000 KVA</t>
  </si>
  <si>
    <t>GRT-YD00-P0AT-156306</t>
  </si>
  <si>
    <t>General Arrangement Drawing of 3000 KVA</t>
  </si>
  <si>
    <t>GRT-YD00-P0AT-156107</t>
  </si>
  <si>
    <t>General Arrangement Drawing of Unit Auxiliary Transformer 25MVA</t>
  </si>
  <si>
    <t>GRT-YD00-P0AT-156108</t>
  </si>
  <si>
    <t>Termination Drawing of Auxiliary Transformer 25MVA</t>
  </si>
  <si>
    <t>GRT-YT01-P0AT-156110</t>
  </si>
  <si>
    <t>Rating Plate UAT</t>
  </si>
  <si>
    <t>GRT-YD00-P0AT-156118</t>
  </si>
  <si>
    <t>General Arrangement Drawing of Unit Station Service Transformer 25MVA</t>
  </si>
  <si>
    <t>GRT-YD00-P0AT-156119</t>
  </si>
  <si>
    <t>Termination drawing of Station Service Transformer 25MVA</t>
  </si>
  <si>
    <t>GRT-YT01-P0AT-156121</t>
  </si>
  <si>
    <t>Rating Plate SST</t>
  </si>
  <si>
    <t>GRT-YS01-P0AT-156111</t>
  </si>
  <si>
    <t>Layout and Schematic Diagram for Mashalling Kiosk Transformer 25000KVA 15.75/6.3kV</t>
  </si>
  <si>
    <t>GRT-YV02-P0AT-156114</t>
  </si>
  <si>
    <t>Layout and Schematic Diagram for Remote Tap Charger Control Panel Transformer 25MVA 15.75/6.3kV</t>
  </si>
  <si>
    <t>MINI DRM_21MAR2019</t>
  </si>
  <si>
    <t>021/061/GRT/UPR/2019</t>
  </si>
  <si>
    <t>GRT-YS01-P0AT-156122</t>
  </si>
  <si>
    <t>GRT-YV02-P0AT-156125</t>
  </si>
  <si>
    <t>GRT-YD00-P0AT-156283</t>
  </si>
  <si>
    <t>Surge Arrester Drawing of Station Service Transformer 25MVA</t>
  </si>
  <si>
    <t>GRT-YD00-P0AT-156284</t>
  </si>
  <si>
    <t>NGR Drawing SST &amp; UAT</t>
  </si>
  <si>
    <t>GRTBCP-YD00-P0BBA-156003</t>
  </si>
  <si>
    <t>General Arrangement MV Switchgear 6,3kV</t>
  </si>
  <si>
    <t>GRTBCP-YD00-P0BBA-156006</t>
  </si>
  <si>
    <t>Data Sheet MV Switchgear 6,3 kV</t>
  </si>
  <si>
    <t>GRT-DP00-P0MJY-156158</t>
  </si>
  <si>
    <t>Diesel Genset Specification Sheet</t>
  </si>
  <si>
    <t>GRT-PP-IP-DT-190930</t>
  </si>
  <si>
    <t>008/061/GRT/UPR/2019</t>
  </si>
  <si>
    <t>GRT-XK00-P0EGB-156154</t>
  </si>
  <si>
    <t>General Arrangement Daily Tank Drawing</t>
  </si>
  <si>
    <t>GRT-PP-IP-DT-180831</t>
  </si>
  <si>
    <t>GRT-YK08-P0MJA-156152</t>
  </si>
  <si>
    <t>General Arrangement Diesel Genset Drawings</t>
  </si>
  <si>
    <t>GRT-PP-IP-DT-191520</t>
  </si>
  <si>
    <t>GRT-YT01-P0MKA-156159</t>
  </si>
  <si>
    <t>Generator Data Sheets</t>
  </si>
  <si>
    <t>GRT-PP-IP-DT-180498</t>
  </si>
  <si>
    <t>DRM 5</t>
  </si>
  <si>
    <t>GRT-YT01-P0MJA-156160</t>
  </si>
  <si>
    <t>Diesel Engine Data Sheet</t>
  </si>
  <si>
    <t>GRT-YD00-P0BAC-156285</t>
  </si>
  <si>
    <t>GCB General Arrangement Drawing for FKG 1X</t>
  </si>
  <si>
    <t>GRT-YD00-P0BAC-156286</t>
  </si>
  <si>
    <t>GRTBCP-YD00-P0BBA-156004</t>
  </si>
  <si>
    <t>Single Line Diagram MV Switchgear 6,3 kV</t>
  </si>
  <si>
    <t>GRT-YD00-P0BVC-156357</t>
  </si>
  <si>
    <t>General Arrangement UPS System</t>
  </si>
  <si>
    <t>GRT-PP-IP-DT-170317</t>
  </si>
  <si>
    <t>0021.001/C.1.2.17.01/E04/PLNE/XI/2017</t>
  </si>
  <si>
    <t>GRT-YD00-P0BRA-156358</t>
  </si>
  <si>
    <t>General Arrangement AC Distribution Board 400/230V for UPS System</t>
  </si>
  <si>
    <t>GRT-YD00-P0BTL-156363</t>
  </si>
  <si>
    <t>General Arrangement DC System</t>
  </si>
  <si>
    <t>GRT-YD00-P0BVC-156364</t>
  </si>
  <si>
    <t>General Arrangement DC Distribution Board 220V for DC System</t>
  </si>
  <si>
    <t>GRT-YD00-P0BFA-156376</t>
  </si>
  <si>
    <t>General Arrangement NSPB-A</t>
  </si>
  <si>
    <t>GRT-YD00-P0BFA-156379</t>
  </si>
  <si>
    <t>General Arrangement NSPB-B</t>
  </si>
  <si>
    <t>GRT-XW03-P0ZEN-156243</t>
  </si>
  <si>
    <t>Switchgear Steel Structures SA Support H=2. 1M - IB573</t>
  </si>
  <si>
    <t>GRT-PP-IP-DT-180824</t>
  </si>
  <si>
    <t>GRT-XW03-P0ZEN-156240</t>
  </si>
  <si>
    <t>Switchgear Steel Structures CB Support IB562 ( GL314 – TYPE F1 )</t>
  </si>
  <si>
    <t>GRT-XW03-P0ZEN-156179</t>
  </si>
  <si>
    <t>150kV Grati, Switchgear Calculation Note Compatibility CT / Protection (exclude GSUT &amp; SST Area)</t>
  </si>
  <si>
    <t>GRT-PP-IP-DT-170357</t>
  </si>
  <si>
    <t>0022.001/C.1.2.17.01/E04/PLNE/XII/2017</t>
  </si>
  <si>
    <t>GRT-XW03-P0ZEN-156190</t>
  </si>
  <si>
    <t>150kV Grati, Switchgear Calculation Steel Structures - Gantries</t>
  </si>
  <si>
    <t>GRT-YT01-P0BAA-156304</t>
  </si>
  <si>
    <t>Technical Data Sheet for 15.75kV IPBD</t>
  </si>
  <si>
    <t>GRT-PP-IP-DT-180741</t>
  </si>
  <si>
    <t>GRT-YK10-P0BAA-156305</t>
  </si>
  <si>
    <t>Standar Sub-assembly Drawing for 15.75kV IPBD</t>
  </si>
  <si>
    <t>GRT-YB10-P0BAA-156314</t>
  </si>
  <si>
    <t>Terminationn Details of 15.75kV IPBD</t>
  </si>
  <si>
    <t>GRT-YK08-P0BAA-156316</t>
  </si>
  <si>
    <t>GA &amp; Wiring Diagram of Pressurisation Cubicle for 15.75kV IPBD</t>
  </si>
  <si>
    <t>GRT-YD00-P0BFA-156123</t>
  </si>
  <si>
    <t>General Arrangement NSPB-1</t>
  </si>
  <si>
    <t>GRT-YD00-P0BFA-156126</t>
  </si>
  <si>
    <t>General Arrangement NSPB-2</t>
  </si>
  <si>
    <t>GRT-XW03-P0ZEN-156192</t>
  </si>
  <si>
    <t>150kV Grati Switchgear Single Line Diagram Diameter</t>
  </si>
  <si>
    <t>GRT-VS02-P0BTL-156359</t>
  </si>
  <si>
    <t>Battery Rack 2000AH for UPS System</t>
  </si>
  <si>
    <t>GRT-PP-IP-DT-180852</t>
  </si>
  <si>
    <t>GRT-VS02-P0BTL-156365</t>
  </si>
  <si>
    <t>Battery Rack 800AH for DC System</t>
  </si>
  <si>
    <t>GRT-XB02-P0BAA-156313</t>
  </si>
  <si>
    <t>Layout Foundation Detail of 15. 75kV IPBD</t>
  </si>
  <si>
    <t>GRT-YD00-P0BFA-156018</t>
  </si>
  <si>
    <t>General Arrangement LV Switchgear 1</t>
  </si>
  <si>
    <t>GRT-PP-IP-DT-170336</t>
  </si>
  <si>
    <t>0007.001/C.1.2.15.01/E04/PLNE/XII/2017</t>
  </si>
  <si>
    <t>GRT-YD00-P0BFB-156023</t>
  </si>
  <si>
    <t>General Arrangement LV Switchgear 2</t>
  </si>
  <si>
    <t>GRT-YD00-P0BFC-156028</t>
  </si>
  <si>
    <t>General Arrangement LV Switchgear 3</t>
  </si>
  <si>
    <t>GRT-YD00-P0BFD-156033</t>
  </si>
  <si>
    <t>General Arrangement LV Switchgear 4</t>
  </si>
  <si>
    <t>GRT-YD00-P0BJA-156038</t>
  </si>
  <si>
    <t>General Arrangement STG Unit MCC</t>
  </si>
  <si>
    <t>GRT-YD00-P0BJA-156043</t>
  </si>
  <si>
    <t>General Arrangement STG PDB</t>
  </si>
  <si>
    <t>GRT-YD00-P0BJC-156048</t>
  </si>
  <si>
    <t>General Arrangement HRSG Unit MCC</t>
  </si>
  <si>
    <t>GRT-YD00-P0BJD-156053</t>
  </si>
  <si>
    <t>GRT-YD00-P0BJE-156058</t>
  </si>
  <si>
    <t>General Arrangement Valve PDB</t>
  </si>
  <si>
    <t>GRT-YD00-P0BJF-156063</t>
  </si>
  <si>
    <t>General Arrangement BOP Essential MCC</t>
  </si>
  <si>
    <t>GRT-YD00-P0BJG-156068</t>
  </si>
  <si>
    <t>General Arrangement Space Heater Panel</t>
  </si>
  <si>
    <t>GRT-YD00-P0BJG-156073</t>
  </si>
  <si>
    <t>General Arrangement BOP Essential PDB</t>
  </si>
  <si>
    <t>GRT-YD00-P0BJJ-156078</t>
  </si>
  <si>
    <t>General Arrangement Feeder UPS-01</t>
  </si>
  <si>
    <t>GRT-YD00-P0BJK-156083</t>
  </si>
  <si>
    <t>General Arrangement Feeder UPS-02</t>
  </si>
  <si>
    <t>GRT-YD00-P0BJL-156088</t>
  </si>
  <si>
    <t>General Arrangement Feeder Normal Lighting</t>
  </si>
  <si>
    <t>GRT-YD00-P0BJN-156093</t>
  </si>
  <si>
    <t>General Arrangement HVAC</t>
  </si>
  <si>
    <t>GRT-YT01-P0BJP-156315</t>
  </si>
  <si>
    <t>Data Sheet HRSG PDB-3</t>
  </si>
  <si>
    <t>GRT-YT01-P0BJ0-156315</t>
  </si>
  <si>
    <t>Data Sheet HRSG PDB-2</t>
  </si>
  <si>
    <t>GRT-YT01-P0BJN-156310</t>
  </si>
  <si>
    <t>Data Sheet HRSG PDB-1</t>
  </si>
  <si>
    <t>GRT-YT01-P0BJN-156096</t>
  </si>
  <si>
    <t>Data Sheet Feeder HVAC</t>
  </si>
  <si>
    <t>GRT-YT01-P0BJL-156091</t>
  </si>
  <si>
    <t>Data Sheet Feeder Normal Lighting</t>
  </si>
  <si>
    <t>GRT-YT01-P0BJK-156086</t>
  </si>
  <si>
    <t>Data Sheet Feeder UPS-2</t>
  </si>
  <si>
    <t>GRT-YT01-P0BJJ-156081</t>
  </si>
  <si>
    <t>Data Sheet Feeder UPS-1</t>
  </si>
  <si>
    <t>GRT-YT01-P0BJH-156076</t>
  </si>
  <si>
    <t>Data Sheet BOP  Essensial PDB</t>
  </si>
  <si>
    <t>GRT-YT01-P0BJG-156071</t>
  </si>
  <si>
    <t>Data Sheet Space Heater Panel</t>
  </si>
  <si>
    <t>GRT-YT01-P0BJF-156066</t>
  </si>
  <si>
    <t>Data Sheet BOP Essential MCC</t>
  </si>
  <si>
    <t>GRT-YT01-P0BJE-156061</t>
  </si>
  <si>
    <t>Data Sheet Valve PDB</t>
  </si>
  <si>
    <t>GRT-YT01-P0BJC-156051</t>
  </si>
  <si>
    <t>Data Sheet HRSG Unit MCC</t>
  </si>
  <si>
    <t>GRT-YT01-P0BJB-156046</t>
  </si>
  <si>
    <t>Data Sheet STG PDB</t>
  </si>
  <si>
    <t>GRT-YT01-P0BJA-156041</t>
  </si>
  <si>
    <t>Data Sheet STG Unit MCC</t>
  </si>
  <si>
    <t>GRT-YT01-P0BFD-156036</t>
  </si>
  <si>
    <t>Data Sheet LV Switchgear 4</t>
  </si>
  <si>
    <t>GRT-YT01-P0BFC-156031</t>
  </si>
  <si>
    <t>Data Sheet LV Switchgear 3</t>
  </si>
  <si>
    <t>GRT-YT01-P0BFB-156026</t>
  </si>
  <si>
    <t>Data Sheet LV Switchgear 2</t>
  </si>
  <si>
    <t>GRT-YT01-P0BFA-156021</t>
  </si>
  <si>
    <t>Data Sheet LV Switchgear 1</t>
  </si>
  <si>
    <t>GRT-YT01-P0BJP-156317</t>
  </si>
  <si>
    <t>General Arrangement HRSG PDB-3</t>
  </si>
  <si>
    <t>GRT-YT01-P0BJ0-156312</t>
  </si>
  <si>
    <t>General Arrangement HRSG PDB-2</t>
  </si>
  <si>
    <t>GRT-YT01-P0BJN-156307</t>
  </si>
  <si>
    <t>General Arrangement HRSG PDB-1</t>
  </si>
  <si>
    <t>GRT-DD00-P0BAA-156306</t>
  </si>
  <si>
    <t>Type Test Reports for 15.75kV IPBD</t>
  </si>
  <si>
    <t>GRT-DN03-P0BAA-156308</t>
  </si>
  <si>
    <t>Site Inspection &amp;Test Plan for 15.75kV IPBD</t>
  </si>
  <si>
    <t>GRT-PP-IP-DT-170353</t>
  </si>
  <si>
    <t>GRT-YB10-P0UBL-156315</t>
  </si>
  <si>
    <t>Support Structure Detail of 15.75kV IPBD</t>
  </si>
  <si>
    <t>GRT-CC03-P0UGD-175466</t>
  </si>
  <si>
    <t>Raw Water Tank Concrete Structure Foundation Plan, Detail &amp; Schedule</t>
  </si>
  <si>
    <t>GRT-CC03-P0UGD-175468</t>
  </si>
  <si>
    <t>Make up Demin Water Tank Concrete Structure Foundation Plant, Detail &amp; Schedule</t>
  </si>
  <si>
    <t>GRT-CC07-P0UGD-175465</t>
  </si>
  <si>
    <t>Calculation Sheet for Raw Water Tank Foundation</t>
  </si>
  <si>
    <t>GRT-CC07-P0UGD-175467</t>
  </si>
  <si>
    <t>Calculation Sheet for Make –up Demin Water Tank Foundation</t>
  </si>
  <si>
    <t>GRT-CC06-P0UMA-175272</t>
  </si>
  <si>
    <t>Calculation Sheet for Steam Turbine Building Foundation</t>
  </si>
  <si>
    <t>GRT-CC00-P0UGD-175395</t>
  </si>
  <si>
    <t>Fire Fighting Shelter Architectural Plan, View, Section &amp; Finishing Schedule</t>
  </si>
  <si>
    <t>GRT-PP-IP-DT-170178</t>
  </si>
  <si>
    <t>GRT-CA01-P0UGD-175563</t>
  </si>
  <si>
    <t>Water Treatment Plant Concrete Structure Section and Detail</t>
  </si>
  <si>
    <t>GRT-CA01-P0UGD-175564</t>
  </si>
  <si>
    <t>GRT-CC03-P0UBN-175568</t>
  </si>
  <si>
    <t>Emergency Diesel Generator Concrete Structure Foundation Plan &amp; Detail</t>
  </si>
  <si>
    <t>GRT-CC07-P0UBN-175569</t>
  </si>
  <si>
    <t>Calculation Sheet for EDG Foundation</t>
  </si>
  <si>
    <t>GRT-CC03-P0UMA-175596</t>
  </si>
  <si>
    <t>Calculation Sheet for Underground Facility</t>
  </si>
  <si>
    <t>GRT-CC03-P0UMA-175597</t>
  </si>
  <si>
    <t>Cable Trench and Duct Bank General Layout</t>
  </si>
  <si>
    <t>GRT-CC03-P0UMA-175598</t>
  </si>
  <si>
    <t>Cable Trench and Duct Bank Lay out Area 1</t>
  </si>
  <si>
    <t>GRT-CC03-P0UMA-175599</t>
  </si>
  <si>
    <t>Cable Trench and Duct Bank Lay out Area 2</t>
  </si>
  <si>
    <t>GRT-CC03-P0UMA-175600</t>
  </si>
  <si>
    <t>Cable Trench and Duct Bank Lay out Area 3</t>
  </si>
  <si>
    <t>GRT-CC03-P0UMA-175601</t>
  </si>
  <si>
    <t>Cable Trench and Duct Bank Detail</t>
  </si>
  <si>
    <t>GRT-PP-IP-DT-180524 (EMAIL)</t>
  </si>
  <si>
    <t>GRT-CC03-P0UMA-175602</t>
  </si>
  <si>
    <t>GRT-PP-IP-DT-190925 (DCR0015)</t>
  </si>
  <si>
    <t>GRT-CC03-P0UMA-175603</t>
  </si>
  <si>
    <t>Cable Pit Foundation Detail</t>
  </si>
  <si>
    <t>GRT-CC03-P0UMA-175604</t>
  </si>
  <si>
    <t>Culvert Detail, Section &amp; Schedule  (1/2)</t>
  </si>
  <si>
    <t>GRT-CC03-P0UMA-175605</t>
  </si>
  <si>
    <t>Culvert Detail, Section &amp; Schedule  (2/2)</t>
  </si>
  <si>
    <t>GRT-CC03-P0UMA-175606</t>
  </si>
  <si>
    <t>Culvert, Detail &amp; Section</t>
  </si>
  <si>
    <t>GRT-CA00-P0PAC-175607</t>
  </si>
  <si>
    <t>Calculation Sheet for Intake Electrical Building</t>
  </si>
  <si>
    <t>GRT-CA01-P0PAC-175608</t>
  </si>
  <si>
    <t>Intake Electrical Building Architectural Plan, View, Section, &amp; Finishing Schedule</t>
  </si>
  <si>
    <t>GRT-CA01-P0PAC-175609</t>
  </si>
  <si>
    <t>Intake Electrical Building Foundation, Floor, &amp; Roof  Plant, Section, Detail Grade Beam, Slab, &amp; Column Schedule</t>
  </si>
  <si>
    <t>GRT-CC07-P0UZEN-175475</t>
  </si>
  <si>
    <t>Calculation Sheet for Liquefaction potential Check</t>
  </si>
  <si>
    <t>GRT-CC04-P1UHA-175617</t>
  </si>
  <si>
    <t>HRSG Foundation Plan and Section</t>
  </si>
  <si>
    <t>GRT-PP-IP-DT-191050</t>
  </si>
  <si>
    <t>024/061/GRT/UPR/2019</t>
  </si>
  <si>
    <t>GRT-CC04-P1UHA-175616</t>
  </si>
  <si>
    <t>HRSG Concrete Layout</t>
  </si>
  <si>
    <t>GRTBCP-YS01-P0BJP-156020</t>
  </si>
  <si>
    <t>Schematic Diagram LV Switch Gear 1</t>
  </si>
  <si>
    <t>GRTBCP-YS01-P0BFB-156025</t>
  </si>
  <si>
    <t>Schematic Diagram LV Switch Gear 2</t>
  </si>
  <si>
    <t>GRTBCP-YS01-P0BFC-156030</t>
  </si>
  <si>
    <t>Schematic Diagram LV Switch Gear 3</t>
  </si>
  <si>
    <t>27-Des-17</t>
  </si>
  <si>
    <t>GRTBCP-YS01-P0BFD-156035</t>
  </si>
  <si>
    <t>Schematic Diagram LV Switch Gear 4</t>
  </si>
  <si>
    <t>GRTBCP-YS01-P0BJA-156040</t>
  </si>
  <si>
    <t>Schematic Diagram STG Unit MCC</t>
  </si>
  <si>
    <t>GRTBCP-YS01-P0BJB-156045</t>
  </si>
  <si>
    <t>Schematic Diagram STG PDB</t>
  </si>
  <si>
    <t>GRTBCP-YS01-P0BJC-156050</t>
  </si>
  <si>
    <t>Schematic Diagram HRSG Unit MCC</t>
  </si>
  <si>
    <t>GRTBCP-YS01-P0BJD-156055</t>
  </si>
  <si>
    <t>Schematic Diagram HRSG PDB</t>
  </si>
  <si>
    <t>GRTBCP-YS01-P0BJE-156060</t>
  </si>
  <si>
    <t>Schematic Diagram Valve PDB</t>
  </si>
  <si>
    <t>GRTBCP-YS01-P0BJF-156065</t>
  </si>
  <si>
    <t>Schematic Diagram BOP Essential MCC</t>
  </si>
  <si>
    <t>GRTBCP-YS01-P0BJG-156070</t>
  </si>
  <si>
    <t>Schematic Diagram Space Heater Panel</t>
  </si>
  <si>
    <t>GRTBCP-YS01-P0BJH-156075</t>
  </si>
  <si>
    <t>Schematic Diagram BOP Essential PDB</t>
  </si>
  <si>
    <t>GRTBCP-YS01-P0BJJ-156080</t>
  </si>
  <si>
    <t>Schematic Diagram Feeder UPS-01</t>
  </si>
  <si>
    <t>GRTBCP-YS01-P0BJK-156085</t>
  </si>
  <si>
    <t>Schematic Diagram Feeder UPS-02</t>
  </si>
  <si>
    <t>GRTBCP-YS01-P0BJL-156090</t>
  </si>
  <si>
    <t>Schematic Diagram Feeder Normal Lighting</t>
  </si>
  <si>
    <t>GRTBCP-YS01-P0BJM-156095</t>
  </si>
  <si>
    <t>Schematic Diagram Feeder HVAC</t>
  </si>
  <si>
    <t>GRTBCP-YS01-P0BJN-156398</t>
  </si>
  <si>
    <t>Schematic Diagram HRSG PDB-01</t>
  </si>
  <si>
    <t>GRTBCP-YS01-P0BJO-156403</t>
  </si>
  <si>
    <t>Schematic Diagram HRSG PDB-02</t>
  </si>
  <si>
    <t>GRTBCP-YS01-P0BJP-156408</t>
  </si>
  <si>
    <t>Schematic Diagram HRSG PDB-03</t>
  </si>
  <si>
    <t>GRT-YU01-P0BFA-156019</t>
  </si>
  <si>
    <t>Single Line Diagram LV Switchgear 1</t>
  </si>
  <si>
    <t>GRT-YU01-P0BFB-156024</t>
  </si>
  <si>
    <t>Single Line Diagram LV Switchgear 2</t>
  </si>
  <si>
    <t>GRT-YU01-P0BFC-156029</t>
  </si>
  <si>
    <t>Single Line Diagram LV Switchgear 3</t>
  </si>
  <si>
    <t>GRT-YU01-P0BFD-156034</t>
  </si>
  <si>
    <t>Single Line Diagram LV Switchgear 4</t>
  </si>
  <si>
    <t>GRT-YU01-P0BJA-156039</t>
  </si>
  <si>
    <t>Single Line Diagram STG Unit MCC</t>
  </si>
  <si>
    <t>GRT-PP-IP-DT-191475</t>
  </si>
  <si>
    <t>GRT-YU01-P0BJA-156044</t>
  </si>
  <si>
    <t>Single Line Diagram STG  PDB</t>
  </si>
  <si>
    <t>GRT-YU01-P0BJC-156049</t>
  </si>
  <si>
    <t>Single Line Diagram HRSG Unit MCC</t>
  </si>
  <si>
    <t>GRT-YU01-P0BJP-156054</t>
  </si>
  <si>
    <t>Single Line Diagram HRSG PDB</t>
  </si>
  <si>
    <t>GRT-YU01-P0BJE-156059</t>
  </si>
  <si>
    <t>Single Line Diagram Valve PDB</t>
  </si>
  <si>
    <t>GRT-YU01-P0BJF-156064</t>
  </si>
  <si>
    <t>Single Line Diagram BOP Essensial MCC</t>
  </si>
  <si>
    <t>GRT-YU01-P0BJG-156069</t>
  </si>
  <si>
    <t>Single Line Diagram Space Heater Panel</t>
  </si>
  <si>
    <t>GRT-YU01-P0BJH-156074</t>
  </si>
  <si>
    <t>Single Line Diagram BOP Essensial PDB</t>
  </si>
  <si>
    <t>GRT-YU01-P0BJJ-156079</t>
  </si>
  <si>
    <t>Single Line Diagram Feeder UPS-01</t>
  </si>
  <si>
    <t>GRT-YU01-P0BJK-156084</t>
  </si>
  <si>
    <t>Single Line Diagram Feeder UPS-02</t>
  </si>
  <si>
    <t>GRT-YU01-P0BJL-156089</t>
  </si>
  <si>
    <t>Single Line Diagram Feeder Normal Lighting</t>
  </si>
  <si>
    <t>GRT-YU01-P0BJM-156094</t>
  </si>
  <si>
    <t>Single Line Diagram Feeder HVAC</t>
  </si>
  <si>
    <t>GRT-YU01-P0BJM-156099</t>
  </si>
  <si>
    <t>Single Line Diagram Feeder PDB-01</t>
  </si>
  <si>
    <t>GRT-YU01-P0BJO-156104</t>
  </si>
  <si>
    <t>Single Line Diagram Feeder PDB-02</t>
  </si>
  <si>
    <t>GRT-YU01-P0BJP-156109</t>
  </si>
  <si>
    <t>Single Line Diagram Feeder PDB-03</t>
  </si>
  <si>
    <t>GRT-CC07-PIUHA-175610</t>
  </si>
  <si>
    <t>Calculation Sheet for Elevator Structure and Foundation</t>
  </si>
  <si>
    <t>GRT-CC03-P1UHA-175611</t>
  </si>
  <si>
    <t>Elevation HRSG Foundation Plan, detail &amp; Section</t>
  </si>
  <si>
    <t>GRT-PP-IP-DT-190925 (DCR0014)</t>
  </si>
  <si>
    <t>GRT-CC04-P1UHA-175612</t>
  </si>
  <si>
    <t>Elevation HRSG Steel Structure Column Arrangement &amp; Member Schedule</t>
  </si>
  <si>
    <t>GRT-CC04-P1UHA-175613</t>
  </si>
  <si>
    <t>Elevation HRSG Steel Structure Framing Elevation</t>
  </si>
  <si>
    <t>GRT-CC04-P1UHA-175614</t>
  </si>
  <si>
    <t>Elevation HRSG Steel Structure Stairway Detail &amp; Section</t>
  </si>
  <si>
    <t>GRT-CC04-P1UHA-175615</t>
  </si>
  <si>
    <t>Elevator HRSG Architectural Plan, Detail, &amp; Finishing Schedule</t>
  </si>
  <si>
    <t>GRT-PP-IP-DT-170352</t>
  </si>
  <si>
    <t>GRT-FF01-P0SGA-125501</t>
  </si>
  <si>
    <t>General Arrangement Drawing Fire Pump</t>
  </si>
  <si>
    <t>GRT-YD00-P0ZEN-120003</t>
  </si>
  <si>
    <t>General Arrangement Make up Demin Tank Capacity 1000 M3</t>
  </si>
  <si>
    <t>GRT-YD00-P0ZEN-120007</t>
  </si>
  <si>
    <t xml:space="preserve">Roof Rafter Assembly Section &amp; Detail Make up Demin Tank </t>
  </si>
  <si>
    <t>GRT-YD00-P0ZEN-120010</t>
  </si>
  <si>
    <t>Shell Manhole Section &amp; Detail Make Up Demin Tank</t>
  </si>
  <si>
    <t>GRT-YD00-P0ZEN-120018</t>
  </si>
  <si>
    <t>Anchor Bolt Arrangemnt Section &amp; Detail Make Up Demin Tank</t>
  </si>
  <si>
    <t>GRT-YD00-P0ZEN-120004</t>
  </si>
  <si>
    <t>Shell Plate Arrangement Section &amp; Detail Make up Demin Tank</t>
  </si>
  <si>
    <t>GRT-YD00-P0ZEN-120005</t>
  </si>
  <si>
    <t>Bottom Plate Arrangement Section &amp; Detail Make Up Demin Tank</t>
  </si>
  <si>
    <t>GRT-YD00-P0ZEN-120006</t>
  </si>
  <si>
    <t>Roof Plate Arrangement Section &amp; Detail Make up Demin Tank</t>
  </si>
  <si>
    <t>GRT-YD00-P0ZEN-120017</t>
  </si>
  <si>
    <t>Roof Manhole Section &amp; Detail Make up Demin Tank</t>
  </si>
  <si>
    <t>GRT-YD00-P0UGD-120032</t>
  </si>
  <si>
    <t>General Arrangement Drawing</t>
  </si>
  <si>
    <t>0020.001/C.1.2.17.01/E04/PLNE/XI/2017</t>
  </si>
  <si>
    <t>GRT-YD00-P0UGD-120034</t>
  </si>
  <si>
    <t>Roof Manhole Scetion and Detail</t>
  </si>
  <si>
    <t>GRT-YD00-P0UGD-120035</t>
  </si>
  <si>
    <t>Roof Structure Assembling Section &amp; Detail</t>
  </si>
  <si>
    <t>GRT-XW03-P0UGD-120002</t>
  </si>
  <si>
    <t>Mechanical Calculation &amp; Orentation</t>
  </si>
  <si>
    <t>GRT-YD00-P0UGD-120033</t>
  </si>
  <si>
    <t>Bottom Plate Arrangement Section &amp; Detail</t>
  </si>
  <si>
    <t>GRT-YD00-P0UGD-120036</t>
  </si>
  <si>
    <t xml:space="preserve">Stairway Arrangement </t>
  </si>
  <si>
    <t>GRT-YD00-P0UGD-120037</t>
  </si>
  <si>
    <t>Shell Manhole Section &amp; Detail</t>
  </si>
  <si>
    <t>GRT-YD00-P0UGD-120038</t>
  </si>
  <si>
    <t>Roof Plate Arrangement Section &amp; Detail</t>
  </si>
  <si>
    <t>GRT-YD00-P0UGD-120039</t>
  </si>
  <si>
    <t>Roof Handril Detail</t>
  </si>
  <si>
    <t>GRT-YT01-P0ZEN-145568</t>
  </si>
  <si>
    <t>Data Sheet for rubber Expansion Join</t>
  </si>
  <si>
    <t>GRT-PP-IP-DT-170279</t>
  </si>
  <si>
    <t>GRT-UE00-P0ZEN-145571</t>
  </si>
  <si>
    <t>General Arrangement for Rubber Expansion Joint</t>
  </si>
  <si>
    <t>GRT-PP-KSB-P1702024-ME-002</t>
  </si>
  <si>
    <t>ME-002</t>
  </si>
  <si>
    <t>Mechanical Data Sheet for CWP Pump</t>
  </si>
  <si>
    <t>GRT - YL16 - P0LD - 155944</t>
  </si>
  <si>
    <t>155944</t>
  </si>
  <si>
    <t>Cable Schedule Electrical for EC</t>
  </si>
  <si>
    <t>GRT - YL16 - P0LD - 155945</t>
  </si>
  <si>
    <t>155945</t>
  </si>
  <si>
    <t>Cable Schedule Instrument for EC</t>
  </si>
  <si>
    <t>GRT - YL16 - P0LD - 155848</t>
  </si>
  <si>
    <t>Cable Schedule Electrical for WTP</t>
  </si>
  <si>
    <t>GRT - YL16 - P0LD - 155949</t>
  </si>
  <si>
    <t>Cable Schedule Instrument for WTP</t>
  </si>
  <si>
    <t>GRT-PP-IP-DT-190929 (DCR0018)</t>
  </si>
  <si>
    <t>GRT - YT01 - P0GCK - 126801</t>
  </si>
  <si>
    <t>126801</t>
  </si>
  <si>
    <t>Data Sheet Make Up Demin Water Pump</t>
  </si>
  <si>
    <t>GRT-PP-IP-DT-180407</t>
  </si>
  <si>
    <t>GRT - YT01 - P0GCK - 126802</t>
  </si>
  <si>
    <t>126802</t>
  </si>
  <si>
    <t>Data Sheet Blow Down Transfer Pump</t>
  </si>
  <si>
    <t>GRT - YT01 - P0GCK - 126803</t>
  </si>
  <si>
    <t>126803</t>
  </si>
  <si>
    <t>Data Sheet Service Water Pump</t>
  </si>
  <si>
    <t>GRT - YT01 - P0GCK - 126804</t>
  </si>
  <si>
    <t>126804</t>
  </si>
  <si>
    <t>Data Sheet Auxiliary Service Water Pump</t>
  </si>
  <si>
    <t>GRT - YT01 - P0GCK - 126805</t>
  </si>
  <si>
    <t>126805</t>
  </si>
  <si>
    <t>Data Sheet Accumulation Sump Pit Pump</t>
  </si>
  <si>
    <t>GRT - YT01 - P0GCK - 126806</t>
  </si>
  <si>
    <t>126806</t>
  </si>
  <si>
    <t>Data Sheet HRSG Sump Pit Pump</t>
  </si>
  <si>
    <t>GRT - YT01 - P0GCK - 126807</t>
  </si>
  <si>
    <t>126807</t>
  </si>
  <si>
    <t>Data Sheet CEP Sump Pit Pump</t>
  </si>
  <si>
    <t>GRT - YT01 - P0GCK - 126808</t>
  </si>
  <si>
    <t>126808</t>
  </si>
  <si>
    <t>Data Sheet Sea Water Drain Pump</t>
  </si>
  <si>
    <t>GRT-PP-MAR-0000</t>
  </si>
  <si>
    <t>0000</t>
  </si>
  <si>
    <t>Material Approval Painting Raw Tank</t>
  </si>
  <si>
    <t>GRT-XW03-P0ZEN-156273</t>
  </si>
  <si>
    <t>156273</t>
  </si>
  <si>
    <t>150 kV Grati Switchgear Calculation Note High Voltage</t>
  </si>
  <si>
    <t>GRT-XW03-P0ZEN-156274</t>
  </si>
  <si>
    <t>156274</t>
  </si>
  <si>
    <t>150 kV Grati Switchgear Calculation Note lightning Arrester Checking</t>
  </si>
  <si>
    <t>GRT-PP-IP-DT-180408</t>
  </si>
  <si>
    <t>0009.001/C.I.2.17.01/E04/PLNE/II/2018</t>
  </si>
  <si>
    <t>GRT-XW03-P0ZEN-156276</t>
  </si>
  <si>
    <t>156276</t>
  </si>
  <si>
    <t>150 kV Grati Switchgear Calculation Note lightning Protection Zone</t>
  </si>
  <si>
    <t>GRT-PP-IP-DT-191059</t>
  </si>
  <si>
    <t>Deem to approved</t>
  </si>
  <si>
    <t>GRT-YR02-P0ZEN-156185</t>
  </si>
  <si>
    <t>156185</t>
  </si>
  <si>
    <t>Common Switchgear Technical Specification Insulators</t>
  </si>
  <si>
    <t>GRT-YR02-P0ZEN-156186</t>
  </si>
  <si>
    <t>156186</t>
  </si>
  <si>
    <t>150 kV Grati Switchgear Technical Soecification Earthing Material</t>
  </si>
  <si>
    <t>GRT-YR02-P0ZEN-156187</t>
  </si>
  <si>
    <t>156187</t>
  </si>
  <si>
    <t>Common Switchgear Technical Specification Conductor</t>
  </si>
  <si>
    <t>GRT-YR02-P0ZEN-156188</t>
  </si>
  <si>
    <t>156188</t>
  </si>
  <si>
    <t>Common Switchgear Technical Specification String Hardware</t>
  </si>
  <si>
    <t>GRT-YR02-P0ZEN-156189</t>
  </si>
  <si>
    <t>156189</t>
  </si>
  <si>
    <t>Common Switchgear Technical Specification Connector</t>
  </si>
  <si>
    <t>GRT-PP-IP-DT-180569</t>
  </si>
  <si>
    <t>GRT-YS01-P0ZEN-156196</t>
  </si>
  <si>
    <t>156196</t>
  </si>
  <si>
    <t>150 kV Grati Switchgear Schematic Diagram Diameter 1</t>
  </si>
  <si>
    <t>GRTBCP-YS01-P0BBA-156005</t>
  </si>
  <si>
    <t>156005</t>
  </si>
  <si>
    <t>Schematic Diagram MV Switchgear 6,3kV</t>
  </si>
  <si>
    <t>GRT-PP-IP-DT-180574</t>
  </si>
  <si>
    <t>GRTSCH-YD00-P0BAC-150005</t>
  </si>
  <si>
    <t>150005</t>
  </si>
  <si>
    <t>SF6 Pressure Scale</t>
  </si>
  <si>
    <t>GRTSCH-YD00-P0BAC-150004</t>
  </si>
  <si>
    <t>150004</t>
  </si>
  <si>
    <t>Name Plate</t>
  </si>
  <si>
    <t>GRTSCH-YD00-P0BAC-150003</t>
  </si>
  <si>
    <t>150003</t>
  </si>
  <si>
    <t>Interlocking Diagram</t>
  </si>
  <si>
    <t>GRTSCH-YS01-P0BAC-150006</t>
  </si>
  <si>
    <t>150006</t>
  </si>
  <si>
    <t>Electrical Diagram</t>
  </si>
  <si>
    <t>GRT-YS18-P0BTL-156176</t>
  </si>
  <si>
    <t>156176</t>
  </si>
  <si>
    <t>Battery Charger Circuit</t>
  </si>
  <si>
    <t>GRT-YT02-P0MJY-156171</t>
  </si>
  <si>
    <t>156171</t>
  </si>
  <si>
    <t>Flame and Smoke Detector Specification Sheet</t>
  </si>
  <si>
    <t>GRT-PP-IP-DT-191518</t>
  </si>
  <si>
    <t>GRT-US02-P0MJY-156156</t>
  </si>
  <si>
    <t>156156</t>
  </si>
  <si>
    <t>Local Electrical Panel Bom and Drawing</t>
  </si>
  <si>
    <t>GRT-MA01-P0AY-156172</t>
  </si>
  <si>
    <t>156172</t>
  </si>
  <si>
    <t>IO List Communication to DCS</t>
  </si>
  <si>
    <t>GRT-PP-IP-DT-191512</t>
  </si>
  <si>
    <t>GRT-YF01-P0MJ-156169</t>
  </si>
  <si>
    <t>156169</t>
  </si>
  <si>
    <t>Termination Diagram for EDG</t>
  </si>
  <si>
    <t>GRT-PP-IP-DT-191510</t>
  </si>
  <si>
    <t>GRT-CC04-P0ZEN-156244</t>
  </si>
  <si>
    <t>156244</t>
  </si>
  <si>
    <t>Common Switchgear Steel Structure C.V.T. SUPPORT H=2.1m - IB575</t>
  </si>
  <si>
    <t>GRT-CC04-P0ZEN-156239</t>
  </si>
  <si>
    <t>156239</t>
  </si>
  <si>
    <t>Common Switchgear Steel Structure C.T. SUPPORT - H = 4M - IB560</t>
  </si>
  <si>
    <t>GRT-PP-IP-DT-180826</t>
  </si>
  <si>
    <t>GRT-CC04-P0ZEN-156241</t>
  </si>
  <si>
    <t>156241</t>
  </si>
  <si>
    <t>Common Switchgear Steel Structure 3 Pole Disconnector Support - IB571 (S2DA)</t>
  </si>
  <si>
    <t>GRT-CC04-P0ZEN-156242</t>
  </si>
  <si>
    <t>156242</t>
  </si>
  <si>
    <t>Common Switchgear Steel Structure Disconnector Support - IB572 (S2DAT)</t>
  </si>
  <si>
    <t>GRT-CC04-P0ZEN-156247</t>
  </si>
  <si>
    <t>156247</t>
  </si>
  <si>
    <t>Common Switchgear Steel Structure CSE SUPPORT - IB583</t>
  </si>
  <si>
    <t>GRT-CC04-P0ZEN-156249</t>
  </si>
  <si>
    <t>156249</t>
  </si>
  <si>
    <t>Common Switchgear Steel Structure SA SUPPORT H=4M - IB574</t>
  </si>
  <si>
    <t>GRT-XW03-P0ZEN-156181</t>
  </si>
  <si>
    <t>156181</t>
  </si>
  <si>
    <t>150 KV Switchgear Calculation Note Battery &amp; Chargear</t>
  </si>
  <si>
    <t>GRT-XG11-P0AE-156349</t>
  </si>
  <si>
    <t>156349</t>
  </si>
  <si>
    <t>Schematic Line Diagram Cable 150KV</t>
  </si>
  <si>
    <t>GRT-XW03-P0ZEN-156183</t>
  </si>
  <si>
    <t>156183</t>
  </si>
  <si>
    <t>150kV Grati Switchgear Technical Specification Protective Relays</t>
  </si>
  <si>
    <t>GRT-XW03-P0ZEN-156184</t>
  </si>
  <si>
    <t>156184</t>
  </si>
  <si>
    <t>150kV Grati Switchgear Technical Specification Low Voltage Cable</t>
  </si>
  <si>
    <t>GRT-XW03-P0ZEN-156193</t>
  </si>
  <si>
    <t>150kV Grati Switchgear 110V DC Single Line Diagram</t>
  </si>
  <si>
    <t>GRT-XW03-P0ZEN-156209</t>
  </si>
  <si>
    <t>156209</t>
  </si>
  <si>
    <t>150KV Grati Switchgear Outdoor Installation Switchyard Layout</t>
  </si>
  <si>
    <t>GRT-XW03-P0ZEN-156195</t>
  </si>
  <si>
    <t>156195</t>
  </si>
  <si>
    <t>150 KV Switchgear Principle Diagram</t>
  </si>
  <si>
    <t>GRT-XW03-P0ZEN-156206</t>
  </si>
  <si>
    <t>156206</t>
  </si>
  <si>
    <t>150 KV Switchgear Technical Specification Cable Sealing End (CSE)</t>
  </si>
  <si>
    <t>GRT-XW03-P0ZEN-156210</t>
  </si>
  <si>
    <t>156210</t>
  </si>
  <si>
    <t>150kV Grati Switchgear Outdoor Installation Diameter 1</t>
  </si>
  <si>
    <t>-</t>
  </si>
  <si>
    <t>GRT-XW03-P0ZEN-156211</t>
  </si>
  <si>
    <t>156211</t>
  </si>
  <si>
    <t>150kV Grati Switchgear Outdoor Installation Diameter X</t>
  </si>
  <si>
    <t>GRT-XW03-P0ZEN-156213</t>
  </si>
  <si>
    <t>156213</t>
  </si>
  <si>
    <t>150kV Grati Switchgear Outdoor Installation Lightning Protection Zone</t>
  </si>
  <si>
    <t>GRT-XW03-P0ZEN-156221</t>
  </si>
  <si>
    <t>156221</t>
  </si>
  <si>
    <t>150 KV Switchgear Cable List Diameter 1</t>
  </si>
  <si>
    <t>GRT-PP-IP-DT-191180</t>
  </si>
  <si>
    <t>GRT-XW03-P0ZEN-156222</t>
  </si>
  <si>
    <t>156222</t>
  </si>
  <si>
    <t>150 KV Switchgear Cable List Diameter X</t>
  </si>
  <si>
    <t>GRT-XW03-P0ZEN-156226</t>
  </si>
  <si>
    <t>156226</t>
  </si>
  <si>
    <t>150 KV Switchgear Connection Diagram Diameter 1</t>
  </si>
  <si>
    <t xml:space="preserve">GRT-PP-IP-DT-191115  </t>
  </si>
  <si>
    <t>GRT-XW03-P0ZEV-156227</t>
  </si>
  <si>
    <t>156227</t>
  </si>
  <si>
    <t>150 KV Switchgear Connection Diagram Diameter X</t>
  </si>
  <si>
    <t>GRT-XW03-P0ZEN-156248</t>
  </si>
  <si>
    <t>156248</t>
  </si>
  <si>
    <t>150 KV Switchgear Earthing And Mounting Principle Drawing</t>
  </si>
  <si>
    <t>GRT-YS01-P0ZEN-156197</t>
  </si>
  <si>
    <t>156197</t>
  </si>
  <si>
    <t>150KV GRATI. Switchgear Schematic Diagram Diameter X</t>
  </si>
  <si>
    <t xml:space="preserve">DRM_22-24MAY2019 </t>
  </si>
  <si>
    <t>DRM_22-24MAY2019</t>
  </si>
  <si>
    <t>GRT-CC04-P0ZEN-156232</t>
  </si>
  <si>
    <t>156232</t>
  </si>
  <si>
    <t>Common Switchgear Steel Structure Tower Type P1-Bottom Part</t>
  </si>
  <si>
    <t>GRT-CC04-P0ZEN-156233</t>
  </si>
  <si>
    <t>156233</t>
  </si>
  <si>
    <t>Common Switchgear Steel Structure Tower Type P1-Top Part</t>
  </si>
  <si>
    <t>GRT-CC04-P0ZEN-156234</t>
  </si>
  <si>
    <t>156234</t>
  </si>
  <si>
    <t>Common Switchgear Steel Structure Tower Type P1- Tower Head</t>
  </si>
  <si>
    <t>GRT-CC04-P0ZEN-156236</t>
  </si>
  <si>
    <t>156236</t>
  </si>
  <si>
    <t>Common Switchgear Steel Structure Beam Type B1</t>
  </si>
  <si>
    <t>GRT-CC04-P0ZEN-156238</t>
  </si>
  <si>
    <t>156238</t>
  </si>
  <si>
    <t>Common Switchgear Steel Structure Post Insulator Support H=4.5M-IB555</t>
  </si>
  <si>
    <t>GRT-CC04-P0ZEN-156245</t>
  </si>
  <si>
    <t>156245</t>
  </si>
  <si>
    <t>Common Switchgear Steel StructureC.T Support-H=2.1M-IB576</t>
  </si>
  <si>
    <t>GRT-XA00-P0GCK-106801</t>
  </si>
  <si>
    <t>106801</t>
  </si>
  <si>
    <t>GA Drawing Make Up Demin Water Pump</t>
  </si>
  <si>
    <t>GRT-PP-IP-DT-180414</t>
  </si>
  <si>
    <t>GRT-XA00-P0GKB-106804</t>
  </si>
  <si>
    <t>106804</t>
  </si>
  <si>
    <t>GA Drawing Auxiliary Water Pump</t>
  </si>
  <si>
    <t>GRT-XA00-P0LCQ-106800</t>
  </si>
  <si>
    <t>106800</t>
  </si>
  <si>
    <t xml:space="preserve">GA Drawing Sump Pump </t>
  </si>
  <si>
    <t>GRT-XA00-P0LCQ-106802</t>
  </si>
  <si>
    <t>106802</t>
  </si>
  <si>
    <t>GA Drawing Blow Down Transfer Water Pump</t>
  </si>
  <si>
    <t>GRT-XA00-P0PCC-106803</t>
  </si>
  <si>
    <t>106803</t>
  </si>
  <si>
    <t>GA Drawing Service Water Pump</t>
  </si>
  <si>
    <t>GRT-XW03-P0PCH-156393</t>
  </si>
  <si>
    <t>TECHNICAL INFORMATION ACWP IMPRESS CURRENT CATHODIC PROTECTION</t>
  </si>
  <si>
    <t>GRT-PP-IP-DT-191511</t>
  </si>
  <si>
    <t>GRT-XW03-P0PCH-156394</t>
  </si>
  <si>
    <t>TECHNICAL INFORMATION HEAT EXCHANGER IMPRESS CURRENT CATHODIC PROTECTION</t>
  </si>
  <si>
    <t>GRT-XW03-YD00-156395</t>
  </si>
  <si>
    <t>Cathodic Protection System ACWP</t>
  </si>
  <si>
    <t>Mini DRM 28-29 Nov 2019</t>
  </si>
  <si>
    <t>MoM Mini DRM 28-29 Nov 2019</t>
  </si>
  <si>
    <t>GRT-YD00-P0PCH-156396</t>
  </si>
  <si>
    <t>ICCP (IMPRESSED CURRENT CATHODIC PROTECTION) FOR HEAT EXCHANGER</t>
  </si>
  <si>
    <t>GRT-XW03-P0ZEN-156275</t>
  </si>
  <si>
    <t xml:space="preserve">150kV Grati Switchgear Calculation Note Compatibility CVT </t>
  </si>
  <si>
    <t>GRT-XW03-P0ZEN-156212</t>
  </si>
  <si>
    <t>150kV Grati Switchgear Outdoor Installation Busbar-Section</t>
  </si>
  <si>
    <t>GRT-YM02-P0ZEN-156207</t>
  </si>
  <si>
    <t>150kV Grati Switchgear Indoor Installation Control BLDG Equipment Layout</t>
  </si>
  <si>
    <t>GRT-CA07-P0ZEN-179031</t>
  </si>
  <si>
    <t>U-Ditch Precast Cable Trench Stability</t>
  </si>
  <si>
    <t>GRT-CA07-P0ZEN-179033</t>
  </si>
  <si>
    <t xml:space="preserve">ADDITIONAL WINGWALL INTAKE BLOCK 2 STABILITY </t>
  </si>
  <si>
    <t>GRT-XW03-P0ZEN-156191</t>
  </si>
  <si>
    <t>150KV GRATI SWITCHGEAR CALCULATION NOTE STEEL STRUCTURE – EQUIPMENT SUPPORT</t>
  </si>
  <si>
    <t>GRT-CA07-P0ZEN-179036</t>
  </si>
  <si>
    <t>CALCULATION REPORT CABLE TRENCH</t>
  </si>
  <si>
    <t>GRT-PP-IP-DT-180598</t>
  </si>
  <si>
    <t>GRT-DD02-P0ZEN-156400</t>
  </si>
  <si>
    <t>Island Mode Operation (Commissioning Procedure)</t>
  </si>
  <si>
    <t>GRT-PP-IP-DT-191169</t>
  </si>
  <si>
    <t>GRT-DD02-P0ZEN-156401</t>
  </si>
  <si>
    <t>Blackout Procedure (Commissioning Procedure)</t>
  </si>
  <si>
    <t>GRT-YK08-P0SMM-146538</t>
  </si>
  <si>
    <t>General Arrangement Rail A75 Overhead Crane</t>
  </si>
  <si>
    <t>GRT-PP-IP-DT-180740</t>
  </si>
  <si>
    <t>GRT-YK08-P0SMM-146555</t>
  </si>
  <si>
    <t>Detail Installation Rail A75 Overhead Crane</t>
  </si>
  <si>
    <t>GRT-XW03-P0ZEN-156352</t>
  </si>
  <si>
    <t>SURGE ARRESTER OUTLINE DRAWING PACKAGE</t>
  </si>
  <si>
    <t>GRT-PP-IP-DT-190970</t>
  </si>
  <si>
    <t>10/061/GRT/UPR/2018</t>
  </si>
  <si>
    <t>GRT-XW03-P0ZEN-156353</t>
  </si>
  <si>
    <t>CIRCUIT BREAKER OUTLINE DRAWING PACKAGE</t>
  </si>
  <si>
    <t>GRT-PP-IP-DT-191010</t>
  </si>
  <si>
    <t>GRT-XW03-P0ZEN-156354</t>
  </si>
  <si>
    <t>CURRENT TRANSFORMER OUTLINE DRAWING PACKAGE</t>
  </si>
  <si>
    <t>GRT-XW03-P0ZEN-156355</t>
  </si>
  <si>
    <t>DISCONNECTOR SWITCH OUTLINE DRAWING PACKAGE</t>
  </si>
  <si>
    <t>GRT-XW03-P0ZEN-156356</t>
  </si>
  <si>
    <t>CAPACITOR VOLTAGE TRANSFORMER OUTLINE DRAWING PACKAGE</t>
  </si>
  <si>
    <t>GRT-XW03-P0ZEN-156357</t>
  </si>
  <si>
    <t>DISCONNECTOR SWITCH with ES OUTLINE DRAWING PACKAGE</t>
  </si>
  <si>
    <t>GRT-HM03-P0EBM-135647</t>
  </si>
  <si>
    <t>HVAC PACKAGE</t>
  </si>
  <si>
    <t>GRT-PP-IP-DT-191161</t>
  </si>
  <si>
    <t>GRT-YS01-POLDY-155853</t>
  </si>
  <si>
    <t>Schematic Diagram for WTP (Mixed Bed)</t>
  </si>
  <si>
    <t>GRTBP-YS00-POGCK-155856</t>
  </si>
  <si>
    <t>Instrument Connection Diagram for WTP (Mixed Bed)</t>
  </si>
  <si>
    <t>GRT-PP-IP-DT-191080 (DCR 00033)</t>
  </si>
  <si>
    <t>GRT-YS00-POGCK-155951</t>
  </si>
  <si>
    <t xml:space="preserve">ELECTRICAL CONNECTION DIAGRAM FOR EC </t>
  </si>
  <si>
    <t>GRT-PP-IP-DT-180832</t>
  </si>
  <si>
    <t>GRT-YS00-POGCK-155952</t>
  </si>
  <si>
    <t>INSTRUMENT CONNECTION DIAGRAM FOR EC</t>
  </si>
  <si>
    <t>GRT-YS01-POGDY-155949</t>
  </si>
  <si>
    <t>SCHEMATIC DIAGRAM FOR EC</t>
  </si>
  <si>
    <t>GRT-YS00-P0GCK-155855</t>
  </si>
  <si>
    <t>ELECTRICAL CONNECTION DIAGRAM FOR MIXED BED</t>
  </si>
  <si>
    <t>GRT-YD00-P0GD-155839</t>
  </si>
  <si>
    <t>PANEL ARRANGEMENT (LAYOUT DRAWING)</t>
  </si>
  <si>
    <t>GRT-YS01-P0ZEN-156277</t>
  </si>
  <si>
    <t>150KV GRATI SWITCHGEAR FRONT AND INTERNAL VIEW ENERGY METER PANEL</t>
  </si>
  <si>
    <t>GRT-YS01-P0ZEN-156278</t>
  </si>
  <si>
    <t>150KV GRATI SWITCHGEAR SCHEMATIC DIAGRAM ENERGY METER PANEL</t>
  </si>
  <si>
    <t>GRT-XW03-P0ZEN-156182</t>
  </si>
  <si>
    <t>150KV GRATI GENERAL ARRANGEMENT MARSHALLING KIOSK</t>
  </si>
  <si>
    <t>GRT-YD00-YM02-156410</t>
  </si>
  <si>
    <t>GENERAL ARRANGEMENT DIFFERENTIAL PROTECTION OVERALL &amp; UAT SWITCHBOARD</t>
  </si>
  <si>
    <t>GRT-PP-IP-DT-190931</t>
  </si>
  <si>
    <t>GRT-MA01-P0ZEN-165582</t>
  </si>
  <si>
    <t>SYSTEM CONFIGURATION OF CLOCK SYSTEM</t>
  </si>
  <si>
    <t>GRT-YS02-P0ZEN-165581</t>
  </si>
  <si>
    <t>[Instrument General]     INSTRUMENT TERMINATION DIAGRAM FOR ALL AREA</t>
  </si>
  <si>
    <t>GRT-YD00-P0ZEN-165683</t>
  </si>
  <si>
    <t>GENERAL ARRANGEMENT LOCAL PANEL FIRE  FIGTHING</t>
  </si>
  <si>
    <t>GRTBP-YD00-P0GD-155935</t>
  </si>
  <si>
    <t>PANEL ARRANGEMENT OF ELECTROCHLORINATION</t>
  </si>
  <si>
    <t>GRT-YS01-P0ZEN-156358</t>
  </si>
  <si>
    <t>150KV GRATI SWITCHGEAR 400/230V AC DISTRIBUTION BOARD</t>
  </si>
  <si>
    <t>GRT-YS01-P0ZEN-156359</t>
  </si>
  <si>
    <t>150KV GRT DC DISTRIBUTION BOARD</t>
  </si>
  <si>
    <t>GRT-YT01-P0UZA-156405</t>
  </si>
  <si>
    <t>CALCULATION CATHODIC PROTECTION FOR THERMAL BARRIER</t>
  </si>
  <si>
    <t>009/061/GRT/UPR/2019</t>
  </si>
  <si>
    <t>GRT-CC03-P0PAD-175181</t>
  </si>
  <si>
    <t>Outfall Stop Log (include calculation)</t>
  </si>
  <si>
    <t>GRT-PP-IP-DT-191138</t>
  </si>
  <si>
    <t>GRT-CC09-P0UZA-175451</t>
  </si>
  <si>
    <t>Foundation Support NSPB</t>
  </si>
  <si>
    <t>GRT-PP-IP-DT-191003</t>
  </si>
  <si>
    <t>015/061/GRT/UPR/2019</t>
  </si>
  <si>
    <t>GRT-CC09-P0UZA-175452</t>
  </si>
  <si>
    <t>Calculation Sheet for Foundation Support NSPB</t>
  </si>
  <si>
    <t>GRT-CC03-POUMA-175592</t>
  </si>
  <si>
    <t>Steam Turbine Building Condensate Pump Foundation Detail (include attachment calculation)</t>
  </si>
  <si>
    <t>GRT-PP-IP-DT-190954</t>
  </si>
  <si>
    <t>005/061/GRT/UPR/2018</t>
  </si>
  <si>
    <t>GRT-CA01-P0UMA-175255 (1 OF 2)</t>
  </si>
  <si>
    <t>Steam Turbine Building Mezzanine Floor Plan El. +11.604 (T.O.C) Slab Schedule and Sections</t>
  </si>
  <si>
    <t>GRT-PP-IP-DT-190977</t>
  </si>
  <si>
    <t>011/061/GRT/UPR/2019</t>
  </si>
  <si>
    <t>GRT-CA01-P0UMA-175255 (2 OF 2)</t>
  </si>
  <si>
    <t>Steam Turbine Building Lube Oil and Mezzanine Local Platform Foundation Detail</t>
  </si>
  <si>
    <t>GRT-CA01-P0UMA-175256 (1 OF 2)</t>
  </si>
  <si>
    <t>Steam Turbine Building Operating Plan El. +17.054 (T.O.C) Slab Schedule, Section and Details</t>
  </si>
  <si>
    <t>GRT-CA01-P0UMA-175256 (2 OF 2)</t>
  </si>
  <si>
    <t>Steam Turbine Building Operating Local Platform Foundation Detail</t>
  </si>
  <si>
    <t>GRT-YM02-P0UCA-175452</t>
  </si>
  <si>
    <t>Arrangement Support NSPB (include calculation)</t>
  </si>
  <si>
    <t>GRT-YS00-P0GCK-145938</t>
  </si>
  <si>
    <t>Layout Busduct Chlorination</t>
  </si>
  <si>
    <t>GRT-PP-IP-DT-191223</t>
  </si>
  <si>
    <t>GRT-YE00-P0GAC-145940</t>
  </si>
  <si>
    <t>Data Sheet Busduct</t>
  </si>
  <si>
    <t>GRT-PP-IP-DT-191053</t>
  </si>
  <si>
    <t>GRT-XW03-P0PAC-156397</t>
  </si>
  <si>
    <t>Chatodic Protection System for Intake Screen</t>
  </si>
  <si>
    <t>GRT-XW03-P0ZEN-156180</t>
  </si>
  <si>
    <t>150KV GRT Switchgear Calculation Note Protection Setting</t>
  </si>
  <si>
    <t>GRT-YS01-P0ZEN-156198</t>
  </si>
  <si>
    <t>150KV GRT General Arrangement Protection Diameter X &amp; 1 Switchboard</t>
  </si>
  <si>
    <t>GRT-YT01-P0UZA-156407</t>
  </si>
  <si>
    <t>Layout Cathodic Protection for Thermal Barrier</t>
  </si>
  <si>
    <t>GRT-YD05-P0GD-165937</t>
  </si>
  <si>
    <t>HMI GRAPHICS ELECTROCLORINATION</t>
  </si>
  <si>
    <t>GRT-YL01-P0GD-161042</t>
  </si>
  <si>
    <t>IO LIST FOR EC</t>
  </si>
  <si>
    <t>GRT-YL01-P0LD-165846</t>
  </si>
  <si>
    <t>IO LIST FOR WTP</t>
  </si>
  <si>
    <t>GRT-YL25-P0GD-165943</t>
  </si>
  <si>
    <t>MODBUS LIST FOR EC</t>
  </si>
  <si>
    <t>GRT-YL25-P0LD-165847</t>
  </si>
  <si>
    <t>MODBUS LIST FOR WTP</t>
  </si>
  <si>
    <t>GRT-YD05-P0LD-135841</t>
  </si>
  <si>
    <t>HMI GRAPHICS WTP</t>
  </si>
  <si>
    <t>GRT-PP-IP-DT-191080 (DCR 00037)</t>
  </si>
  <si>
    <t>GRT-YU01-P0ZEN-156411</t>
  </si>
  <si>
    <t>SINGLE LINE DIAGRAM &amp; LOGIC GT AND UNIT AUXILIARY TRANSFORMER  PROTECTION</t>
  </si>
  <si>
    <t>GRT-CA01-P0UMA-175257 (1 OF 3)</t>
  </si>
  <si>
    <t>Steam Turbine Building Electrical Room Floor Plan Slab Schedule,  Sections and Detail</t>
  </si>
  <si>
    <t>GRT-CA01-P0UMA-175257 (2 OF 3)</t>
  </si>
  <si>
    <t>Steam Turbine Building Deaerator and Battery Room Floor Plan Section and Details</t>
  </si>
  <si>
    <t>MINI DRM_13-15MAR2019</t>
  </si>
  <si>
    <t>GRT-CA01-P0UMA-175257 (3 OF 3)</t>
  </si>
  <si>
    <t>Steam Turbine Building Deaerator Local Platform Foundation Detail</t>
  </si>
  <si>
    <t>GRT-YS18-P0PAC-156398</t>
  </si>
  <si>
    <t>CIRCUIT AND WIRING DIAGRAM MCC &amp; PLC FOR INTAKE SCREEN</t>
  </si>
  <si>
    <t>GRT-YD00-P0GAD-125625</t>
  </si>
  <si>
    <t>CW PUMP AUXILIARY UNIT PACKAGE</t>
  </si>
  <si>
    <t>GRT-YT01-P0UGD-115853</t>
  </si>
  <si>
    <t>Process Data Sheet for Aux Service Water Tank</t>
  </si>
  <si>
    <t>GRT-HM01-P0UGD-125453</t>
  </si>
  <si>
    <t>[WTP]      WTP Building HVAC Equipment Layout</t>
  </si>
  <si>
    <t>GRT-HM01-P0UGD-125454</t>
  </si>
  <si>
    <t>[WTP]     WTP Building HVAC Ducting Layout</t>
  </si>
  <si>
    <t>GRT-YM03-P0LD-160040</t>
  </si>
  <si>
    <t>Instrumnet Arrangement for  WTP (MIXED BED)</t>
  </si>
  <si>
    <t>GRT-YM03-P0GD-161036</t>
  </si>
  <si>
    <t>Instrument Arrangement for  Electro Chlorination</t>
  </si>
  <si>
    <t>GRT-PP-IP-DT-19080</t>
  </si>
  <si>
    <t>GRT-YS01-P0ZEN-156259</t>
  </si>
  <si>
    <t>Instrument Substation Automation System</t>
  </si>
  <si>
    <t>GRT-PP-IP-DT-191035</t>
  </si>
  <si>
    <t>GRT-YD00-P0ZEN-165690</t>
  </si>
  <si>
    <t>Panel Arrangement Intake Electrical Building</t>
  </si>
  <si>
    <t>GRT-PP-IP-DT-191234 (DCR 00047)</t>
  </si>
  <si>
    <t>037/061/GRT/UPR/2019</t>
  </si>
  <si>
    <t>GRT-CV03-P0PAC-165695</t>
  </si>
  <si>
    <t>INSTRUMENT DATA SHEET FOR CLAW SCREEN</t>
  </si>
  <si>
    <t>GRT-YR02-P0BCA-165703</t>
  </si>
  <si>
    <t>JUNCTION BOX OUTLINE DRAWING</t>
  </si>
  <si>
    <t>GRT-YR02-P0BCA-165702</t>
  </si>
  <si>
    <t>MOV OUTLINE DRAWING</t>
  </si>
  <si>
    <t>GRT-YR05-P0ZEN-165692</t>
  </si>
  <si>
    <t>OUTLINE DRAWING FIRE FIGHTING SYSTEM</t>
  </si>
  <si>
    <t>GRT-YS01-P0ZEN-165687</t>
  </si>
  <si>
    <t>LDC SYSTEM ARCHITECTURE</t>
  </si>
  <si>
    <t>GRT-XG02-P0PAC-115131</t>
  </si>
  <si>
    <t>Piping &amp; Instrument Diagram for Sea Water Intake</t>
  </si>
  <si>
    <t>GRT-PP-IP-DT-191080 (DCR 00024)</t>
  </si>
  <si>
    <t>GRT-XG02-P0PAC-115132</t>
  </si>
  <si>
    <t>Piping &amp; Instrumentation Diagram for Circulating Sea Water Cooling System</t>
  </si>
  <si>
    <t>GRT-YK00-P0PAC-165689</t>
  </si>
  <si>
    <t>Hook Up for BOP Area</t>
  </si>
  <si>
    <t>GRT-YR05-P0ZEN-165691</t>
  </si>
  <si>
    <t>Data Sheet for Fire Alarm System</t>
  </si>
  <si>
    <t>GRT-YR02-P0ZEN-165691</t>
  </si>
  <si>
    <t>Data Sheet Equipment for Clock System</t>
  </si>
  <si>
    <t>GRT-XK00-P0PAC-126811</t>
  </si>
  <si>
    <t>Piping &amp; Instrumentation Diagram Intake Screen</t>
  </si>
  <si>
    <t>GRT-YT01-P0GAF-126810</t>
  </si>
  <si>
    <t>Feed Pump Data Sheet</t>
  </si>
  <si>
    <t>GRT-YD00-P0GAF-126809</t>
  </si>
  <si>
    <t>Feed Pump Drawing (Arrangement Drawing)</t>
  </si>
  <si>
    <t>GRT-XK00-P0GAC-125950</t>
  </si>
  <si>
    <t>General Arrangement Aux Service Water Tank</t>
  </si>
  <si>
    <t>GRT-YT01-P0ZEN-165127</t>
  </si>
  <si>
    <t>Process Data Sheet for Pressure Regulating Valve</t>
  </si>
  <si>
    <t>GRT-YR02-P0ZEN-156258</t>
  </si>
  <si>
    <t>150KV GRATI SWITCHGEAR SYSTEM FUNCTION SPEFICATION</t>
  </si>
  <si>
    <t>GRT-PP-IP-DT-191158</t>
  </si>
  <si>
    <t>GRT-XJ00-P0ZEN-145041</t>
  </si>
  <si>
    <t>CALCULATION SHEET FOR FIRE FIGHTING PIPE SUPPORT</t>
  </si>
  <si>
    <t>GRT-XW03-P0ZEN-156351</t>
  </si>
  <si>
    <t>150KV SWITCHGEAR CABLE TRAY AND WIRING LAYOUT</t>
  </si>
  <si>
    <t>GRT-YE07-P0PAC-156415</t>
  </si>
  <si>
    <t>[Intake Electrical Building] Lightning Protection Layout</t>
  </si>
  <si>
    <t>GRT-PP-IP-DT-191389</t>
  </si>
  <si>
    <t>GRT-YE07-POPAC-156416</t>
  </si>
  <si>
    <t>[INTAKE BUIILDING] Lighting Layout &amp; Panel Schedule</t>
  </si>
  <si>
    <t>GRT-PP-IP-DT-191266</t>
  </si>
  <si>
    <t>047/061/GRT/UPR/2019</t>
  </si>
  <si>
    <t xml:space="preserve">GRT-YL15-P0PAC-165616 </t>
  </si>
  <si>
    <t>TCS Cable Schedule</t>
  </si>
  <si>
    <t>GRT-YD00-P0PUR-156395</t>
  </si>
  <si>
    <t>ICCP (IMPRESSED CURRENT CATHODIC PROTECTION) FOR AUXILIARY COOLING WATER PUMP</t>
  </si>
  <si>
    <t>GRT-YR02-P0BCA-165707</t>
  </si>
  <si>
    <t xml:space="preserve">Wiring Diagram </t>
  </si>
  <si>
    <t>GRT-PP-IP-DT-201543</t>
  </si>
  <si>
    <t>002-GRT-I-U-GPE-2020</t>
  </si>
  <si>
    <t>GRT-YR02-P0BCA-165708</t>
  </si>
  <si>
    <t>Site Acceptance Test (SAT) LDC Panel</t>
  </si>
  <si>
    <t>GRT-YS02-P0PAC-165709</t>
  </si>
  <si>
    <t>Instrument Interconnection Diagram for TCS System</t>
  </si>
  <si>
    <t>GRT-CA01-P0PAC-175182</t>
  </si>
  <si>
    <t>Architectural Waste Disposal Building Plan, Elevation &amp; Section, Finishing Schedule</t>
  </si>
  <si>
    <t>GRT-PP-IP-DT-201558</t>
  </si>
  <si>
    <t>001/061/GRT/UPR/2020</t>
  </si>
  <si>
    <t>GRT-CA01-P0PAC-175183</t>
  </si>
  <si>
    <t>Toilet STG</t>
  </si>
  <si>
    <t>GRT-CC03-P0UGH-175353 (2 OF 2)</t>
  </si>
  <si>
    <t>Shelter for Make Up Demin Water Pump</t>
  </si>
  <si>
    <t>GRT-YT01-P0SG-115331</t>
  </si>
  <si>
    <t xml:space="preserve">Data Sheet Foam Extinguisher </t>
  </si>
  <si>
    <t>FC</t>
    <phoneticPr fontId="24" type="noConversion"/>
  </si>
  <si>
    <t>GRT-YD00-P0MAG-410103</t>
  </si>
  <si>
    <t>410103</t>
  </si>
  <si>
    <t>Cathodic Protection System for Condenser_The Location of Anode (Inlet Waterbox) DCR 0008</t>
  </si>
  <si>
    <t>GRT-YD00-P0MAG-410104</t>
  </si>
  <si>
    <t>410104</t>
  </si>
  <si>
    <t>Cathodic Protection System for Condenser_The Location of Anode (Outlet Waterbox) DCR 0008</t>
  </si>
  <si>
    <t>GRT-PP-IP-DT-201593 (DCR 00054)</t>
  </si>
  <si>
    <t>2DCR0</t>
  </si>
  <si>
    <t>GRT-PP-IP-DT-201589 (EMAIL)</t>
  </si>
  <si>
    <t>GRT-PP-IP-DT-201577 (EMAIL)</t>
  </si>
  <si>
    <t>A</t>
    <phoneticPr fontId="24" type="noConversion"/>
  </si>
  <si>
    <t>B</t>
    <phoneticPr fontId="24" type="noConversion"/>
  </si>
  <si>
    <t>I</t>
    <phoneticPr fontId="24" type="noConversion"/>
  </si>
  <si>
    <t>820001-0</t>
    <phoneticPr fontId="24" type="noConversion"/>
  </si>
  <si>
    <t>FI</t>
    <phoneticPr fontId="24" type="noConversion"/>
  </si>
  <si>
    <t>GRT-DS-IP-DT-200046</t>
    <phoneticPr fontId="24" type="noConversion"/>
  </si>
  <si>
    <t>830023-1</t>
    <phoneticPr fontId="24" type="noConversion"/>
  </si>
  <si>
    <t>GRT-CQ02-P0MAG-410011</t>
    <phoneticPr fontId="24" type="noConversion"/>
  </si>
  <si>
    <t>0DCR2</t>
    <phoneticPr fontId="24" type="noConversion"/>
  </si>
  <si>
    <t>410011-3</t>
    <phoneticPr fontId="24" type="noConversion"/>
  </si>
  <si>
    <t>GRT-CN00-P0ZEN-110102</t>
    <phoneticPr fontId="24" type="noConversion"/>
  </si>
  <si>
    <t>110102-2</t>
    <phoneticPr fontId="24" type="noConversion"/>
  </si>
  <si>
    <t>GRT-YS00-P0ZEN-163310</t>
    <phoneticPr fontId="24" type="noConversion"/>
  </si>
  <si>
    <t>163310-0</t>
    <phoneticPr fontId="24" type="noConversion"/>
  </si>
  <si>
    <t>GRT-DS-IP-DT-200037</t>
    <phoneticPr fontId="24" type="noConversion"/>
  </si>
  <si>
    <t>GRT-DN02-P1H-830016</t>
    <phoneticPr fontId="24" type="noConversion"/>
  </si>
  <si>
    <t>GRT-DS-IP-DT-200048</t>
    <phoneticPr fontId="24" type="noConversion"/>
  </si>
  <si>
    <t>GRT-DN02-P1ZEN-830019</t>
    <phoneticPr fontId="24" type="noConversion"/>
  </si>
  <si>
    <t>GRT-DS-IP-DT-200057</t>
    <phoneticPr fontId="24" type="noConversion"/>
  </si>
  <si>
    <t>GRT-DS-IP-DT-200061</t>
    <phoneticPr fontId="24" type="noConversion"/>
  </si>
  <si>
    <t>GRT-DS-IP-DT-200056</t>
    <phoneticPr fontId="24" type="noConversion"/>
  </si>
  <si>
    <t>GRT-DS-IP-DT-200052</t>
    <phoneticPr fontId="24" type="noConversion"/>
  </si>
  <si>
    <t>830016-6</t>
    <phoneticPr fontId="24" type="noConversion"/>
  </si>
  <si>
    <t>GRT-DS-IP-DT-200060</t>
    <phoneticPr fontId="24" type="noConversion"/>
  </si>
  <si>
    <t>GRT-DS-IP-DT-200053</t>
    <phoneticPr fontId="24" type="noConversion"/>
  </si>
  <si>
    <t>830021-6</t>
    <phoneticPr fontId="24" type="noConversion"/>
  </si>
  <si>
    <t>024-GRT-M-U-GPE-2020</t>
  </si>
  <si>
    <t>PP</t>
    <phoneticPr fontId="24" type="noConversion"/>
  </si>
  <si>
    <t>FA</t>
    <phoneticPr fontId="24" type="noConversion"/>
  </si>
  <si>
    <t>As-Built</t>
    <phoneticPr fontId="24" type="noConversion"/>
  </si>
  <si>
    <t>FC(D)</t>
    <phoneticPr fontId="24" type="noConversion"/>
  </si>
  <si>
    <t>First Actual</t>
    <phoneticPr fontId="24" type="noConversion"/>
  </si>
  <si>
    <t>Final Actual</t>
    <phoneticPr fontId="24" type="noConversion"/>
  </si>
  <si>
    <t>Document Submittal and Comment Status</t>
    <phoneticPr fontId="46" type="noConversion"/>
  </si>
  <si>
    <t>Document Submittal Log (Prepared by Consortium)</t>
    <phoneticPr fontId="46" type="noConversion"/>
  </si>
  <si>
    <t>Comment Status(Prepared by IP)</t>
    <phoneticPr fontId="46" type="noConversion"/>
  </si>
  <si>
    <t>No.</t>
    <phoneticPr fontId="46" type="noConversion"/>
  </si>
  <si>
    <t>DT No.</t>
    <phoneticPr fontId="46" type="noConversion"/>
  </si>
  <si>
    <t>DWG No.</t>
    <phoneticPr fontId="46" type="noConversion"/>
  </si>
  <si>
    <t>Document Title</t>
    <phoneticPr fontId="46" type="noConversion"/>
  </si>
  <si>
    <t>Rev.</t>
    <phoneticPr fontId="46" type="noConversion"/>
  </si>
  <si>
    <t>Date</t>
    <phoneticPr fontId="46" type="noConversion"/>
  </si>
  <si>
    <t>Review
Period</t>
    <phoneticPr fontId="46" type="noConversion"/>
  </si>
  <si>
    <t>Comment
Status</t>
    <phoneticPr fontId="46" type="noConversion"/>
  </si>
  <si>
    <t>Open/Close</t>
    <phoneticPr fontId="46" type="noConversion"/>
  </si>
  <si>
    <t>Remark</t>
    <phoneticPr fontId="24" type="noConversion"/>
  </si>
  <si>
    <t>GRT-DS-IP-DT-170001</t>
    <phoneticPr fontId="24" type="noConversion"/>
  </si>
  <si>
    <t>GRT-DA01-P0ZEN-020001</t>
    <phoneticPr fontId="24" type="noConversion"/>
  </si>
  <si>
    <t>DOCUMENT IDENTIFICATION</t>
    <phoneticPr fontId="24" type="noConversion"/>
  </si>
  <si>
    <t>Close</t>
    <phoneticPr fontId="46" type="noConversion"/>
  </si>
  <si>
    <t>GRT-DA01-P0ZEN-020002</t>
    <phoneticPr fontId="24" type="noConversion"/>
  </si>
  <si>
    <t>EQUIPMENT AND SYSTEM IDENTIFICATION</t>
    <phoneticPr fontId="24" type="noConversion"/>
  </si>
  <si>
    <t>GRT-DS-IP-DT-170003</t>
  </si>
  <si>
    <t>GRT-XG05-P0ZEN-110002</t>
    <phoneticPr fontId="24" type="noConversion"/>
  </si>
  <si>
    <t>[Symbol &amp; Legend]_P&amp;I DIAGRAM</t>
    <phoneticPr fontId="24" type="noConversion"/>
  </si>
  <si>
    <t>GRT-XG02-P0LBA-110003</t>
    <phoneticPr fontId="24" type="noConversion"/>
  </si>
  <si>
    <t>GRT-XG02-P0LBG-110004</t>
    <phoneticPr fontId="24" type="noConversion"/>
  </si>
  <si>
    <t>GRT-XG02-P0LCM-110005</t>
    <phoneticPr fontId="24" type="noConversion"/>
  </si>
  <si>
    <t xml:space="preserve">[Steam drain system]_P&amp;ID DIAGRAM </t>
    <phoneticPr fontId="24" type="noConversion"/>
  </si>
  <si>
    <t>GRT-XG02-P0LA-110006</t>
    <phoneticPr fontId="24" type="noConversion"/>
  </si>
  <si>
    <t>C</t>
    <phoneticPr fontId="24" type="noConversion"/>
  </si>
  <si>
    <t>GRT-XG02-P0LC-110007</t>
    <phoneticPr fontId="24" type="noConversion"/>
  </si>
  <si>
    <t>GRT-XG02-P0PA-110008</t>
    <phoneticPr fontId="24" type="noConversion"/>
  </si>
  <si>
    <t>GRT-XG02-P0PG-110009</t>
    <phoneticPr fontId="24" type="noConversion"/>
  </si>
  <si>
    <t>GRT-DS-IP-DT-170003</t>
    <phoneticPr fontId="24" type="noConversion"/>
  </si>
  <si>
    <t>[N2 Gas system]_P&amp;I DIAGRAM</t>
    <phoneticPr fontId="24" type="noConversion"/>
  </si>
  <si>
    <t>GRT-DS-IP-DT-170004</t>
    <phoneticPr fontId="24" type="noConversion"/>
  </si>
  <si>
    <t>GRT-DS-IP-DT-170005</t>
    <phoneticPr fontId="24" type="noConversion"/>
  </si>
  <si>
    <t>PLOT PLAN</t>
    <phoneticPr fontId="24" type="noConversion"/>
  </si>
  <si>
    <t>GRT-DS-IP-DT-170006</t>
    <phoneticPr fontId="24" type="noConversion"/>
  </si>
  <si>
    <t>[Compressed air system]_DESIGN CRITERIA FOR COMPRESSED AIR SYSTEM</t>
    <phoneticPr fontId="24" type="noConversion"/>
  </si>
  <si>
    <t>[Compressed air system]_SIZING CALCULATION_COMPRESSED AIR SYSTEM</t>
    <phoneticPr fontId="24" type="noConversion"/>
  </si>
  <si>
    <t>GRT-DS-IP-DT-170007</t>
    <phoneticPr fontId="24" type="noConversion"/>
  </si>
  <si>
    <t>GRT-DS-IP-DT-170008</t>
    <phoneticPr fontId="24" type="noConversion"/>
  </si>
  <si>
    <t>GRT-DS-IP-DT-170009</t>
    <phoneticPr fontId="24" type="noConversion"/>
  </si>
  <si>
    <t>GRT-YD00-P0LCM-430010</t>
    <phoneticPr fontId="24" type="noConversion"/>
  </si>
  <si>
    <t>Outline Drawing for Atmospheric Flash Tank</t>
    <phoneticPr fontId="24" type="noConversion"/>
  </si>
  <si>
    <t>GRT-YD00-P0PGB-430020</t>
    <phoneticPr fontId="24" type="noConversion"/>
  </si>
  <si>
    <t>Outline Drawing for CCW Chemical Additive Tank</t>
    <phoneticPr fontId="24" type="noConversion"/>
  </si>
  <si>
    <t>GRT-YD00-P0PGB-430030</t>
    <phoneticPr fontId="24" type="noConversion"/>
  </si>
  <si>
    <t>Outline Drawing for CCW Expansion Head Tank</t>
    <phoneticPr fontId="24" type="noConversion"/>
  </si>
  <si>
    <t>GRT-DS-IP-DT-170010</t>
    <phoneticPr fontId="24" type="noConversion"/>
  </si>
  <si>
    <t>GRT-DE00-P0ZEN-144500</t>
    <phoneticPr fontId="24" type="noConversion"/>
  </si>
  <si>
    <t>[Piping General]_Piping material specification (BOP)</t>
    <phoneticPr fontId="24" type="noConversion"/>
  </si>
  <si>
    <t>GRT-DS-IP-DT-170011</t>
    <phoneticPr fontId="24" type="noConversion"/>
  </si>
  <si>
    <t>GRT-XS00-P0LBG-110401</t>
    <phoneticPr fontId="24" type="noConversion"/>
  </si>
  <si>
    <t>GRT-DS-IP-DT-170012</t>
    <phoneticPr fontId="24" type="noConversion"/>
  </si>
  <si>
    <t>GRT-DS-IP-DT-170013</t>
    <phoneticPr fontId="24" type="noConversion"/>
  </si>
  <si>
    <t>GRT-YK08-P0MAG-410001</t>
    <phoneticPr fontId="24" type="noConversion"/>
  </si>
  <si>
    <t>Condenser_General Layout</t>
    <phoneticPr fontId="24" type="noConversion"/>
  </si>
  <si>
    <t>GRT-YK08-P0MAG-410002</t>
    <phoneticPr fontId="24" type="noConversion"/>
  </si>
  <si>
    <t>Condenser_General Arrangement</t>
    <phoneticPr fontId="24" type="noConversion"/>
  </si>
  <si>
    <t>GRT-XL00-P0MAG-410003</t>
    <phoneticPr fontId="24" type="noConversion"/>
  </si>
  <si>
    <t>Condenser_Connection List</t>
    <phoneticPr fontId="24" type="noConversion"/>
  </si>
  <si>
    <t>GRT-XL00-P0MAG-410004</t>
    <phoneticPr fontId="24" type="noConversion"/>
  </si>
  <si>
    <t>Condenser_Connection Detail</t>
    <phoneticPr fontId="24" type="noConversion"/>
  </si>
  <si>
    <t>GRT-VL00-P0MAG-410005</t>
    <phoneticPr fontId="24" type="noConversion"/>
  </si>
  <si>
    <t>Condenser_Foundation Assembly</t>
    <phoneticPr fontId="24" type="noConversion"/>
  </si>
  <si>
    <t>GRT-VL00-P0MAG-410006</t>
    <phoneticPr fontId="24" type="noConversion"/>
  </si>
  <si>
    <t>Condenser_Foundation Detail</t>
    <phoneticPr fontId="24" type="noConversion"/>
  </si>
  <si>
    <t>GRT-YT01-P0MAG-410007</t>
    <phoneticPr fontId="24" type="noConversion"/>
  </si>
  <si>
    <t>Condenser_Data Sheet</t>
    <phoneticPr fontId="24" type="noConversion"/>
  </si>
  <si>
    <t>GRT-YT01-P0MAG-410008</t>
    <phoneticPr fontId="24" type="noConversion"/>
  </si>
  <si>
    <t>Condenser_Nozzle Force and Moment</t>
    <phoneticPr fontId="24" type="noConversion"/>
  </si>
  <si>
    <t>GRT-YT01-P0MAG-410009</t>
    <phoneticPr fontId="24" type="noConversion"/>
  </si>
  <si>
    <t>Condenser_Performance Curves</t>
    <phoneticPr fontId="24" type="noConversion"/>
  </si>
  <si>
    <t>GRT-DS-IP-DT-170014</t>
    <phoneticPr fontId="24" type="noConversion"/>
  </si>
  <si>
    <t>GRT-DS-IP-DT-170015</t>
    <phoneticPr fontId="24" type="noConversion"/>
  </si>
  <si>
    <t>GRT-DS-IP-DT-170016</t>
    <phoneticPr fontId="24" type="noConversion"/>
  </si>
  <si>
    <t>C</t>
    <phoneticPr fontId="46" type="noConversion"/>
  </si>
  <si>
    <t>GRT-DS-IP-DT-170017</t>
    <phoneticPr fontId="24" type="noConversion"/>
  </si>
  <si>
    <t>Close</t>
    <phoneticPr fontId="24" type="noConversion"/>
  </si>
  <si>
    <t>GRT-DS-IP-DT-170018</t>
    <phoneticPr fontId="24" type="noConversion"/>
  </si>
  <si>
    <t>[Steam, Feedwater &amp; Condensate system]_PROCESS FLOW DIAGRAM</t>
    <phoneticPr fontId="24" type="noConversion"/>
  </si>
  <si>
    <t>[Aux. &amp; Closed Cooling Water System]_PROCESS FLOW DIAGRAM</t>
    <phoneticPr fontId="24" type="noConversion"/>
  </si>
  <si>
    <t>GRT-DS-IP-DT-170019</t>
    <phoneticPr fontId="24" type="noConversion"/>
  </si>
  <si>
    <t>[Piping General]_Pipe Thickness Calculation (BOP)</t>
    <phoneticPr fontId="24" type="noConversion"/>
  </si>
  <si>
    <t>GRT-DS-IP-DT-170020</t>
    <phoneticPr fontId="24" type="noConversion"/>
  </si>
  <si>
    <t>GRT-YD00-P0PGB-400040</t>
    <phoneticPr fontId="24" type="noConversion"/>
  </si>
  <si>
    <t>Outline Drawing for CCW Heat Exchanger</t>
    <phoneticPr fontId="24" type="noConversion"/>
  </si>
  <si>
    <t>GRT-DS-IP-DT-170021</t>
    <phoneticPr fontId="24" type="noConversion"/>
  </si>
  <si>
    <t>GRT-DS-IP-DT-170022</t>
    <phoneticPr fontId="24" type="noConversion"/>
  </si>
  <si>
    <t>GRT-DS-IP-DT-170023</t>
    <phoneticPr fontId="24" type="noConversion"/>
  </si>
  <si>
    <t>[INC_Typical Elementary]_Typical Elementary Wiring Diagram - Index</t>
    <phoneticPr fontId="24" type="noConversion"/>
  </si>
  <si>
    <t>[INC_Typical Elementary]_Typical Elementary Wiring Diagram for Motor Operated Valve (Internal MCC)</t>
    <phoneticPr fontId="24" type="noConversion"/>
  </si>
  <si>
    <t>[INC_Typical Elementary]_Typical Elementary Wiring Diagram for Pneumatic Shut-off Valve (Double Coil SOV)</t>
    <phoneticPr fontId="24" type="noConversion"/>
  </si>
  <si>
    <t>[INC_Typical Elementary]_Typical Elementary Wiring Diagram for Pneumatic Shut-off Valve (Single Coil SOV)</t>
    <phoneticPr fontId="24" type="noConversion"/>
  </si>
  <si>
    <t>GRT-DS-IP-DT-170024</t>
    <phoneticPr fontId="24" type="noConversion"/>
  </si>
  <si>
    <t>GRT-XG08-P0MA-200005</t>
    <phoneticPr fontId="24" type="noConversion"/>
  </si>
  <si>
    <t>[STG]_P&amp;I Diagrams</t>
    <phoneticPr fontId="24" type="noConversion"/>
  </si>
  <si>
    <t>GRT-YD00-P0MA-200006</t>
    <phoneticPr fontId="24" type="noConversion"/>
  </si>
  <si>
    <t>[STG]_General Arrangement Drawing</t>
    <phoneticPr fontId="24" type="noConversion"/>
  </si>
  <si>
    <t>GRT-XB00-P0MA-200007</t>
    <phoneticPr fontId="24" type="noConversion"/>
  </si>
  <si>
    <t>[STG]_Foundation load plan</t>
    <phoneticPr fontId="24" type="noConversion"/>
  </si>
  <si>
    <t>GRT-XB00-P0MA-200013</t>
    <phoneticPr fontId="24" type="noConversion"/>
  </si>
  <si>
    <t>[STG]_Allowable loadings and displacements</t>
    <phoneticPr fontId="24" type="noConversion"/>
  </si>
  <si>
    <t>GRT-DS-IP-DT-170025</t>
    <phoneticPr fontId="24" type="noConversion"/>
  </si>
  <si>
    <t>GRT-DS-IP-DT-170026</t>
  </si>
  <si>
    <t>Shop Inspection and Test Plan for Manufacturing</t>
    <phoneticPr fontId="24" type="noConversion"/>
  </si>
  <si>
    <t>GRT-DS-IP-DT-170027</t>
    <phoneticPr fontId="24" type="noConversion"/>
  </si>
  <si>
    <t>General Arrangement of Steam Turbine Building Ground Floor</t>
    <phoneticPr fontId="24" type="noConversion"/>
  </si>
  <si>
    <t>GRT-UE00-P0ZEN-100004</t>
    <phoneticPr fontId="24" type="noConversion"/>
  </si>
  <si>
    <t>General Arrangement of Steam Turbine Building Mezzanine Floor</t>
    <phoneticPr fontId="24" type="noConversion"/>
  </si>
  <si>
    <t>GRT-UE00-P0ZEN-100005</t>
    <phoneticPr fontId="24" type="noConversion"/>
  </si>
  <si>
    <t>General Arrangement of Steam Turbine Building Operating Floor</t>
    <phoneticPr fontId="24" type="noConversion"/>
  </si>
  <si>
    <t>GRT-UE00-P0ZEN-100006</t>
    <phoneticPr fontId="24" type="noConversion"/>
  </si>
  <si>
    <t>General Arrangement of Steam Turbine Building Deaerator Floor</t>
    <phoneticPr fontId="24" type="noConversion"/>
  </si>
  <si>
    <t>GRT-UE00-P0ZEN-100007</t>
    <phoneticPr fontId="24" type="noConversion"/>
  </si>
  <si>
    <t>General Arrangement of Steam Turbine Building Basement Floor</t>
    <phoneticPr fontId="24" type="noConversion"/>
  </si>
  <si>
    <t>GRT-UE00-P0ZEN-100008</t>
    <phoneticPr fontId="24" type="noConversion"/>
  </si>
  <si>
    <t>General Arrangement of Steam Turbine Building Section A-A</t>
    <phoneticPr fontId="24" type="noConversion"/>
  </si>
  <si>
    <t>GRT-UE00-P0ZEN-100009</t>
    <phoneticPr fontId="24" type="noConversion"/>
  </si>
  <si>
    <t>General Arrangement of Steam Turbine Building Section B-B</t>
    <phoneticPr fontId="24" type="noConversion"/>
  </si>
  <si>
    <t>GRT-DS-IP-DT-170028</t>
    <phoneticPr fontId="24" type="noConversion"/>
  </si>
  <si>
    <t>GRT-DS-IP-DT-170029</t>
    <phoneticPr fontId="24" type="noConversion"/>
  </si>
  <si>
    <t>GRT-DS-IP-DT-170030</t>
    <phoneticPr fontId="24" type="noConversion"/>
  </si>
  <si>
    <t>GRT-UC08-P0ZEN-100002</t>
    <phoneticPr fontId="24" type="noConversion"/>
  </si>
  <si>
    <t>General Arrangement of Power Block</t>
    <phoneticPr fontId="24" type="noConversion"/>
  </si>
  <si>
    <t>Close</t>
  </si>
  <si>
    <t>GRT-DS-IP-DT-170031</t>
    <phoneticPr fontId="24" type="noConversion"/>
  </si>
  <si>
    <t>[HRSG]_PRESSURE PART ARRANGEMENT</t>
    <phoneticPr fontId="24" type="noConversion"/>
  </si>
  <si>
    <t>GRT-DS-IP-DT-170032</t>
    <phoneticPr fontId="24" type="noConversion"/>
  </si>
  <si>
    <t>GRT-DS-IP-DT-170033</t>
    <phoneticPr fontId="24" type="noConversion"/>
  </si>
  <si>
    <t>GRT-DS-IP-DT-170034</t>
    <phoneticPr fontId="24" type="noConversion"/>
  </si>
  <si>
    <t>GRT-DS-IP-DT-170035</t>
    <phoneticPr fontId="24" type="noConversion"/>
  </si>
  <si>
    <t>[Piping General]_Piping Line List (BOP)</t>
    <phoneticPr fontId="24" type="noConversion"/>
  </si>
  <si>
    <t>[Piping General]_Piping Specialty List (BOP)</t>
    <phoneticPr fontId="24" type="noConversion"/>
  </si>
  <si>
    <t>[Piping General]_Manual Valve List (BOP)</t>
    <phoneticPr fontId="24" type="noConversion"/>
  </si>
  <si>
    <t>GRT-DS-IP-DT-170036</t>
    <phoneticPr fontId="24" type="noConversion"/>
  </si>
  <si>
    <t>GRT-MA01-P0ZEN-161002</t>
    <phoneticPr fontId="24" type="noConversion"/>
  </si>
  <si>
    <t>[INC_Plant_Overall_Design]_Plant Control System Configuration Diagram</t>
    <phoneticPr fontId="24" type="noConversion"/>
  </si>
  <si>
    <t>GRT-DS-IP-DT-170037</t>
    <phoneticPr fontId="24" type="noConversion"/>
  </si>
  <si>
    <t>GRT-YK08-P0LAA-420001</t>
    <phoneticPr fontId="24" type="noConversion"/>
  </si>
  <si>
    <t xml:space="preserve">Outline Drawing for Deaerator &amp; Feedwater Storage Tank </t>
    <phoneticPr fontId="24" type="noConversion"/>
  </si>
  <si>
    <t>GRT-CV03-P0LAA-420002</t>
    <phoneticPr fontId="24" type="noConversion"/>
  </si>
  <si>
    <t xml:space="preserve">Datasheet for Deaerator &amp; Feedwater Storage Tank </t>
    <phoneticPr fontId="24" type="noConversion"/>
  </si>
  <si>
    <t>GRT-DS-IP-DT-170038</t>
    <phoneticPr fontId="24" type="noConversion"/>
  </si>
  <si>
    <t>GRT-XS00-P0SC-120005</t>
    <phoneticPr fontId="24" type="noConversion"/>
  </si>
  <si>
    <t>GRT-DS-IP-DT-170039</t>
    <phoneticPr fontId="24" type="noConversion"/>
  </si>
  <si>
    <t>GRT-MA02-P0ZEN-161006</t>
    <phoneticPr fontId="24" type="noConversion"/>
  </si>
  <si>
    <t>[INC_Interface]_3rd Party Data-link Interface Concept Diagram</t>
    <phoneticPr fontId="24" type="noConversion"/>
  </si>
  <si>
    <t>GRT-MA02-P0ZEN-161121</t>
    <phoneticPr fontId="24" type="noConversion"/>
  </si>
  <si>
    <t>[DCS]_LAN Configuration Diagram</t>
    <phoneticPr fontId="24" type="noConversion"/>
  </si>
  <si>
    <t>GRT-DS-IP-DT-170040</t>
    <phoneticPr fontId="24" type="noConversion"/>
  </si>
  <si>
    <t>GRT-DE00-P0ZEN-144501</t>
    <phoneticPr fontId="24" type="noConversion"/>
  </si>
  <si>
    <t>[Piping General]_Piping Insulation Specification (BOP)</t>
    <phoneticPr fontId="24" type="noConversion"/>
  </si>
  <si>
    <t>GRT-DS-IP-DT-170041</t>
    <phoneticPr fontId="24" type="noConversion"/>
  </si>
  <si>
    <t>GRT-YU03-P0MA-200039</t>
    <phoneticPr fontId="24" type="noConversion"/>
  </si>
  <si>
    <t>[STG]_Control system architecture</t>
    <phoneticPr fontId="24" type="noConversion"/>
  </si>
  <si>
    <t>GRT-DS-IP-DT-170042</t>
    <phoneticPr fontId="24" type="noConversion"/>
  </si>
  <si>
    <t>GRT-YR01-P0ZEN-110105</t>
    <phoneticPr fontId="24" type="noConversion"/>
  </si>
  <si>
    <t>[HP &amp; LP steam system]_Pressure drop calculation</t>
    <phoneticPr fontId="24" type="noConversion"/>
  </si>
  <si>
    <t>GRT-CN00-P0ZEN-110106</t>
    <phoneticPr fontId="24" type="noConversion"/>
  </si>
  <si>
    <t>[Steam drain system]_Flash tank calculation</t>
    <phoneticPr fontId="24" type="noConversion"/>
  </si>
  <si>
    <t>GRT-DS-IP-DT-170043</t>
    <phoneticPr fontId="24" type="noConversion"/>
  </si>
  <si>
    <t>GRT-YF01-P0ZEN-161004</t>
    <phoneticPr fontId="24" type="noConversion"/>
  </si>
  <si>
    <t>[INC_Plant_Overall_Design]_Plant Protection &amp; Interlock Diagram</t>
    <phoneticPr fontId="24" type="noConversion"/>
  </si>
  <si>
    <t>GRT-DS-IP-DT-170044</t>
    <phoneticPr fontId="24" type="noConversion"/>
  </si>
  <si>
    <t>GRT-YD06-P0ZEN-161113</t>
    <phoneticPr fontId="24" type="noConversion"/>
  </si>
  <si>
    <t>[INC_Plant_Overall_Design]_DCS Power Distribution Concept Diagram</t>
    <phoneticPr fontId="24" type="noConversion"/>
  </si>
  <si>
    <t>GRT-YR05-P0ZEN-161131</t>
    <phoneticPr fontId="24" type="noConversion"/>
  </si>
  <si>
    <t>[DCS]_Outline &amp; Detail Drawing for Console desk &amp; Computer desk &amp; Printer desk</t>
    <phoneticPr fontId="24" type="noConversion"/>
  </si>
  <si>
    <t>GRT-YR05-P0ZEN-161132</t>
    <phoneticPr fontId="24" type="noConversion"/>
  </si>
  <si>
    <t>[DCS]_Outline &amp; Detail Drawing for LAN Cabinet</t>
    <phoneticPr fontId="24" type="noConversion"/>
  </si>
  <si>
    <t>GRT-YR05-P0ZEN-161133</t>
    <phoneticPr fontId="24" type="noConversion"/>
  </si>
  <si>
    <t>[DCS]_Outline &amp; Detail Drawing for Power Distribution Cabinet</t>
    <phoneticPr fontId="24" type="noConversion"/>
  </si>
  <si>
    <t>GRT-YR05-P0ZEN-161134</t>
    <phoneticPr fontId="24" type="noConversion"/>
  </si>
  <si>
    <t>[DCS]_Outline &amp; Detail Drawing for System &amp; Marshalling Cabinet</t>
    <phoneticPr fontId="24" type="noConversion"/>
  </si>
  <si>
    <t>GRT-YR05-P0ZEN-161136</t>
    <phoneticPr fontId="24" type="noConversion"/>
  </si>
  <si>
    <t>[DCS]_Outline &amp; Detail Drawing for Safety Related System Panel</t>
    <phoneticPr fontId="24" type="noConversion"/>
  </si>
  <si>
    <t>GRT-YF00-P0ZEN-161201</t>
    <phoneticPr fontId="24" type="noConversion"/>
  </si>
  <si>
    <t>[INC_Other_Sys_Logic&amp;Loop]_Control Logic Diagram - Symbol &amp; Legend</t>
    <phoneticPr fontId="24" type="noConversion"/>
  </si>
  <si>
    <t>GRT-YF00-P0ZEN-161202</t>
    <phoneticPr fontId="24" type="noConversion"/>
  </si>
  <si>
    <t>[INC_Other_Sys_Logic&amp;Loop]_Control Logic Diagram - Typical Function</t>
    <phoneticPr fontId="24" type="noConversion"/>
  </si>
  <si>
    <t>GRT-YF00-P0ZEN-161301</t>
    <phoneticPr fontId="24" type="noConversion"/>
  </si>
  <si>
    <t>[INC_Other_Sys_Logic&amp;Loop]_Control Loop Diagram - Symbol &amp; Legend</t>
    <phoneticPr fontId="24" type="noConversion"/>
  </si>
  <si>
    <t>GRT-YF00-P0ZEN-161302</t>
    <phoneticPr fontId="24" type="noConversion"/>
  </si>
  <si>
    <t>[INC_Other_Sys_Logic&amp;Loop]_Control Loop Diagram - Typical Function</t>
    <phoneticPr fontId="24" type="noConversion"/>
  </si>
  <si>
    <t>GRT-DS-IP-DT-170045</t>
    <phoneticPr fontId="24" type="noConversion"/>
  </si>
  <si>
    <t>GRT-YL01-P0ZEN-161101</t>
    <phoneticPr fontId="24" type="noConversion"/>
  </si>
  <si>
    <t>[INC_DCS_IO]_DCS I/O Database</t>
    <phoneticPr fontId="24" type="noConversion"/>
  </si>
  <si>
    <t>GRT-DS-IP-DT-170046</t>
    <phoneticPr fontId="24" type="noConversion"/>
  </si>
  <si>
    <t>GRT-XW03-P0QJA-111001</t>
    <phoneticPr fontId="24" type="noConversion"/>
  </si>
  <si>
    <t>[N2 Gas System_Design]_sizing Calculation</t>
    <phoneticPr fontId="24" type="noConversion"/>
  </si>
  <si>
    <t>GRT-DS-IP-DT-170048</t>
    <phoneticPr fontId="24" type="noConversion"/>
  </si>
  <si>
    <t>APPROVED</t>
    <phoneticPr fontId="24" type="noConversion"/>
  </si>
  <si>
    <t>GRT-DS-IP-DT-170049</t>
    <phoneticPr fontId="24" type="noConversion"/>
  </si>
  <si>
    <t>GRT-YL19-P0MA-200038</t>
    <phoneticPr fontId="24" type="noConversion"/>
  </si>
  <si>
    <t>[STG]_Electrical load list</t>
    <phoneticPr fontId="24" type="noConversion"/>
  </si>
  <si>
    <t>GRT-DS-IP-DT-170050</t>
    <phoneticPr fontId="24" type="noConversion"/>
  </si>
  <si>
    <t>GRT-XW03-P0PCC-113010</t>
    <phoneticPr fontId="24" type="noConversion"/>
  </si>
  <si>
    <t>[Aux. Cooling Water Pump_Design]_SIZING CALCULATION FOR AUXILIARY COOLING WATER PUMP</t>
    <phoneticPr fontId="24" type="noConversion"/>
  </si>
  <si>
    <t>GRT-XW03-P0PGB-113110</t>
    <phoneticPr fontId="24" type="noConversion"/>
  </si>
  <si>
    <t>[CCWP_Design]_SIZING CALCULATION FOR CLOSED COOLING WATER PUMP</t>
    <phoneticPr fontId="24" type="noConversion"/>
  </si>
  <si>
    <t>GRT-DS-IP-DT-170051</t>
    <phoneticPr fontId="24" type="noConversion"/>
  </si>
  <si>
    <t>GRT-YF00-P0LBG-161204</t>
    <phoneticPr fontId="24" type="noConversion"/>
  </si>
  <si>
    <t>[AUX Steam System_I&amp;C_Logic]_Control Logic Diagram for BOP</t>
    <phoneticPr fontId="24" type="noConversion"/>
  </si>
  <si>
    <t>GRT-YF00-P0LBG-161304</t>
    <phoneticPr fontId="24" type="noConversion"/>
  </si>
  <si>
    <t>[AUX Steam System_I&amp;C_Loop]_Control Loop Diagram for BOP</t>
    <phoneticPr fontId="24" type="noConversion"/>
  </si>
  <si>
    <t>GRT-DS-IP-DT-170057</t>
    <phoneticPr fontId="24" type="noConversion"/>
  </si>
  <si>
    <t>BOP_Instrument Installation Detail Drawing - General Notes</t>
    <phoneticPr fontId="24" type="noConversion"/>
  </si>
  <si>
    <t>BOP_Instrument Installation Detail Drawing - Symbol &amp; Legend</t>
    <phoneticPr fontId="24" type="noConversion"/>
  </si>
  <si>
    <t>BOP_Instrument Installation Detail Drawing - Material List</t>
    <phoneticPr fontId="24" type="noConversion"/>
  </si>
  <si>
    <t>BOP_Instrument Installation Detail Drawing - Pressure Transmitter / Switch</t>
    <phoneticPr fontId="24" type="noConversion"/>
  </si>
  <si>
    <t>BOP_Instrument Installation Detail Drawing - Diff. Press. Transmitter / Switch</t>
    <phoneticPr fontId="24" type="noConversion"/>
  </si>
  <si>
    <t>BOP_Instrument Installation Detail Drawing - Flow Transmitter / Switch</t>
    <phoneticPr fontId="24" type="noConversion"/>
  </si>
  <si>
    <t>BOP_Instrument Installation Detail Drawing - Level Transmitter / Switch</t>
    <phoneticPr fontId="24" type="noConversion"/>
  </si>
  <si>
    <t>BOP_Instrument Installation Detail Drawing - Pressure Gauge</t>
    <phoneticPr fontId="24" type="noConversion"/>
  </si>
  <si>
    <t>BOP_Instrument Installation Detail Drawing - Control Valve</t>
    <phoneticPr fontId="24" type="noConversion"/>
  </si>
  <si>
    <t>BOP_Instrument Installation Detail Drawing - Stanchion &amp; Rack</t>
    <phoneticPr fontId="24" type="noConversion"/>
  </si>
  <si>
    <t>BOP_Instrument Installation Detail Drawing - Temp.Transmitter/ Guage/ Test Well</t>
    <phoneticPr fontId="24" type="noConversion"/>
  </si>
  <si>
    <t>GRT-DS-IP-DT-170052</t>
  </si>
  <si>
    <t>GRT-DS-IP-DT-170053</t>
  </si>
  <si>
    <t>GRT-XG02-P0PAH-440001</t>
    <phoneticPr fontId="24" type="noConversion"/>
  </si>
  <si>
    <t>Condenser Tube Cleaning System_P &amp; I Diagram</t>
    <phoneticPr fontId="24" type="noConversion"/>
  </si>
  <si>
    <t>GRT-YK08-P0PAH-440002</t>
    <phoneticPr fontId="24" type="noConversion"/>
  </si>
  <si>
    <t>Condenser Tube Cleaning System_Outline Drawing</t>
    <phoneticPr fontId="24" type="noConversion"/>
  </si>
  <si>
    <t>GRT-YK08-P0PAH-440003</t>
    <phoneticPr fontId="24" type="noConversion"/>
  </si>
  <si>
    <t>Condenser Tube Cleaning System_Outline Drawing for Ball Recirculation unit</t>
    <phoneticPr fontId="24" type="noConversion"/>
  </si>
  <si>
    <t>GRT-YT01-P0PAH-440008</t>
    <phoneticPr fontId="24" type="noConversion"/>
  </si>
  <si>
    <t>Condenser Tube Cleaning System_Technical Data Sheet</t>
    <phoneticPr fontId="24" type="noConversion"/>
  </si>
  <si>
    <t>GRT-XG02-P0PAH-440051</t>
    <phoneticPr fontId="24" type="noConversion"/>
  </si>
  <si>
    <t>CCW HEX Tube Cleaning System_P &amp; I Diagram</t>
    <phoneticPr fontId="24" type="noConversion"/>
  </si>
  <si>
    <t>GRT-YK08-P0PAH-440052</t>
    <phoneticPr fontId="24" type="noConversion"/>
  </si>
  <si>
    <t>GRT-YK08-P0PAH-440053</t>
    <phoneticPr fontId="24" type="noConversion"/>
  </si>
  <si>
    <t>CCW HEX Tube Cleaning System_Outline Drawing for Ball Recirculation unit</t>
    <phoneticPr fontId="24" type="noConversion"/>
  </si>
  <si>
    <t>GRT-YT01-P0PAH-440058</t>
    <phoneticPr fontId="24" type="noConversion"/>
  </si>
  <si>
    <t>CCW HEX Tube Cleaning System_Technical Data Sheet</t>
    <phoneticPr fontId="24" type="noConversion"/>
  </si>
  <si>
    <t>GRT-XG02-P0PBB-440101</t>
    <phoneticPr fontId="24" type="noConversion"/>
  </si>
  <si>
    <t>Debris Filter_P &amp; I Diagram</t>
    <phoneticPr fontId="24" type="noConversion"/>
  </si>
  <si>
    <t>GRT-YK08-P0PBB-440102</t>
    <phoneticPr fontId="24" type="noConversion"/>
  </si>
  <si>
    <t>Debris Filter_Outline Drawing</t>
    <phoneticPr fontId="24" type="noConversion"/>
  </si>
  <si>
    <t>GRT-YT01-P0PBB-440103</t>
    <phoneticPr fontId="24" type="noConversion"/>
  </si>
  <si>
    <t>Debris Filter_Technical Data Sheet</t>
    <phoneticPr fontId="24" type="noConversion"/>
  </si>
  <si>
    <t>GRT-DS-IP-DT-170054</t>
  </si>
  <si>
    <t>GRT-DS-IP-DT-170055</t>
  </si>
  <si>
    <t>[HRSG]_VALVE LIST</t>
    <phoneticPr fontId="24" type="noConversion"/>
  </si>
  <si>
    <t>GRT-DS-IP-DT-170056</t>
  </si>
  <si>
    <t>GRT-DS-IP-DT-170058</t>
  </si>
  <si>
    <t>GRT-DS-IP-DT-170059</t>
  </si>
  <si>
    <t>GRT-DS-IP-DT-170060</t>
  </si>
  <si>
    <t>GRT-CV03-P0ZEN-161116</t>
    <phoneticPr fontId="24" type="noConversion"/>
  </si>
  <si>
    <t>[DCS]_Functional Design Specification for Safety Related System</t>
    <phoneticPr fontId="24" type="noConversion"/>
  </si>
  <si>
    <t>GRT-CV03-P0ZEN-161117</t>
    <phoneticPr fontId="24" type="noConversion"/>
  </si>
  <si>
    <t>[DCS]_Functional Design Specification for Performance Monitoring System</t>
    <phoneticPr fontId="24" type="noConversion"/>
  </si>
  <si>
    <t>[DCS]_IO &amp; Module Allocation</t>
    <phoneticPr fontId="24" type="noConversion"/>
  </si>
  <si>
    <t>[DCS]_Outline &amp; Detail Drawing for Relay Cabinet</t>
    <phoneticPr fontId="24" type="noConversion"/>
  </si>
  <si>
    <t>GRT-DS-IP-DT-170062</t>
  </si>
  <si>
    <t>GRT-DS-IP-DT-170063</t>
  </si>
  <si>
    <t>GRT-DS-IP-DT-170064</t>
  </si>
  <si>
    <t>GRT-YL00-P0MA-200045</t>
    <phoneticPr fontId="24" type="noConversion"/>
  </si>
  <si>
    <t>[STG]_List of signals</t>
    <phoneticPr fontId="24" type="noConversion"/>
  </si>
  <si>
    <t>GRT-DS-IP-DT-170065</t>
  </si>
  <si>
    <t>GRT-DS-IP-DT-170066</t>
  </si>
  <si>
    <t>DEEMED APPROVAL</t>
    <phoneticPr fontId="24" type="noConversion"/>
  </si>
  <si>
    <t>GRT-DS-IP-DT-170067</t>
  </si>
  <si>
    <t>GRT-DS-IP-DT-170068</t>
  </si>
  <si>
    <t>[INC_Other_Sys_Logic&amp;Loop]_Control Logic Diagram for Interface with other Control System</t>
    <phoneticPr fontId="24" type="noConversion"/>
  </si>
  <si>
    <t>[INC_Other_Sys_Logic&amp;Loop]_Control Logic Diagram for Miscellaneous System</t>
    <phoneticPr fontId="24" type="noConversion"/>
  </si>
  <si>
    <t>GRT-YF00-P0MAJ-161213</t>
    <phoneticPr fontId="24" type="noConversion"/>
  </si>
  <si>
    <t>[Condenser Vacuum Pump System _I&amp;C_Logic]_Control Logic Diagram for BOP</t>
    <phoneticPr fontId="24" type="noConversion"/>
  </si>
  <si>
    <t>[INC_Other_Sys_Logic&amp;Loop]_Control Loop Diagram for Interface with other Control System</t>
    <phoneticPr fontId="24" type="noConversion"/>
  </si>
  <si>
    <t>[INC_Other_Sys_Logic&amp;Loop]_Control Loop Diagram for Miscellaneous System</t>
    <phoneticPr fontId="24" type="noConversion"/>
  </si>
  <si>
    <t>GRT-YF00-P0MAJ-161313</t>
    <phoneticPr fontId="24" type="noConversion"/>
  </si>
  <si>
    <t>[Condenser Vacuum Pump System _I&amp;C_Loop]_Control Loop Diagram for BOP</t>
    <phoneticPr fontId="24" type="noConversion"/>
  </si>
  <si>
    <t>GRT-DS-IP-DT-170069</t>
  </si>
  <si>
    <t>GRT-DS-IP-DT-170070</t>
  </si>
  <si>
    <t>GRT-DS-IP-DT-170071</t>
  </si>
  <si>
    <t>GRT-YD00-P0MA-200024</t>
    <phoneticPr fontId="24" type="noConversion"/>
  </si>
  <si>
    <t>[STG]_Generator Specification</t>
    <phoneticPr fontId="24" type="noConversion"/>
  </si>
  <si>
    <t>GRT-YK09-P0MA-200033</t>
    <phoneticPr fontId="24" type="noConversion"/>
  </si>
  <si>
    <t>[STG]_Electrical system description</t>
    <phoneticPr fontId="24" type="noConversion"/>
  </si>
  <si>
    <t>GRT-YK00-P0MA-200034</t>
    <phoneticPr fontId="24" type="noConversion"/>
  </si>
  <si>
    <t>[STG]_Hook ups</t>
    <phoneticPr fontId="24" type="noConversion"/>
  </si>
  <si>
    <t>GRT-YF00-P0MA-200036</t>
    <phoneticPr fontId="24" type="noConversion"/>
  </si>
  <si>
    <t>[STG]_Consumer schemes</t>
    <phoneticPr fontId="24" type="noConversion"/>
  </si>
  <si>
    <t>GRT-YL00-P0MA-200037</t>
    <phoneticPr fontId="24" type="noConversion"/>
  </si>
  <si>
    <t>[STG]_Measurement list</t>
    <phoneticPr fontId="24" type="noConversion"/>
  </si>
  <si>
    <t>GRT-DS-IP-DT-170072</t>
  </si>
  <si>
    <t>GRT-DS-IP-DT-170073</t>
  </si>
  <si>
    <t>GRT-DS-IP-DT-170074</t>
  </si>
  <si>
    <t>[Feedwater system_I&amp;C_Logic]_Control Logic Diagram for BOP</t>
    <phoneticPr fontId="24" type="noConversion"/>
  </si>
  <si>
    <t>GRT-YF00-P0LA-161305</t>
    <phoneticPr fontId="24" type="noConversion"/>
  </si>
  <si>
    <t>GRT-DS-IP-DT-170075</t>
  </si>
  <si>
    <t>GRT-XB00-P0MA-200009</t>
    <phoneticPr fontId="24" type="noConversion"/>
  </si>
  <si>
    <t>[STG]_Lay down plan</t>
    <phoneticPr fontId="24" type="noConversion"/>
  </si>
  <si>
    <t>GRT-XV00-P0MA-200010</t>
    <phoneticPr fontId="24" type="noConversion"/>
  </si>
  <si>
    <t>[STG]_List of pipelines</t>
    <phoneticPr fontId="24" type="noConversion"/>
  </si>
  <si>
    <t>GRT-XN00-P0MA-200011</t>
    <phoneticPr fontId="24" type="noConversion"/>
  </si>
  <si>
    <t>[STG]_List of valves</t>
    <phoneticPr fontId="24" type="noConversion"/>
  </si>
  <si>
    <t>GRT-XV00-P0MA-200012</t>
    <phoneticPr fontId="24" type="noConversion"/>
  </si>
  <si>
    <t>[STG]_List of equipments</t>
    <phoneticPr fontId="24" type="noConversion"/>
  </si>
  <si>
    <t>GRT-YK09-P0MA-200020</t>
    <phoneticPr fontId="24" type="noConversion"/>
  </si>
  <si>
    <t>[STG]_Functional description</t>
    <phoneticPr fontId="24" type="noConversion"/>
  </si>
  <si>
    <t>GRT-YK10-P0MA-200056</t>
    <phoneticPr fontId="24" type="noConversion"/>
  </si>
  <si>
    <t>[STG]_Initial specification for TG installation</t>
    <phoneticPr fontId="24" type="noConversion"/>
  </si>
  <si>
    <t>GRT-DS-IP-DT-170076</t>
  </si>
  <si>
    <t>GRT-YD00-P0MA-200017</t>
    <phoneticPr fontId="24" type="noConversion"/>
  </si>
  <si>
    <t>[STG]_Layout - piping routing -</t>
    <phoneticPr fontId="24" type="noConversion"/>
  </si>
  <si>
    <t>GRT-YU03-P0MA-200041</t>
    <phoneticPr fontId="24" type="noConversion"/>
  </si>
  <si>
    <t>[STG]_Control system function philosophy</t>
    <phoneticPr fontId="24" type="noConversion"/>
  </si>
  <si>
    <t>GRT-DS-IP-DT-170077</t>
  </si>
  <si>
    <t>APPROVED AS NOTED</t>
    <phoneticPr fontId="24" type="noConversion"/>
  </si>
  <si>
    <t>GRT-DS-IP-DT-170079</t>
  </si>
  <si>
    <t>GRT-DS-IP-DT-170080</t>
  </si>
  <si>
    <t>GRT-DS-IP-DT-170081</t>
  </si>
  <si>
    <t>GRT-DS-IP-DT-170084</t>
    <phoneticPr fontId="24" type="noConversion"/>
  </si>
  <si>
    <t>OUNLINE DRAWING FOR CCW EXPANSION HEAD TANK</t>
    <phoneticPr fontId="24" type="noConversion"/>
  </si>
  <si>
    <t>OUNLINE DRAWING FOR CCW CHEMICAL ADDITIVE TANK</t>
    <phoneticPr fontId="24" type="noConversion"/>
  </si>
  <si>
    <t>OUNLINE DRAWING FOR ATMOSPHERIC FLASH TANK</t>
    <phoneticPr fontId="24" type="noConversion"/>
  </si>
  <si>
    <t>GRT-DS-IP-DT-170085</t>
  </si>
  <si>
    <t>GRT-DS-IP-DT-170086</t>
  </si>
  <si>
    <t>GRT-DS-IP-DT-170082</t>
    <phoneticPr fontId="24" type="noConversion"/>
  </si>
  <si>
    <t>[Steam, Feedwater &amp; condensate system]_PROCESS FLOW DIAGRAM</t>
  </si>
  <si>
    <t>[Aux. &amp; closed Cooling Water System]_PROCESS FLOW DIAGRAM</t>
  </si>
  <si>
    <t>GRT-XG02-P0LA-110002</t>
  </si>
  <si>
    <t>GRT-DS-IP-DT-170083</t>
    <phoneticPr fontId="24" type="noConversion"/>
  </si>
  <si>
    <t>GRT-DS-IP-DT-170087</t>
  </si>
  <si>
    <t>GRT-DS-IP-DT-170088</t>
    <phoneticPr fontId="24" type="noConversion"/>
  </si>
  <si>
    <t>GRT-DS-IP-DT-170089</t>
    <phoneticPr fontId="24" type="noConversion"/>
  </si>
  <si>
    <t>STG Loads plan - Levels</t>
    <phoneticPr fontId="24" type="noConversion"/>
  </si>
  <si>
    <t>GRT-DS-IP-DT-170090</t>
    <phoneticPr fontId="24" type="noConversion"/>
  </si>
  <si>
    <t>GRT-QM01-P0ZEN-040001</t>
    <phoneticPr fontId="24" type="noConversion"/>
  </si>
  <si>
    <t>GRT-DS-IP-DT-170093</t>
    <phoneticPr fontId="24" type="noConversion"/>
  </si>
  <si>
    <t>GRT-DS-IP-DT-170094</t>
    <phoneticPr fontId="24" type="noConversion"/>
  </si>
  <si>
    <t>GRT-DS-IP-DT-170095</t>
    <phoneticPr fontId="24" type="noConversion"/>
  </si>
  <si>
    <t>GRT-XH01-P0UMA-144521</t>
    <phoneticPr fontId="24" type="noConversion"/>
  </si>
  <si>
    <t>[Steam Turbine Building_Piping]_Piping Arrangement</t>
    <phoneticPr fontId="24" type="noConversion"/>
  </si>
  <si>
    <t>GRT-XH01-P0UZT-144522</t>
    <phoneticPr fontId="24" type="noConversion"/>
  </si>
  <si>
    <t>[Pipe Rack_Piping]_Piping Arrangement</t>
    <phoneticPr fontId="24" type="noConversion"/>
  </si>
  <si>
    <t>GRT-XH01-P0UTG-144523</t>
    <phoneticPr fontId="24" type="noConversion"/>
  </si>
  <si>
    <t>[N2 Gas Shelter_Piping]_Piping Arrangement</t>
    <phoneticPr fontId="24" type="noConversion"/>
  </si>
  <si>
    <t>GRT-DS-IP-DT-170096</t>
    <phoneticPr fontId="24" type="noConversion"/>
  </si>
  <si>
    <t>GRT-UE00-P0ZEN-100003</t>
    <phoneticPr fontId="24" type="noConversion"/>
  </si>
  <si>
    <t>GRT-DS-IP-DT-170097</t>
    <phoneticPr fontId="24" type="noConversion"/>
  </si>
  <si>
    <t>GRT-CN00-P0ZEN-110104</t>
    <phoneticPr fontId="24" type="noConversion"/>
  </si>
  <si>
    <t>[Plant Overall]_Hazardous Area Classification</t>
    <phoneticPr fontId="24" type="noConversion"/>
  </si>
  <si>
    <t>GRT-DS-IP-DT-170098</t>
  </si>
  <si>
    <t>GRT-DS-IP-DT-170092</t>
  </si>
  <si>
    <t>GRT-DS-IP-DT-170099</t>
  </si>
  <si>
    <t>GRT-DS-IP-DT-170100</t>
  </si>
  <si>
    <t>GRT-DS-IP-DT-170101</t>
    <phoneticPr fontId="24" type="noConversion"/>
  </si>
  <si>
    <t>GRT-DS-IP-DT-170102</t>
  </si>
  <si>
    <t>GRT-DS-IP-DT-170103</t>
    <phoneticPr fontId="24" type="noConversion"/>
  </si>
  <si>
    <t>GRT-DS-IP-DT-170104</t>
  </si>
  <si>
    <t>GRT-DS-IP-DT-170105</t>
  </si>
  <si>
    <t>GRT-DS-IP-DT-170106</t>
  </si>
  <si>
    <t>GRT-DS-IP-DT-170108</t>
    <phoneticPr fontId="24" type="noConversion"/>
  </si>
  <si>
    <t>GRT-DS-IP-DT-170109</t>
    <phoneticPr fontId="24" type="noConversion"/>
  </si>
  <si>
    <t>GRT-DS-IP-DT-170110</t>
    <phoneticPr fontId="24" type="noConversion"/>
  </si>
  <si>
    <t>GRT-DS-IP-DT-170107</t>
    <phoneticPr fontId="24" type="noConversion"/>
  </si>
  <si>
    <t>GRT-DS-IP-DT-170111</t>
    <phoneticPr fontId="24" type="noConversion"/>
  </si>
  <si>
    <t>GRT-DS-IP-DT-170112</t>
    <phoneticPr fontId="24" type="noConversion"/>
  </si>
  <si>
    <t>GRT-DS-IP-DT-170113</t>
    <phoneticPr fontId="24" type="noConversion"/>
  </si>
  <si>
    <t>GRT-DS-IP-DT-170114</t>
    <phoneticPr fontId="24" type="noConversion"/>
  </si>
  <si>
    <t>GRT-XG02-P0SC-120003</t>
    <phoneticPr fontId="24" type="noConversion"/>
  </si>
  <si>
    <t>[Compressed air system]_P&amp;I DIAGRAM FOR SERVICE AIR SYSTEM</t>
    <phoneticPr fontId="24" type="noConversion"/>
  </si>
  <si>
    <t>GRT-DS-IP-DT-170115</t>
    <phoneticPr fontId="24" type="noConversion"/>
  </si>
  <si>
    <t>GRT-DS-IP-DT-170116</t>
    <phoneticPr fontId="24" type="noConversion"/>
  </si>
  <si>
    <t>GRT-DS-IP-DT-170117</t>
    <phoneticPr fontId="24" type="noConversion"/>
  </si>
  <si>
    <t>GRT-DS-IP-DT-170118</t>
    <phoneticPr fontId="24" type="noConversion"/>
  </si>
  <si>
    <t>Closed</t>
    <phoneticPr fontId="24" type="noConversion"/>
  </si>
  <si>
    <t>5th DRM</t>
    <phoneticPr fontId="24" type="noConversion"/>
  </si>
  <si>
    <t>GRT-DS-IP-DT-170121</t>
    <phoneticPr fontId="24" type="noConversion"/>
  </si>
  <si>
    <t>GRT-XG02-P0MAJ-460101</t>
    <phoneticPr fontId="24" type="noConversion"/>
  </si>
  <si>
    <t>P &amp; ID For Condenser Vacuum Pump</t>
    <phoneticPr fontId="24" type="noConversion"/>
  </si>
  <si>
    <t>GRT-XG02-P0MAJ-460201</t>
    <phoneticPr fontId="24" type="noConversion"/>
  </si>
  <si>
    <t>P &amp; ID For Water Box Vacuum Pump</t>
    <phoneticPr fontId="24" type="noConversion"/>
  </si>
  <si>
    <t>GRT-DS-IP-DT-170119</t>
    <phoneticPr fontId="24" type="noConversion"/>
  </si>
  <si>
    <t>GRT-DS-IP-DT-170120</t>
  </si>
  <si>
    <t>Piping ISO (Large Bore) - HP Steam</t>
    <phoneticPr fontId="50" type="noConversion"/>
  </si>
  <si>
    <t>Piping ISO (Large Bore) - LP Steam</t>
    <phoneticPr fontId="50" type="noConversion"/>
  </si>
  <si>
    <t>Piping ISO (Large Bore) - Feedwater</t>
    <phoneticPr fontId="50" type="noConversion"/>
  </si>
  <si>
    <t>Piping ISO (Large Bore) - Condensate</t>
    <phoneticPr fontId="50" type="noConversion"/>
  </si>
  <si>
    <t>GRT-DS-IP-DT-170124</t>
    <phoneticPr fontId="24" type="noConversion"/>
  </si>
  <si>
    <t>[Crane &amp; Hoist(DHI)]_HOIST_GA DRAWING FOR HOISTS</t>
    <phoneticPr fontId="24" type="noConversion"/>
  </si>
  <si>
    <t>GRT-DS-IP-DT-170124</t>
  </si>
  <si>
    <t>[Crane &amp; Hoist(DHI)]_HOIST_DATA SHEETS FOR HOISTS</t>
    <phoneticPr fontId="24" type="noConversion"/>
  </si>
  <si>
    <t>GRT-DS-IP-DT-170125</t>
  </si>
  <si>
    <t>[HRSG]_SEQUENCES &amp; CONTROLS</t>
    <phoneticPr fontId="24" type="noConversion"/>
  </si>
  <si>
    <t>GRT-DS-IP-DT-170128</t>
  </si>
  <si>
    <t>GRT-QA00-P0H-040005</t>
    <phoneticPr fontId="24" type="noConversion"/>
  </si>
  <si>
    <t xml:space="preserve"> [HRSG]_NDE Procedure for HRSG Heat Exchanger</t>
  </si>
  <si>
    <t>GRT-DS-IP-DT-170129</t>
  </si>
  <si>
    <t>GRT-DS-IP-DT-170130</t>
  </si>
  <si>
    <t>GRT-DP00-P0ZEN-070001</t>
    <phoneticPr fontId="24" type="noConversion"/>
  </si>
  <si>
    <t>Painting specification</t>
    <phoneticPr fontId="24" type="noConversion"/>
  </si>
  <si>
    <t>GRT-DS-IP-DT-170131</t>
  </si>
  <si>
    <t>GRT-DS-IP-DT-170127</t>
  </si>
  <si>
    <t>GRT-DS-IP-DT-170133</t>
  </si>
  <si>
    <t>[Blowdown Cooler]_DATA SHEET FOR PLATE TYPE HEAT EXCHANGER</t>
    <phoneticPr fontId="24" type="noConversion"/>
  </si>
  <si>
    <t>GRT-DS-IP-DT-170134</t>
    <phoneticPr fontId="24" type="noConversion"/>
  </si>
  <si>
    <t>GRT-DS-IP-DT-170137</t>
  </si>
  <si>
    <t>[HRSG]_DATA &amp; BOM OF INSULATION FOR DRUM AND BLOWDOWN TANK</t>
    <phoneticPr fontId="24" type="noConversion"/>
  </si>
  <si>
    <t>GRT-DS-IP-DT-170138</t>
    <phoneticPr fontId="24" type="noConversion"/>
  </si>
  <si>
    <t>GRT-QA00-P0H-040006</t>
    <phoneticPr fontId="24" type="noConversion"/>
  </si>
  <si>
    <t>[HRSG]_Shop Quality Manual for HRSG</t>
    <phoneticPr fontId="24" type="noConversion"/>
  </si>
  <si>
    <t>GRT-DS-IP-DT-170136</t>
  </si>
  <si>
    <t>[Piping General]_Stress Analysis Report for HP steam system</t>
    <phoneticPr fontId="24" type="noConversion"/>
  </si>
  <si>
    <t>GRT-DF04-P0ZEN-144513</t>
    <phoneticPr fontId="24" type="noConversion"/>
  </si>
  <si>
    <t>[Piping General]_Stress Analysis Report for LP steam system</t>
    <phoneticPr fontId="24" type="noConversion"/>
  </si>
  <si>
    <t>GRT-DF04-P0ZEN-144514</t>
    <phoneticPr fontId="24" type="noConversion"/>
  </si>
  <si>
    <t>[Piping General]_Stress Analysis Report for Aux.steam system</t>
    <phoneticPr fontId="24" type="noConversion"/>
  </si>
  <si>
    <t>GRT-DF04-P0ZEN-144515</t>
    <phoneticPr fontId="24" type="noConversion"/>
  </si>
  <si>
    <t>[Piping General]_Stress Analysis Report for Feedwater system</t>
    <phoneticPr fontId="24" type="noConversion"/>
  </si>
  <si>
    <t>Piping ISO (Large Bore) - Aux. Steam</t>
    <phoneticPr fontId="50" type="noConversion"/>
  </si>
  <si>
    <t>Piping ISO (Large Bore) - Steam drain</t>
    <phoneticPr fontId="50" type="noConversion"/>
  </si>
  <si>
    <t>Piping ISO (Large Bore) - CCW</t>
    <phoneticPr fontId="50" type="noConversion"/>
  </si>
  <si>
    <t>GRT-DS-IP-DT-170139</t>
  </si>
  <si>
    <t>GRT-DS-IP-DT-170140</t>
  </si>
  <si>
    <t>GRT-YT01-P0MAJ-460104</t>
    <phoneticPr fontId="24" type="noConversion"/>
  </si>
  <si>
    <t xml:space="preserve">Technical Data Sheet </t>
    <phoneticPr fontId="24" type="noConversion"/>
  </si>
  <si>
    <t>GRT-DS-IP-DT-170141</t>
  </si>
  <si>
    <t>GRT-DS-IP-DT-170142</t>
  </si>
  <si>
    <t>GRT-DS-IP-DT-170144</t>
  </si>
  <si>
    <t>GRT-DS-IP-DT-170146</t>
  </si>
  <si>
    <t>GRT-DS-IP-DT-170147</t>
  </si>
  <si>
    <t>GRT-XJ00-P0PAB-140007</t>
    <phoneticPr fontId="24" type="noConversion"/>
  </si>
  <si>
    <t>GRT-DS-IP-DT-170148</t>
  </si>
  <si>
    <t>GRT-DS-IP-DT-170149</t>
    <phoneticPr fontId="24" type="noConversion"/>
  </si>
  <si>
    <t>GRT-DS-IP-DT-170150</t>
    <phoneticPr fontId="24" type="noConversion"/>
  </si>
  <si>
    <t>GRT-XG07-P0PA-110304</t>
    <phoneticPr fontId="24" type="noConversion"/>
  </si>
  <si>
    <t>[Aux. &amp; Closed Cooling Water System]_PROCESS  FLOW DIAGRAM</t>
    <phoneticPr fontId="24" type="noConversion"/>
  </si>
  <si>
    <t>GRT-DS-IP-DT-170151</t>
    <phoneticPr fontId="24" type="noConversion"/>
  </si>
  <si>
    <t>GRT-XB00-P0MA-200002</t>
    <phoneticPr fontId="24" type="noConversion"/>
  </si>
  <si>
    <t>GRT-YK00-P0MA-200040</t>
    <phoneticPr fontId="24" type="noConversion"/>
  </si>
  <si>
    <t>[STG]_I&amp;C Lay-outs</t>
    <phoneticPr fontId="24" type="noConversion"/>
  </si>
  <si>
    <t>GRT-DS-IP-DT-170152</t>
    <phoneticPr fontId="24" type="noConversion"/>
  </si>
  <si>
    <t>GRT-YS05-P0ZEN-162701</t>
    <phoneticPr fontId="24" type="noConversion"/>
  </si>
  <si>
    <t>[INC_Design_Criteria_Cable]_Typical I&amp;C Cable Installation Drawing for Field Instrument</t>
    <phoneticPr fontId="24" type="noConversion"/>
  </si>
  <si>
    <t>GRT-YS05-P0ZEN-162702</t>
    <phoneticPr fontId="24" type="noConversion"/>
  </si>
  <si>
    <t>[INC_Design_Criteria_Cable]_Typical I&amp;C Cable Installation Drawing for Control Valve</t>
    <phoneticPr fontId="24" type="noConversion"/>
  </si>
  <si>
    <t>GRT-YS05-P0ZEN-162703</t>
    <phoneticPr fontId="24" type="noConversion"/>
  </si>
  <si>
    <t>[INC_Design_Criteria_Cable]_Typical I&amp;C Cable Installation Drawing for MOV</t>
    <phoneticPr fontId="24" type="noConversion"/>
  </si>
  <si>
    <t>GRT-YS05-P0ZEN-162704</t>
    <phoneticPr fontId="24" type="noConversion"/>
  </si>
  <si>
    <t>[INC_Design_Criteria_Cable]_Typical I&amp;C Cable Installation Drawing for Instrument Rack and Junction Box</t>
    <phoneticPr fontId="24" type="noConversion"/>
  </si>
  <si>
    <t>GRT-YS05-P0ZEN-162705</t>
    <phoneticPr fontId="24" type="noConversion"/>
  </si>
  <si>
    <t>[INC_Design_Criteria_Cable]_Typical I&amp;C Cable Installation Drawing for Conduit Support</t>
    <phoneticPr fontId="24" type="noConversion"/>
  </si>
  <si>
    <t>GRT-DS-IP-DT-170156</t>
  </si>
  <si>
    <t>GRT-XJ00-P0LBA-143001</t>
    <phoneticPr fontId="24" type="noConversion"/>
  </si>
  <si>
    <t>GRT-XJ00-P0LBA-143002</t>
    <phoneticPr fontId="24" type="noConversion"/>
  </si>
  <si>
    <t>GRT-XJ00-P0LCM-143004</t>
    <phoneticPr fontId="24" type="noConversion"/>
  </si>
  <si>
    <t>Piping ISO (Small Bore) - Steam drain</t>
    <phoneticPr fontId="50" type="noConversion"/>
  </si>
  <si>
    <t>GRT-DS-IP-DT-170157</t>
    <phoneticPr fontId="24" type="noConversion"/>
  </si>
  <si>
    <t>GRT-DS-IP-DT-170159</t>
    <phoneticPr fontId="24" type="noConversion"/>
  </si>
  <si>
    <t>GRT-DS-IP-DT-170161</t>
  </si>
  <si>
    <t>[Chemical Dosing System]_P&amp;ID</t>
    <phoneticPr fontId="24" type="noConversion"/>
  </si>
  <si>
    <t>GRT-DS-IP-DT-170161</t>
    <phoneticPr fontId="24" type="noConversion"/>
  </si>
  <si>
    <t>GRT-DS-IP-DT-170162</t>
  </si>
  <si>
    <t>GRT-DS-IP-DT-170163</t>
  </si>
  <si>
    <t>GRT-DS-IP-DT-170158</t>
  </si>
  <si>
    <t>APPROVED AS NOTED</t>
  </si>
  <si>
    <t>GRT-DS-IP-DT-170165</t>
  </si>
  <si>
    <t>GRT-DS-IP-DT-170167</t>
  </si>
  <si>
    <t>GRT-DS-IP-DT-170168</t>
  </si>
  <si>
    <t>GRT-DS-IP-DT-170170</t>
  </si>
  <si>
    <t>REJECTED</t>
    <phoneticPr fontId="24" type="noConversion"/>
  </si>
  <si>
    <t>GRT-DS-IP-DT-170171</t>
  </si>
  <si>
    <t>GRT-DS-IP-DT-170172</t>
    <phoneticPr fontId="24" type="noConversion"/>
  </si>
  <si>
    <t>GRT-YS00-P0ZEN-163310</t>
  </si>
  <si>
    <t>GRT-DS-IP-DT-170169</t>
  </si>
  <si>
    <t>GRT-XJ00-P0LBG-143003</t>
    <phoneticPr fontId="24" type="noConversion"/>
  </si>
  <si>
    <t>GRT-XJ00-P0LAB-143005</t>
    <phoneticPr fontId="24" type="noConversion"/>
  </si>
  <si>
    <t>GRT-XJ00-P0LCA-143006</t>
    <phoneticPr fontId="24" type="noConversion"/>
  </si>
  <si>
    <t>GRT-XJ00-P0PAB-143015</t>
    <phoneticPr fontId="24" type="noConversion"/>
  </si>
  <si>
    <t>GRT-XJ00-P0QC-143016</t>
    <phoneticPr fontId="24" type="noConversion"/>
  </si>
  <si>
    <t>Piping ISO (Small Bore) - Chemical dosing</t>
    <phoneticPr fontId="50" type="noConversion"/>
  </si>
  <si>
    <t>GRT-DS-IP-DT-170173</t>
  </si>
  <si>
    <t>GRT-DS-IP-DT-170174</t>
    <phoneticPr fontId="24" type="noConversion"/>
  </si>
  <si>
    <t>GRT-DS-IP-DT-170175</t>
    <phoneticPr fontId="24" type="noConversion"/>
  </si>
  <si>
    <t>GRT-DS-IP-DT-170178</t>
    <phoneticPr fontId="24" type="noConversion"/>
  </si>
  <si>
    <t>GRT-DS-IP-DT-170177</t>
    <phoneticPr fontId="24" type="noConversion"/>
  </si>
  <si>
    <t>GRT-DS-IP-DT-170179</t>
  </si>
  <si>
    <t>GRT-DS-IP-DT-170154</t>
  </si>
  <si>
    <t>GRT-DS-IP-DT-170186</t>
  </si>
  <si>
    <t>GRT-DS-IP-DT-170187</t>
  </si>
  <si>
    <t>GRT-DS-IP-DT-170189</t>
  </si>
  <si>
    <t>GRT-DS-IP-DT-170176</t>
  </si>
  <si>
    <t>GRT-DS-IP-DT-170183</t>
  </si>
  <si>
    <t>GRT-DS-IP-DT-170184</t>
  </si>
  <si>
    <t>GRT-DS-IP-DT-170191</t>
  </si>
  <si>
    <t>GRT-XJ00-P0PAB-143007</t>
    <phoneticPr fontId="24" type="noConversion"/>
  </si>
  <si>
    <t>GRT-XJ00-P0PGB-143008</t>
    <phoneticPr fontId="24" type="noConversion"/>
  </si>
  <si>
    <t>GRT-XJ00-P0QJA-143009</t>
    <phoneticPr fontId="24" type="noConversion"/>
  </si>
  <si>
    <t>GRT-XJ00-P0LCW-143014</t>
    <phoneticPr fontId="24" type="noConversion"/>
  </si>
  <si>
    <t>Piping ISO (Small Bore) - Seal Water</t>
    <phoneticPr fontId="50" type="noConversion"/>
  </si>
  <si>
    <t>GRT-DS-IP-DT-170192</t>
  </si>
  <si>
    <t>[Condensate Extraction Pump]_PUMP SECTIONAL DRAWING</t>
    <phoneticPr fontId="24" type="noConversion"/>
  </si>
  <si>
    <t>[Condensate Extraction Pump]_COUPLING SPECIFICATION</t>
    <phoneticPr fontId="24" type="noConversion"/>
  </si>
  <si>
    <t>GRT-DS-IP-DT-170193</t>
  </si>
  <si>
    <t xml:space="preserve">[Aux. Cooling Water Pump]_DATA SHEET FOR AUXILIARY </t>
  </si>
  <si>
    <t>GRT-DS-IP-DT-170194</t>
  </si>
  <si>
    <t>[Sampling System]_VALVE LIST</t>
    <phoneticPr fontId="24" type="noConversion"/>
  </si>
  <si>
    <t>[Sampling System]_CONTROL CONFIGURATION DIAGRAM</t>
    <phoneticPr fontId="24" type="noConversion"/>
  </si>
  <si>
    <t>[Sampling System]_INSTUMENT LIST</t>
  </si>
  <si>
    <t>GRT-DS-IP-DT-170195</t>
    <phoneticPr fontId="24" type="noConversion"/>
  </si>
  <si>
    <t>GRT-DS-IP-DT-170195</t>
  </si>
  <si>
    <t>GRT-DS-IP-DT-170196</t>
    <phoneticPr fontId="24" type="noConversion"/>
  </si>
  <si>
    <t>OUTLINE DRAWING FOR CCW HEAT EXCHANGER</t>
    <phoneticPr fontId="24" type="noConversion"/>
  </si>
  <si>
    <t>GRT-DS-IP-DT-170155</t>
    <phoneticPr fontId="24" type="noConversion"/>
  </si>
  <si>
    <t>GRT-YD08-P0UMA-164311</t>
    <phoneticPr fontId="24" type="noConversion"/>
  </si>
  <si>
    <t>[Steam Turbine Building_INC_ILD]_BOP_Instrument Location Drawing</t>
    <phoneticPr fontId="24" type="noConversion"/>
  </si>
  <si>
    <t>GRT-DS-IP-DT-170197</t>
    <phoneticPr fontId="24" type="noConversion"/>
  </si>
  <si>
    <t>GRT-CV03-P0ZEN-163704</t>
    <phoneticPr fontId="24" type="noConversion"/>
  </si>
  <si>
    <t>[Control Valves(DHI)]_Technical Specification &amp; Datasheet for Control Valve - BOP</t>
    <phoneticPr fontId="24" type="noConversion"/>
  </si>
  <si>
    <t>GRT-DS-IP-DT-170190</t>
    <phoneticPr fontId="24" type="noConversion"/>
  </si>
  <si>
    <t>GRT-XK00-P0ZEN-144511</t>
    <phoneticPr fontId="24" type="noConversion"/>
  </si>
  <si>
    <t>[Piping General]_Typical Installation Drawing for Pipe Support</t>
    <phoneticPr fontId="24" type="noConversion"/>
  </si>
  <si>
    <t>GRT-DS-IP-DT-170180</t>
  </si>
  <si>
    <t>[Bypass Valve &amp; PRDS]_DATA SHEET FOR BYPASS AND PRDS</t>
    <phoneticPr fontId="24" type="noConversion"/>
  </si>
  <si>
    <t>[Bypass Valve &amp; PRDS]_OUTLINE DRAWING FOR BYPASS AND PRDS</t>
    <phoneticPr fontId="24" type="noConversion"/>
  </si>
  <si>
    <t>GRT-DS-IP-DT-170180</t>
    <phoneticPr fontId="24" type="noConversion"/>
  </si>
  <si>
    <t>GRT-YK09-P0LB-111106</t>
    <phoneticPr fontId="24" type="noConversion"/>
  </si>
  <si>
    <t>[Bypass Valve &amp; PRDS]_Sectional drawing</t>
    <phoneticPr fontId="24" type="noConversion"/>
  </si>
  <si>
    <t>GRT-DS-IP-DT-170153</t>
    <phoneticPr fontId="24" type="noConversion"/>
  </si>
  <si>
    <t>GRT-CV03-P0ZEN-163706</t>
    <phoneticPr fontId="24" type="noConversion"/>
  </si>
  <si>
    <t>[Local Boxes(DHI)]_Technical Specification for Junction Box &amp; Racks</t>
    <phoneticPr fontId="24" type="noConversion"/>
  </si>
  <si>
    <t>GRT-DS-IP-DT-170199</t>
    <phoneticPr fontId="24" type="noConversion"/>
  </si>
  <si>
    <t>[Pipe rack_Piping]_Piping Arrangement</t>
    <phoneticPr fontId="24" type="noConversion"/>
  </si>
  <si>
    <t>GRT-DS-IP-DT-170198</t>
    <phoneticPr fontId="24" type="noConversion"/>
  </si>
  <si>
    <t>GRT-XL35-P0LB-111109</t>
    <phoneticPr fontId="24" type="noConversion"/>
  </si>
  <si>
    <t>[Bypass Valve &amp; PRDS]_Instrument List &amp; Database Sheet</t>
    <phoneticPr fontId="24" type="noConversion"/>
  </si>
  <si>
    <t>GRT-YS18-P0LB-111111</t>
    <phoneticPr fontId="24" type="noConversion"/>
  </si>
  <si>
    <t>[Bypass Valve &amp; PRDS]_Pneumatic Diagram</t>
    <phoneticPr fontId="24" type="noConversion"/>
  </si>
  <si>
    <t>GRT-YS00-P0LB-111112</t>
    <phoneticPr fontId="24" type="noConversion"/>
  </si>
  <si>
    <t>[Bypass Valve &amp; PRDS]_Wiring Diagram</t>
    <phoneticPr fontId="24" type="noConversion"/>
  </si>
  <si>
    <t>GRT-DS-IP-DT-170200</t>
    <phoneticPr fontId="24" type="noConversion"/>
  </si>
  <si>
    <t>GRT-XG02-P0SC-120001</t>
    <phoneticPr fontId="24" type="noConversion"/>
  </si>
  <si>
    <t>[Compressed air system]_P&amp;I DIAGRAM FOR COMPRESSED AIR SYSTEM</t>
    <phoneticPr fontId="24" type="noConversion"/>
  </si>
  <si>
    <t>GRT-XG02-P0SC-120002</t>
    <phoneticPr fontId="24" type="noConversion"/>
  </si>
  <si>
    <t>[Compressed air system]_P&amp;I DIAGRAM FOR INSTRUMENT AIR SYSTEM</t>
    <phoneticPr fontId="24" type="noConversion"/>
  </si>
  <si>
    <t>GRT-DS-IP-DT-170202</t>
    <phoneticPr fontId="24" type="noConversion"/>
  </si>
  <si>
    <t>GRT-XW03-P0SC-120006</t>
    <phoneticPr fontId="24" type="noConversion"/>
  </si>
  <si>
    <t>GRT-DS-IP-DT-170201</t>
    <phoneticPr fontId="24" type="noConversion"/>
  </si>
  <si>
    <t>GRT-XG02-P0SCA-120008</t>
    <phoneticPr fontId="24" type="noConversion"/>
  </si>
  <si>
    <t>[Air Compressor]_P&amp;I DIAGRAM FOR AIR COMPRESSOR PACKAGE</t>
    <phoneticPr fontId="24" type="noConversion"/>
  </si>
  <si>
    <t>GRT-DS-IP-DT-170203</t>
    <phoneticPr fontId="24" type="noConversion"/>
  </si>
  <si>
    <t>GRT-XW01-P0SCA-120009</t>
    <phoneticPr fontId="24" type="noConversion"/>
  </si>
  <si>
    <t>[Air Compressor]_AIR COMPRESSOR SPECIFICATION</t>
    <phoneticPr fontId="24" type="noConversion"/>
  </si>
  <si>
    <t>GRT-XW01-P0SCA-120010</t>
    <phoneticPr fontId="24" type="noConversion"/>
  </si>
  <si>
    <t>[Air Compressor]_AIR DRYER SPECIFICATION</t>
    <phoneticPr fontId="24" type="noConversion"/>
  </si>
  <si>
    <t>GRT-XW01-P0SCA-120011</t>
    <phoneticPr fontId="24" type="noConversion"/>
  </si>
  <si>
    <t>[Air Compressor]_AIR RECEIVER SPECIFICATION</t>
    <phoneticPr fontId="24" type="noConversion"/>
  </si>
  <si>
    <t>GRT-XW01-P0SCA-120012</t>
    <phoneticPr fontId="24" type="noConversion"/>
  </si>
  <si>
    <t>[Air Compressor]_AIR FILTER SPECIFICATION</t>
    <phoneticPr fontId="24" type="noConversion"/>
  </si>
  <si>
    <t>GRT-DS-IP-DT-170205</t>
    <phoneticPr fontId="24" type="noConversion"/>
  </si>
  <si>
    <t>GRT-YT01-P0LDB-130047</t>
    <phoneticPr fontId="24" type="noConversion"/>
  </si>
  <si>
    <t>GRT-YT01-P0LDB-130050</t>
    <phoneticPr fontId="24" type="noConversion"/>
  </si>
  <si>
    <t>GRT-YT01-P0LDB-130051</t>
    <phoneticPr fontId="24" type="noConversion"/>
  </si>
  <si>
    <t>GRT-DS-IP-DT-170206</t>
    <phoneticPr fontId="24" type="noConversion"/>
  </si>
  <si>
    <t>GRT-DS-IP-DT-170207</t>
    <phoneticPr fontId="24" type="noConversion"/>
  </si>
  <si>
    <t>GRT-DS-IP-DT-170208</t>
    <phoneticPr fontId="24" type="noConversion"/>
  </si>
  <si>
    <t>GRT-DS-IP-DT-170209</t>
    <phoneticPr fontId="24" type="noConversion"/>
  </si>
  <si>
    <t>GRT-YD07-P0ZEN-161122</t>
    <phoneticPr fontId="24" type="noConversion"/>
  </si>
  <si>
    <t>GRT-DS-IP-DT-170210</t>
    <phoneticPr fontId="24" type="noConversion"/>
  </si>
  <si>
    <t>GRT-CV03-P0ZEN-161110</t>
    <phoneticPr fontId="24" type="noConversion"/>
  </si>
  <si>
    <t>GRT-DS-IP-DT-170211</t>
    <phoneticPr fontId="24" type="noConversion"/>
  </si>
  <si>
    <t>GRT-DS-IP-DT-170212</t>
    <phoneticPr fontId="24" type="noConversion"/>
  </si>
  <si>
    <t>GRT-YT02-P0LAC-122006</t>
    <phoneticPr fontId="24" type="noConversion"/>
  </si>
  <si>
    <t>[HP Feed Water Pump]_LIST AND DATA SHEET FOR INSTRUMENT</t>
    <phoneticPr fontId="24" type="noConversion"/>
  </si>
  <si>
    <t>GRT-YT02-P0LAC-122506</t>
    <phoneticPr fontId="24" type="noConversion"/>
  </si>
  <si>
    <t>[LP Feed Water Pump]_LIST AND DATA SHEET FOR INSTRUMENT</t>
    <phoneticPr fontId="24" type="noConversion"/>
  </si>
  <si>
    <t>GRT-YL22-P0LAC-122007</t>
    <phoneticPr fontId="24" type="noConversion"/>
  </si>
  <si>
    <t>[HP Feed Water Pump]_NAME PLATE DRAWING</t>
    <phoneticPr fontId="24" type="noConversion"/>
  </si>
  <si>
    <t>GRT-DS-IP-DT-170213</t>
    <phoneticPr fontId="24" type="noConversion"/>
  </si>
  <si>
    <t>GRT-XL00-P0ZEN-144503</t>
    <phoneticPr fontId="24" type="noConversion"/>
  </si>
  <si>
    <t>GRT-XL00-P0ZEN-144504</t>
    <phoneticPr fontId="24" type="noConversion"/>
  </si>
  <si>
    <t>GRT-XN00-P0ZEN-144505</t>
    <phoneticPr fontId="24" type="noConversion"/>
  </si>
  <si>
    <t>GRT-DS-IP-DT-170214</t>
    <phoneticPr fontId="24" type="noConversion"/>
  </si>
  <si>
    <t>GRT-QA00-P0H-040002</t>
    <phoneticPr fontId="24" type="noConversion"/>
  </si>
  <si>
    <t>[HRSG]_NDE Procedure for HRSG HP Drum</t>
    <phoneticPr fontId="24" type="noConversion"/>
  </si>
  <si>
    <t>GRT-QA00-P0H-040003</t>
    <phoneticPr fontId="24" type="noConversion"/>
  </si>
  <si>
    <t>[HRSG]_NDE Procedure for HRSG LP Drum</t>
    <phoneticPr fontId="24" type="noConversion"/>
  </si>
  <si>
    <t>[HRSG]_NDE Procedure for HRSG Heat Exchanger</t>
    <phoneticPr fontId="24" type="noConversion"/>
  </si>
  <si>
    <t>GRT-DS-IP-DT-170215</t>
  </si>
  <si>
    <t>GRT-QA00-P0H-040004</t>
    <phoneticPr fontId="24" type="noConversion"/>
  </si>
  <si>
    <t>[HRSG]_Heat Treatment Procedure for HRSG Heat Exchanger</t>
    <phoneticPr fontId="24" type="noConversion"/>
  </si>
  <si>
    <t>GRT-DS-IP-DT-170216</t>
  </si>
  <si>
    <t>GRT-YD00-P0SCA-120007</t>
    <phoneticPr fontId="24" type="noConversion"/>
  </si>
  <si>
    <t>GRT-XB00-P0SCA-120013</t>
    <phoneticPr fontId="24" type="noConversion"/>
  </si>
  <si>
    <t>GRT-DS-IP-DT-170218</t>
    <phoneticPr fontId="24" type="noConversion"/>
  </si>
  <si>
    <t>GRT-YF00-P0ZEN-161310</t>
    <phoneticPr fontId="24" type="noConversion"/>
  </si>
  <si>
    <t>GRT-DS-IP-DT-170219</t>
    <phoneticPr fontId="24" type="noConversion"/>
  </si>
  <si>
    <t>GRT-YF00-P0LC-161206</t>
    <phoneticPr fontId="24" type="noConversion"/>
  </si>
  <si>
    <t>GRT-DS-IP-DT-170220</t>
    <phoneticPr fontId="24" type="noConversion"/>
  </si>
  <si>
    <t>GRT-YF00-P0LC-161306</t>
    <phoneticPr fontId="24" type="noConversion"/>
  </si>
  <si>
    <t>GRT-DS-IP-DT-170221</t>
    <phoneticPr fontId="24" type="noConversion"/>
  </si>
  <si>
    <t>GRT-XJ00-P0SCA-143010</t>
    <phoneticPr fontId="24" type="noConversion"/>
  </si>
  <si>
    <t>Piping ISO (Small Bore) - Compressed air</t>
    <phoneticPr fontId="50" type="noConversion"/>
  </si>
  <si>
    <t>GRT-XJ00-P0SCB-143011</t>
    <phoneticPr fontId="24" type="noConversion"/>
  </si>
  <si>
    <t>GRT-XJ00-P0QFB-143012</t>
    <phoneticPr fontId="24" type="noConversion"/>
  </si>
  <si>
    <t>GRT-XJ00-P0MAA-143013</t>
    <phoneticPr fontId="24" type="noConversion"/>
  </si>
  <si>
    <t>GRT-XJ00-P0QUA-143017</t>
    <phoneticPr fontId="24" type="noConversion"/>
  </si>
  <si>
    <t>Piping ISO (Small Bore) - Sampling</t>
    <phoneticPr fontId="50" type="noConversion"/>
  </si>
  <si>
    <t>GRT-DS-IP-DT-170222</t>
    <phoneticPr fontId="24" type="noConversion"/>
  </si>
  <si>
    <t>GRT-YF00-P0ZEN-161401</t>
    <phoneticPr fontId="24" type="noConversion"/>
  </si>
  <si>
    <t>GRT-DS-IP-DT-170223</t>
    <phoneticPr fontId="24" type="noConversion"/>
  </si>
  <si>
    <t>GRT-YF00-P1LBA-161203</t>
    <phoneticPr fontId="24" type="noConversion"/>
  </si>
  <si>
    <t>GRT-YF00-P1LBA-161303</t>
    <phoneticPr fontId="24" type="noConversion"/>
  </si>
  <si>
    <t>GRT-DS-IP-DT-170224</t>
    <phoneticPr fontId="24" type="noConversion"/>
  </si>
  <si>
    <t>[Piping General]_Piping material specification (BOP)</t>
    <phoneticPr fontId="50" type="noConversion"/>
  </si>
  <si>
    <t>GRT-YT10-P0ZEN-144502</t>
    <phoneticPr fontId="24" type="noConversion"/>
  </si>
  <si>
    <t>[Piping General]_Pipe Thickness Calculation (BOP)</t>
    <phoneticPr fontId="50" type="noConversion"/>
  </si>
  <si>
    <t>GRT-DS-IP-DT-170217</t>
  </si>
  <si>
    <t>[Bypass Valve &amp; PRDS]_OUTLINE DRAWING FOR HYDRAULIC POWER UNIT</t>
    <phoneticPr fontId="24" type="noConversion"/>
  </si>
  <si>
    <t>GRT-DS-IP-DT-170225</t>
  </si>
  <si>
    <t>GRT-YT01-P0MAJ-460105</t>
    <phoneticPr fontId="24" type="noConversion"/>
  </si>
  <si>
    <t>Motor Data sheet and Characteristic Curves and Drawing For CVP</t>
    <phoneticPr fontId="24" type="noConversion"/>
  </si>
  <si>
    <t>GRT-YT01-P0MAJ-460106</t>
    <phoneticPr fontId="24" type="noConversion"/>
  </si>
  <si>
    <t>Heat Exchanger Drawing and Data Sheet For Condenser Vacuum Pump</t>
    <phoneticPr fontId="24" type="noConversion"/>
  </si>
  <si>
    <t>GRT-YT01-P0MAJ-460115</t>
    <phoneticPr fontId="24" type="noConversion"/>
  </si>
  <si>
    <t>Recirculation Pump Data Sheet and Characteristic Curves and Drawing For CVP</t>
    <phoneticPr fontId="24" type="noConversion"/>
  </si>
  <si>
    <t>GRT-PL03-P0MAJ-460120</t>
    <phoneticPr fontId="24" type="noConversion"/>
  </si>
  <si>
    <t>Terminal Point List For Condenser Vacuum Pump</t>
    <phoneticPr fontId="24" type="noConversion"/>
  </si>
  <si>
    <t>GRT-YL10-P0MAJ-460121</t>
    <phoneticPr fontId="24" type="noConversion"/>
  </si>
  <si>
    <t>Spare Part List For Condenser Vacuum Pump</t>
    <phoneticPr fontId="24" type="noConversion"/>
  </si>
  <si>
    <t>GRT-DA06-P0MAJ-460123</t>
    <phoneticPr fontId="24" type="noConversion"/>
  </si>
  <si>
    <t>Lubricant List For Condenser Vacuum Pump</t>
    <phoneticPr fontId="24" type="noConversion"/>
  </si>
  <si>
    <t>GRT-YL00-P0MAJ-460127</t>
    <phoneticPr fontId="24" type="noConversion"/>
  </si>
  <si>
    <t>Instrument Data sheet For Condenser Vacuum Pump</t>
    <phoneticPr fontId="24" type="noConversion"/>
  </si>
  <si>
    <t>GRT-YT01-P0MAJ-460205</t>
    <phoneticPr fontId="24" type="noConversion"/>
  </si>
  <si>
    <t>Motor Data sheet and Characteristic Curves and Drawing For WBVP</t>
    <phoneticPr fontId="24" type="noConversion"/>
  </si>
  <si>
    <t>GRT-YT01-P0MAJ-460206</t>
    <phoneticPr fontId="24" type="noConversion"/>
  </si>
  <si>
    <t>Heat Exchanger Drawing and Data Sheet For Water Box Vacuum Pump</t>
    <phoneticPr fontId="24" type="noConversion"/>
  </si>
  <si>
    <t>GRT-YT01-P0MAJ-460215</t>
    <phoneticPr fontId="24" type="noConversion"/>
  </si>
  <si>
    <t>Recirculation Pump Data Sheet and Characteristic Curves and Drawing For WBVP</t>
    <phoneticPr fontId="24" type="noConversion"/>
  </si>
  <si>
    <t>GRT-PL03-P0MAJ-460220</t>
    <phoneticPr fontId="24" type="noConversion"/>
  </si>
  <si>
    <t>Terminal Point List For Water Box Vacuum Pump</t>
    <phoneticPr fontId="24" type="noConversion"/>
  </si>
  <si>
    <t>GRT-YL10-P0MAJ-460221</t>
    <phoneticPr fontId="24" type="noConversion"/>
  </si>
  <si>
    <t>Spare Part List For Water Box Vacuum Pump</t>
    <phoneticPr fontId="24" type="noConversion"/>
  </si>
  <si>
    <t>GRT-DA06-P0MAJ-460223</t>
    <phoneticPr fontId="24" type="noConversion"/>
  </si>
  <si>
    <t>Lubricant List For Water Box Vacuum Pump</t>
    <phoneticPr fontId="24" type="noConversion"/>
  </si>
  <si>
    <t>GRT-YL00-P0MAJ-460227</t>
    <phoneticPr fontId="24" type="noConversion"/>
  </si>
  <si>
    <t>Instrument Data sheet For Water Box Vacuum Pump</t>
    <phoneticPr fontId="24" type="noConversion"/>
  </si>
  <si>
    <t>GRT-DA06-P0MAJ-460122</t>
    <phoneticPr fontId="24" type="noConversion"/>
  </si>
  <si>
    <t>Utility Consumption List For Condenser Vacuum Pump</t>
    <phoneticPr fontId="24" type="noConversion"/>
  </si>
  <si>
    <t>GRT-DA06-P0MAJ-460222</t>
    <phoneticPr fontId="24" type="noConversion"/>
  </si>
  <si>
    <t>Utility Consumption List For Water Box Vacuum Pump</t>
    <phoneticPr fontId="24" type="noConversion"/>
  </si>
  <si>
    <t>GRT-DS-IP-DT-170204</t>
  </si>
  <si>
    <t>[STG]_Foundation - Static &amp; Dynamic Calculation</t>
    <phoneticPr fontId="24" type="noConversion"/>
  </si>
  <si>
    <t>GRT-DS-IP-DT-170227</t>
  </si>
  <si>
    <t>General Arrangement of Powerblock</t>
  </si>
  <si>
    <t>GRT-DS-IP-DT-170228</t>
  </si>
  <si>
    <t>General Arrangement of Steam Turbine Building Ground Floor Plan</t>
  </si>
  <si>
    <t>General Arrangement of Steam Turbine Building Mezzanine Floor Plan</t>
  </si>
  <si>
    <t>General Arrangement of Steam Turbine Building Operating Floor Plan</t>
  </si>
  <si>
    <t>General Arrangement of Steam Turbine Building Deaerator Floor Plan</t>
  </si>
  <si>
    <t>General Arrangement of Steam Turbine Building Basement Floor Plan</t>
  </si>
  <si>
    <t>GRT-DS-IP-DT-170229</t>
  </si>
  <si>
    <t>GRT-DS-IP-DT-170230</t>
  </si>
  <si>
    <t>GRT-XJ00-P0PAB-140012</t>
    <phoneticPr fontId="24" type="noConversion"/>
  </si>
  <si>
    <t>GRT-DS-IP-DT-170231</t>
  </si>
  <si>
    <t>GRT-DS-IP-DT-170235</t>
  </si>
  <si>
    <t>GRT-DS-IP-DT-170237</t>
  </si>
  <si>
    <t>GRT-DS-IP-DT-170238</t>
  </si>
  <si>
    <t>GRT-DS-IP-DT-170240</t>
  </si>
  <si>
    <t>GRT-DS-IP-DT-170241</t>
  </si>
  <si>
    <t>GRT-DS-IP-DT-170242</t>
  </si>
  <si>
    <t>GRT-DS-IP-DT-170243</t>
  </si>
  <si>
    <t>[HRSG]_DATA &amp; BOM OF INSULATION FOR INTERNAL PIPING</t>
    <phoneticPr fontId="24" type="noConversion"/>
  </si>
  <si>
    <t>GRT-DS-IP-DT-170244</t>
  </si>
  <si>
    <t>GRT-YD00-P0QJA-111000</t>
    <phoneticPr fontId="24" type="noConversion"/>
  </si>
  <si>
    <t>GRT-DS-IP-DT-170245</t>
  </si>
  <si>
    <t>GRT-DS-IP-DT-170246</t>
  </si>
  <si>
    <t xml:space="preserve"> APPROVED</t>
    <phoneticPr fontId="24" type="noConversion"/>
  </si>
  <si>
    <t>GRT-DS-IP-DT-170248</t>
  </si>
  <si>
    <t>GRT-CN00-P0ZEN-110102</t>
  </si>
  <si>
    <t>GRT-DS-IP-DT-170249</t>
  </si>
  <si>
    <t>GRT-DS-IP-DT-170250</t>
  </si>
  <si>
    <t>GRT-DS-IP-DT-170251</t>
  </si>
  <si>
    <t>GRT-DS-IP-DT-170252</t>
  </si>
  <si>
    <t>GRT-DS-IP-DT-170257</t>
  </si>
  <si>
    <t xml:space="preserve">Technical Data Sheet </t>
  </si>
  <si>
    <t>GRT-DS-IP-DT-170253</t>
  </si>
  <si>
    <t>GRT-DS-IP-DT-170255</t>
  </si>
  <si>
    <t>GRT-DS-IP-DT-170259</t>
  </si>
  <si>
    <t>GRT-DS-IP-DT-170258</t>
  </si>
  <si>
    <t>GRT-DS-IP-DT-170262</t>
  </si>
  <si>
    <t>GRT-DS-IP-DT-170263</t>
  </si>
  <si>
    <t>GRT-DS-IP-DT-170264</t>
  </si>
  <si>
    <t>GRT-DS-IP-DT-170266</t>
  </si>
  <si>
    <t>GRT-DS-IP-DT-170265</t>
  </si>
  <si>
    <t>GRT-QA00-P0H-040007</t>
    <phoneticPr fontId="24" type="noConversion"/>
  </si>
  <si>
    <t>GRT-DS-IP-DT-170268</t>
  </si>
  <si>
    <t>GRT-DS-IP-DT-170269</t>
  </si>
  <si>
    <t>GRT-YT10-P0MAG-410101</t>
  </si>
  <si>
    <t>Cathodic Protection System for Condenser_Calculation Sheet</t>
  </si>
  <si>
    <t>Cathodic Protection System for Condenser_The Location of Anode (Inlet Waterbox)</t>
  </si>
  <si>
    <t>GRT-YD00-P0MAG-410104</t>
    <phoneticPr fontId="24" type="noConversion"/>
  </si>
  <si>
    <t>Cathodic Protection System for Condenser_The Location of Anode (Outlet Waterbox)</t>
  </si>
  <si>
    <t>GRT-DS-IP-DT-170270</t>
  </si>
  <si>
    <t>GRT-DS-IP-DT-170273</t>
  </si>
  <si>
    <t>GRT-DS-IP-DT-170274</t>
  </si>
  <si>
    <t>GRT-DS-IP-DT-170276</t>
  </si>
  <si>
    <t>GRT-DS-IP-DT-170281</t>
  </si>
  <si>
    <t>GRT-DS-IP-DT-170282</t>
  </si>
  <si>
    <t>GRT-DS-IP-DT-170285</t>
  </si>
  <si>
    <t>GRT-DS-IP-DT-170278</t>
  </si>
  <si>
    <t>GRT-DS-IP-DT-170286</t>
  </si>
  <si>
    <t>GRT-DS-IP-DT-170280</t>
  </si>
  <si>
    <t>GRT-DS-IP-DT-170288</t>
  </si>
  <si>
    <t>GRT-DS-IP-DT-170289</t>
  </si>
  <si>
    <t>GRT-DS-IP-DT-170290</t>
  </si>
  <si>
    <t>GRT-DS-IP-DT-170292</t>
  </si>
  <si>
    <t>[Chemical Dosing System]_NAME PLATE DRAWING</t>
    <phoneticPr fontId="24" type="noConversion"/>
  </si>
  <si>
    <t>GRT-DS-IP-DT-170294</t>
  </si>
  <si>
    <t>GRT-DS-IP-DT-170293</t>
  </si>
  <si>
    <t>GRT-DS-IP-DT-170299</t>
  </si>
  <si>
    <t>GRT-DS-IP-DT-170305</t>
    <phoneticPr fontId="24" type="noConversion"/>
  </si>
  <si>
    <t>GRT-DS-IP-DT-170305</t>
  </si>
  <si>
    <t>GRT-YL00-P0SCA-120023</t>
    <phoneticPr fontId="24" type="noConversion"/>
  </si>
  <si>
    <t>GRT-DS-IP-DT-170306</t>
  </si>
  <si>
    <t>GRT-DS-IP-DT-170307</t>
  </si>
  <si>
    <t>GRT-DS-IP-DT-170309</t>
  </si>
  <si>
    <t>GRT-DS-IP-DT-170310</t>
  </si>
  <si>
    <t>GRT-DS-IP-DT-170312</t>
  </si>
  <si>
    <t>GRT-DS-IP-DT-170314</t>
  </si>
  <si>
    <t>GRT-DS-IP-DT-170316</t>
  </si>
  <si>
    <t>GRT-DS-IP-DT-170317</t>
  </si>
  <si>
    <t>GRT-DS-IP-DT-170319</t>
  </si>
  <si>
    <t>GRT-DS-IP-DT-170303</t>
  </si>
  <si>
    <t>GRT-DS-IP-DT-170320</t>
  </si>
  <si>
    <t>GRT-DS-IP-DT-170325</t>
    <phoneticPr fontId="24" type="noConversion"/>
  </si>
  <si>
    <t>[Condensate Extraction Pump]_INSTRUMENT LIST</t>
    <phoneticPr fontId="24" type="noConversion"/>
  </si>
  <si>
    <t>[Condensate Extraction Pump]_NAME PLATE DRAWING</t>
    <phoneticPr fontId="24" type="noConversion"/>
  </si>
  <si>
    <t>GRT-DS-IP-DT-170324</t>
    <phoneticPr fontId="24" type="noConversion"/>
  </si>
  <si>
    <t>GRT-DS-IP-DT-170328</t>
    <phoneticPr fontId="24" type="noConversion"/>
  </si>
  <si>
    <t>[Air Compressor]_CONTROL LOGIC &amp; LOOP DIAGRAM</t>
    <phoneticPr fontId="24" type="noConversion"/>
  </si>
  <si>
    <t>GRT-DS-IP-DT-170329</t>
    <phoneticPr fontId="24" type="noConversion"/>
  </si>
  <si>
    <t>[Air Compressor]_CONTROL DESCRIPTION (PHILOSOPHY)</t>
    <phoneticPr fontId="24" type="noConversion"/>
  </si>
  <si>
    <t>GRT-DS-IP-DT-170331</t>
    <phoneticPr fontId="24" type="noConversion"/>
  </si>
  <si>
    <t>Performance Curves For Condenser Vacuum Pump</t>
    <phoneticPr fontId="24" type="noConversion"/>
  </si>
  <si>
    <t>Performance Curves For Water Box Vacuum Pump</t>
    <phoneticPr fontId="24" type="noConversion"/>
  </si>
  <si>
    <t>Foundation Drawing For Condenser Vacuum Pump</t>
    <phoneticPr fontId="24" type="noConversion"/>
  </si>
  <si>
    <t>Foundation Drawing For Water Box Vacuum Pump</t>
    <phoneticPr fontId="24" type="noConversion"/>
  </si>
  <si>
    <t>General Arrangement Drawing For Condenser Vacuum Pump</t>
    <phoneticPr fontId="24" type="noConversion"/>
  </si>
  <si>
    <t>General Arrangement Drawing For Water Box Vacuum Pump</t>
    <phoneticPr fontId="24" type="noConversion"/>
  </si>
  <si>
    <t>GRT-DS-IP-DT-170330</t>
    <phoneticPr fontId="24" type="noConversion"/>
  </si>
  <si>
    <t>[HRSG]_Welders List for HRSG Heat Exchanger</t>
    <phoneticPr fontId="24" type="noConversion"/>
  </si>
  <si>
    <t>APPROVED</t>
    <phoneticPr fontId="46" type="noConversion"/>
  </si>
  <si>
    <t>[HRSG]_WPS&amp;PQR for HRSG Heat Exchanger</t>
    <phoneticPr fontId="24" type="noConversion"/>
  </si>
  <si>
    <t>[HRSG]_Welders List for HRSG HP Drum</t>
    <phoneticPr fontId="24" type="noConversion"/>
  </si>
  <si>
    <t>[HRSG]_WPS&amp;PQR for HRSG HP Drum</t>
    <phoneticPr fontId="24" type="noConversion"/>
  </si>
  <si>
    <t>[HRSG]_Welders List for HRSG LP Drum</t>
    <phoneticPr fontId="24" type="noConversion"/>
  </si>
  <si>
    <t>[HRSG]_WPS&amp;PQR for HRSG LP Drum</t>
    <phoneticPr fontId="24" type="noConversion"/>
  </si>
  <si>
    <t>[HRSG]_NDE Procedure for HRSG Piping</t>
    <phoneticPr fontId="24" type="noConversion"/>
  </si>
  <si>
    <t>[HRSG]_Heat Treatment Procedure for HRSG Piping</t>
    <phoneticPr fontId="24" type="noConversion"/>
  </si>
  <si>
    <t>[HRSG]_Welders List for HRSG Piping</t>
    <phoneticPr fontId="24" type="noConversion"/>
  </si>
  <si>
    <t>[HRSG]_WPS&amp;PQR for HRSG Piping</t>
    <phoneticPr fontId="24" type="noConversion"/>
  </si>
  <si>
    <t>GRT-DS-IP-DT-170326</t>
  </si>
  <si>
    <t>GRT-DS-IP-DT-170332</t>
  </si>
  <si>
    <t>GRT-DS-IP-DT-170334</t>
  </si>
  <si>
    <t>GRT-DS-IP-DT-170335</t>
  </si>
  <si>
    <t>GRT-DS-IP-DT-170337</t>
  </si>
  <si>
    <t>GRT-DS-IP-DT-170313</t>
  </si>
  <si>
    <t>E</t>
  </si>
  <si>
    <t>GRT-DS-IP-DT-170336</t>
  </si>
  <si>
    <t>GRT-DS-IP-DT-170338</t>
  </si>
  <si>
    <t>GRT-DS-IP-DT-170339</t>
  </si>
  <si>
    <t>GRT-DS-IP-DT-170340</t>
  </si>
  <si>
    <t>GRT-DS-IP-DT-170341</t>
  </si>
  <si>
    <t>GRT-DS-IP-DT-170342</t>
  </si>
  <si>
    <t>GRT-DS-IP-DT-170343</t>
  </si>
  <si>
    <t>GRT-DS-IP-DT-170344</t>
  </si>
  <si>
    <t>GRT-DS-IP-DT-170345</t>
  </si>
  <si>
    <t>GRT-DS-IP-DT-170346</t>
  </si>
  <si>
    <t>GRT-DS-IP-DT-170347</t>
  </si>
  <si>
    <t>GRT-DS-IP-DT-170348</t>
  </si>
  <si>
    <t>GRT-DS-IP-DT-170349</t>
  </si>
  <si>
    <t>GRT-DS-IP-DT-170350</t>
  </si>
  <si>
    <t>GRT-DS-IP-DT-170296</t>
    <phoneticPr fontId="24" type="noConversion"/>
  </si>
  <si>
    <t>GRT-DS-IP-DT-170351</t>
  </si>
  <si>
    <t>GRT-DS-IP-DT-170352</t>
  </si>
  <si>
    <t>GRT-DS-IP-DT-170353</t>
  </si>
  <si>
    <t>GRT-DS-IP-DT-170356</t>
  </si>
  <si>
    <t>GRT-DS-IP-DT-170357</t>
  </si>
  <si>
    <t>GRT-DS-IP-DT-170359</t>
  </si>
  <si>
    <t>GRT-DS-IP-DT-170360</t>
  </si>
  <si>
    <t>GRT-DS-IP-DT-170362</t>
  </si>
  <si>
    <t>GRT-DS-IP-DT-170363</t>
  </si>
  <si>
    <t>GRT-DS-IP-DT-170364</t>
  </si>
  <si>
    <t>GRT-DS-IP-DT-170367</t>
  </si>
  <si>
    <t>GRT-DS-IP-DT-170370</t>
  </si>
  <si>
    <t>GRT-DS-IP-DT-170372</t>
  </si>
  <si>
    <t>GRT-DS-IP-DT-170374</t>
  </si>
  <si>
    <t>GRT-DS-IP-DT-170373</t>
  </si>
  <si>
    <t>GRT-DS-IP-DT-170378</t>
  </si>
  <si>
    <t>GRT-DS-IP-DT-170380</t>
  </si>
  <si>
    <t>GRT-DF04-P0MA-200018</t>
    <phoneticPr fontId="24" type="noConversion"/>
  </si>
  <si>
    <t>GRT-DS-IP-DT-170381</t>
  </si>
  <si>
    <t>GRT-DS-IP-DT-170382</t>
  </si>
  <si>
    <t>[Bypass Valve &amp; PRDS]_Data Sheet for HPU</t>
  </si>
  <si>
    <t>GRT-DS-IP-DT-170385</t>
  </si>
  <si>
    <t>GRT-DS-IP-DT-170386</t>
  </si>
  <si>
    <t>GRT-DS-IP-DT-170388</t>
  </si>
  <si>
    <t>GRT-DS-IP-DT-170390</t>
  </si>
  <si>
    <t>GRT-DS-IP-DT-170391</t>
  </si>
  <si>
    <t>GRT-DS-IP-DT-170397</t>
  </si>
  <si>
    <t>GRT-DS-IP-DT-170399</t>
  </si>
  <si>
    <t>GRT-DS-IP-DT-170401</t>
  </si>
  <si>
    <t>GRT-DS-IP-DT-170403</t>
  </si>
  <si>
    <t>GRT-DS-IP-DT-170407</t>
  </si>
  <si>
    <t>GRT-DS-IP-DT-170384</t>
  </si>
  <si>
    <t>GRT-DS-IP-DT-170404</t>
  </si>
  <si>
    <t>GRT-DS-IP-DT-170408</t>
  </si>
  <si>
    <t>GRT-DS-IP-DT-170410</t>
  </si>
  <si>
    <t>GRT-DS-IP-DT-170412</t>
  </si>
  <si>
    <t>GRT-DS-IP-DT-170413</t>
  </si>
  <si>
    <t>GRT-DS-IP-DT-170415</t>
  </si>
  <si>
    <t>GRT-DS-IP-DT-170416</t>
  </si>
  <si>
    <t>GRT-DS-IP-DT-170418</t>
  </si>
  <si>
    <t>GRT-DS-IP-DT-170422</t>
  </si>
  <si>
    <t>GRT-DS-IP-DT-170423</t>
  </si>
  <si>
    <t>GRT-DS-IP-DT-170424</t>
  </si>
  <si>
    <t>GRT-DS-IP-DT-170425</t>
  </si>
  <si>
    <t>GRT-DS-IP-DT-170427</t>
  </si>
  <si>
    <t>GRT-DS-IP-DT-170429</t>
  </si>
  <si>
    <t>GRT-DS-IP-DT-170433</t>
  </si>
  <si>
    <t>GRT-XK00-P0MAJ-460214</t>
    <phoneticPr fontId="24" type="noConversion"/>
  </si>
  <si>
    <t>GRT-DS-IP-DT-170430</t>
  </si>
  <si>
    <t>GRT-DS-IP-DT-170436</t>
  </si>
  <si>
    <t>GRT-DS-IP-DT-170437</t>
  </si>
  <si>
    <t>GRT-DS-IP-DT-170440</t>
  </si>
  <si>
    <t>GRT-DS-IP-DT-170441</t>
  </si>
  <si>
    <t>[STG]_Instrumentation data sheets</t>
    <phoneticPr fontId="24" type="noConversion"/>
  </si>
  <si>
    <t>GRT-DS-IP-DT-170439</t>
  </si>
  <si>
    <t>GRT-DS-IP-DT-170435</t>
  </si>
  <si>
    <t>GRT-DS-ME-DCR-0001</t>
  </si>
  <si>
    <t xml:space="preserve">[DCR] Outline Drawing for Deaerator &amp; Feedwater Storage Tank </t>
    <phoneticPr fontId="24" type="noConversion"/>
  </si>
  <si>
    <t>GRT-DS-IP-DT-170442</t>
  </si>
  <si>
    <t>GRT-DS-IP-DT-170445</t>
  </si>
  <si>
    <t>GRT-DS-IP-DT-170448</t>
  </si>
  <si>
    <t>GRT-DS-IP-DT-170450</t>
  </si>
  <si>
    <t>GRT-YV02-P0PAH-440055</t>
    <phoneticPr fontId="24" type="noConversion"/>
  </si>
  <si>
    <t>APPROVED AS NOTED</t>
    <phoneticPr fontId="46" type="noConversion"/>
  </si>
  <si>
    <t>GRT-DS-IP-DT-170447</t>
  </si>
  <si>
    <t>GRT-DS-IP-DT-170453</t>
  </si>
  <si>
    <t>GRT-DS-IP-DT-170457</t>
  </si>
  <si>
    <t>GRT-DS-IP-DT-170456</t>
  </si>
  <si>
    <t>GRT-DS-IP-DT-170459</t>
    <phoneticPr fontId="24" type="noConversion"/>
  </si>
  <si>
    <t>GRT-DS-IP-DT-170428</t>
  </si>
  <si>
    <t>GRT-DS-IP-DT-170460</t>
  </si>
  <si>
    <t>GRT-DS-IP-DT-170462</t>
  </si>
  <si>
    <t>Operation and Maintenance Manuals</t>
  </si>
  <si>
    <t>GRT-DS-IP-DT-170464</t>
  </si>
  <si>
    <t>GRT-DS-IP-DT-170465</t>
  </si>
  <si>
    <t>GRT-DS-IP-DT-170468</t>
  </si>
  <si>
    <t>GRT-DS-IP-DT-170471</t>
  </si>
  <si>
    <t>GRT-DS-IP-DT-170473</t>
  </si>
  <si>
    <t>GRT-DS-IP-DT-170477</t>
  </si>
  <si>
    <t>GRT-DS-IP-DT-170479</t>
  </si>
  <si>
    <t>GRT-DS-IP-DT-170476</t>
  </si>
  <si>
    <t>GRT-DS-IP-DT-170480</t>
  </si>
  <si>
    <t>Closed</t>
    <phoneticPr fontId="46" type="noConversion"/>
  </si>
  <si>
    <t>GRT-DS-IP-DT-170389</t>
  </si>
  <si>
    <t>GRT-DS-IP-DT-170487</t>
  </si>
  <si>
    <t>GRT-DS-IP-DT-170485</t>
  </si>
  <si>
    <t>GRT-DS-IP-DT-170491</t>
  </si>
  <si>
    <t>GRT-DS-IP-DT-170493</t>
  </si>
  <si>
    <t>GRT-DS-IP-DT-170495</t>
  </si>
  <si>
    <t>GRT-DS-IP-DT-170478</t>
  </si>
  <si>
    <t>GRT-DS-IP-DT-170496</t>
  </si>
  <si>
    <t>GRT-DS-IP-DT-170499</t>
  </si>
  <si>
    <t>GRT-DS-IP-DT-170501</t>
  </si>
  <si>
    <t>GRT-DS-IP-DT-170502</t>
  </si>
  <si>
    <t>GRT-CQ02-P0QU-130035</t>
    <phoneticPr fontId="24" type="noConversion"/>
  </si>
  <si>
    <t>GRT-DS-IP-DT-170509</t>
  </si>
  <si>
    <t>GRT-DS-IP-DT-170510</t>
  </si>
  <si>
    <t>GRT-DS-IP-DT-170511</t>
  </si>
  <si>
    <t>GRT-CQ02-P0MAG-410011</t>
  </si>
  <si>
    <t>GRT-DS-IP-DT-170512</t>
  </si>
  <si>
    <t>GRT-DS-IP-DT-170513</t>
  </si>
  <si>
    <t>GRT-DS-IP-DT-170516</t>
  </si>
  <si>
    <t>GRT-DS-IP-DT-170517</t>
  </si>
  <si>
    <t>GRT-DS-IP-DT-170503</t>
  </si>
  <si>
    <t>GRT-DS-IP-DT-170504</t>
  </si>
  <si>
    <t>Support DWG (Large Bore) – Cooling water</t>
  </si>
  <si>
    <t>GRT-DS-IP-DT-170505</t>
  </si>
  <si>
    <t>GRT-DS-IP-DT-170518</t>
  </si>
  <si>
    <t>GRT-DS-IP-DT-170519</t>
  </si>
  <si>
    <t>GRT-DS-IP-DT-170520</t>
  </si>
  <si>
    <t>Outline Drawing for Deaerator &amp; Feedwater Storage Tank</t>
  </si>
  <si>
    <t>GRT-DS-IP-DT-170521</t>
  </si>
  <si>
    <t>GRT-DS-IP-DT-170525</t>
  </si>
  <si>
    <t>GRT-DS-IP-DT-170522</t>
  </si>
  <si>
    <t>GRT-DS-IP-DT-170529</t>
  </si>
  <si>
    <t>GRT-YK09-P1H-300049</t>
    <phoneticPr fontId="24" type="noConversion"/>
  </si>
  <si>
    <t xml:space="preserve"> </t>
    <phoneticPr fontId="24" type="noConversion"/>
  </si>
  <si>
    <t>GRT-DS-IP-DT-170527</t>
  </si>
  <si>
    <t>GRT-DS-IP-DT-170531</t>
  </si>
  <si>
    <t>GRT-DS-IP-DT-170532</t>
  </si>
  <si>
    <t>GRT-DS-IP-DT-170533</t>
  </si>
  <si>
    <t>GRT-DS-IP-DT-170534</t>
  </si>
  <si>
    <t>GRT-DS-IP-DT-170536</t>
  </si>
  <si>
    <t>GRT-DS-IP-DT-170537</t>
  </si>
  <si>
    <t>GRT-DS-IP-DT-170541</t>
  </si>
  <si>
    <t>GRT-DS-IP-DT-170544</t>
  </si>
  <si>
    <t>GRT-DS-ME-DCR-0002</t>
    <phoneticPr fontId="24" type="noConversion"/>
  </si>
  <si>
    <t>GRT-DS-IP-DT-170546</t>
  </si>
  <si>
    <t>GRT-DS-ME-DCR-0003</t>
    <phoneticPr fontId="24" type="noConversion"/>
  </si>
  <si>
    <t>GRT-DS-IP-DT-180001</t>
  </si>
  <si>
    <t>GRT-DS-IP-DT-180004</t>
  </si>
  <si>
    <t>GRT-DS-IP-DT-180005</t>
  </si>
  <si>
    <t>GRT-DS-IP-DT-180006</t>
  </si>
  <si>
    <t>GRT-DS-IP-DT-180007</t>
  </si>
  <si>
    <t>GRT-DS-IP-DT-180012</t>
    <phoneticPr fontId="24" type="noConversion"/>
  </si>
  <si>
    <t>GRT-DS-ME-DCR-0004</t>
    <phoneticPr fontId="24" type="noConversion"/>
  </si>
  <si>
    <t>GRT-DS-IP-DT-180013</t>
  </si>
  <si>
    <t>GRT-DS-IP-DT-180014</t>
  </si>
  <si>
    <t>[Chemical Dosing System]_O&amp;M MANUAL</t>
    <phoneticPr fontId="24" type="noConversion"/>
  </si>
  <si>
    <t>Condenser_Instrument list and Datasheet for Condenser</t>
    <phoneticPr fontId="24" type="noConversion"/>
  </si>
  <si>
    <t>GRT-DS-IP-DT-180017</t>
  </si>
  <si>
    <t>[STG]_Detail drawings - piping, components and BOM</t>
    <phoneticPr fontId="24" type="noConversion"/>
  </si>
  <si>
    <t>GRT-DS-IP-DT-180019</t>
  </si>
  <si>
    <t>GRT-DS-IP-DT-180018</t>
  </si>
  <si>
    <t>GRT-DS-IP-DT-180020</t>
  </si>
  <si>
    <t>GRT-DS-IP-DT-180021</t>
  </si>
  <si>
    <t>GRT-DS-IP-DT-180022</t>
  </si>
  <si>
    <t>GRT-DS-ME-DCR-0005</t>
  </si>
  <si>
    <t>[DCR] Change of Deaerator &amp; Feedwater Storage Tank outline drawing</t>
    <phoneticPr fontId="24" type="noConversion"/>
  </si>
  <si>
    <t>GRT-DS-IP-DT-180023</t>
  </si>
  <si>
    <t>GRT-DS-ME-DCR-0006</t>
    <phoneticPr fontId="24" type="noConversion"/>
  </si>
  <si>
    <t xml:space="preserve">[DCR] Hardware specification addition for VMS </t>
    <phoneticPr fontId="24" type="noConversion"/>
  </si>
  <si>
    <t>GRT-DS-IP-DT-180024</t>
  </si>
  <si>
    <t>GRT-DS-IP-DT-180026</t>
  </si>
  <si>
    <t>Return</t>
    <phoneticPr fontId="24" type="noConversion"/>
  </si>
  <si>
    <t xml:space="preserve">Becuase IP recipient has not been assigned. </t>
    <phoneticPr fontId="24" type="noConversion"/>
  </si>
  <si>
    <t>GRT-DS-IP-DT-180027</t>
  </si>
  <si>
    <t>GRT-DS-IP-DT-180028</t>
  </si>
  <si>
    <t>GRT-DS-IP-DT-180025</t>
    <phoneticPr fontId="24" type="noConversion"/>
  </si>
  <si>
    <t>GRT-CQ02-P0LCB-121013</t>
    <phoneticPr fontId="24" type="noConversion"/>
  </si>
  <si>
    <t>GRT-DS-IP-DT-180029</t>
  </si>
  <si>
    <t>GRT-DS-IP-DT-180030</t>
  </si>
  <si>
    <t>GRT-DS-IP-DT-180031</t>
  </si>
  <si>
    <t>GRT-DS-IP-DT-180032</t>
  </si>
  <si>
    <t>GRT-DS-ME-DCR-0007</t>
    <phoneticPr fontId="24" type="noConversion"/>
  </si>
  <si>
    <t>[DCR] Addition of 1 x 30% Deaerator LCV</t>
    <phoneticPr fontId="24" type="noConversion"/>
  </si>
  <si>
    <t>GRT-DS-IP-DT-180033</t>
  </si>
  <si>
    <t>Datasheet for Deaerator &amp; Feedwater Storage Tank</t>
  </si>
  <si>
    <t>GRT-DS-IP-DT-180038</t>
  </si>
  <si>
    <t>GRT-DS-IP-DT-180041</t>
  </si>
  <si>
    <t>GRT-DS-IP-DT-180043</t>
  </si>
  <si>
    <t>NOT APPROVED</t>
    <phoneticPr fontId="24" type="noConversion"/>
  </si>
  <si>
    <t>GRT-DS-IP-DT-180047</t>
  </si>
  <si>
    <t>GRT-DS-ME-DCR-0008</t>
  </si>
  <si>
    <t>[DCR] Hardwire specification addition for VMS</t>
    <phoneticPr fontId="24" type="noConversion"/>
  </si>
  <si>
    <t>GRT-DS-IP-DT-180048</t>
  </si>
  <si>
    <t>[Commissioning Procedure] Auxiliary Cooling Water System</t>
  </si>
  <si>
    <t>GRT-DS-IP-DT-180049</t>
  </si>
  <si>
    <t>[Commissioning Procedure] Auxiliary Steam System</t>
  </si>
  <si>
    <t>GRT-DS-IP-DT-180050</t>
  </si>
  <si>
    <t>GRT-DS-IP-DT-180051</t>
  </si>
  <si>
    <t>GRT-DS-IP-DT-180052</t>
  </si>
  <si>
    <t>GRT-DS-IP-DT-180053</t>
  </si>
  <si>
    <t>GRT-DS-IP-DT-180054</t>
  </si>
  <si>
    <t>GRT-DS-IP-DT-180055</t>
  </si>
  <si>
    <t>GRT-DS-IP-DT-180056</t>
  </si>
  <si>
    <t>GRT-DS-IP-DT-180057</t>
  </si>
  <si>
    <t>GRT-DS-IP-DT-180058</t>
  </si>
  <si>
    <t>GRT-DS-IP-DT-180059</t>
  </si>
  <si>
    <t>GRT-DS-IP-DT-180060</t>
  </si>
  <si>
    <t>GRT-DS-IP-DT-180062</t>
  </si>
  <si>
    <t>GRT-DS-IP-DT-180063</t>
  </si>
  <si>
    <t>GRT-DS-ME-DCR-0009</t>
  </si>
  <si>
    <t>GRT-DS-IP-DT-180061</t>
  </si>
  <si>
    <t>GRT-DS-ME-DCR-0010</t>
  </si>
  <si>
    <t>[DCR] Change of piping insulation specification</t>
    <phoneticPr fontId="24" type="noConversion"/>
  </si>
  <si>
    <t>GRT-DS-IP-DT-180064</t>
    <phoneticPr fontId="24" type="noConversion"/>
  </si>
  <si>
    <t>GRT-YK10-P0MA-200057</t>
    <phoneticPr fontId="24" type="noConversion"/>
  </si>
  <si>
    <t>GRT-YK08-P0MA-200047</t>
    <phoneticPr fontId="24" type="noConversion"/>
  </si>
  <si>
    <t>GRT-DS-IP-DT-180066</t>
  </si>
  <si>
    <t>GRT-DS-IP-DT-180067</t>
  </si>
  <si>
    <t>GRT-DS-IC-DCR-0011</t>
  </si>
  <si>
    <t>[DCR] Revision and Detail Specification for Drawing of Flow Element</t>
    <phoneticPr fontId="24" type="noConversion"/>
  </si>
  <si>
    <t>GRT-DS-IP-DT-180069</t>
    <phoneticPr fontId="24" type="noConversion"/>
  </si>
  <si>
    <t>GRT-YU03-P0MA-200049</t>
    <phoneticPr fontId="24" type="noConversion"/>
  </si>
  <si>
    <t>GRT-YL00-P0MA-200048</t>
    <phoneticPr fontId="24" type="noConversion"/>
  </si>
  <si>
    <t>GRT-DS-IP-DT-180068</t>
    <phoneticPr fontId="24" type="noConversion"/>
  </si>
  <si>
    <t>GRT-YR01-P0ZEN-110103</t>
    <phoneticPr fontId="24" type="noConversion"/>
  </si>
  <si>
    <t>GRT-XK00-P0PGB-144008</t>
    <phoneticPr fontId="24" type="noConversion"/>
  </si>
  <si>
    <t>GRT-XK00-P0PAB-144012</t>
    <phoneticPr fontId="24" type="noConversion"/>
  </si>
  <si>
    <t>GRT-XK00-P0SCA-144009</t>
    <phoneticPr fontId="24" type="noConversion"/>
  </si>
  <si>
    <t>GRT-XK00-P0PAB-144007</t>
    <phoneticPr fontId="24" type="noConversion"/>
  </si>
  <si>
    <t>GRT-DS-IP-DT-180072</t>
    <phoneticPr fontId="24" type="noConversion"/>
  </si>
  <si>
    <t>GRT-DS-IP-DT-180073</t>
    <phoneticPr fontId="24" type="noConversion"/>
  </si>
  <si>
    <t>GRT-YK09-P0MA-200035</t>
    <phoneticPr fontId="24" type="noConversion"/>
  </si>
  <si>
    <t>GRT-DS-IP-DT-180074</t>
    <phoneticPr fontId="24" type="noConversion"/>
  </si>
  <si>
    <t>GRT-YL22-P0QC-130018</t>
    <phoneticPr fontId="24" type="noConversion"/>
  </si>
  <si>
    <t>GRT-DS-IP-DT-180075</t>
    <phoneticPr fontId="24" type="noConversion"/>
  </si>
  <si>
    <t>GRT-CQ02-P0QC-130023</t>
    <phoneticPr fontId="24" type="noConversion"/>
  </si>
  <si>
    <t>GRT-DS-IP-DT-180076</t>
    <phoneticPr fontId="24" type="noConversion"/>
  </si>
  <si>
    <t>GRT-CQ02-P1H-300001</t>
    <phoneticPr fontId="24" type="noConversion"/>
  </si>
  <si>
    <t>[HRSG]_INSTALLATION, OPERATION AND MAINTENANCE INSTRUCTION MANUAL</t>
    <phoneticPr fontId="24" type="noConversion"/>
  </si>
  <si>
    <t>GRT-DS-IP-DT-180077</t>
    <phoneticPr fontId="24" type="noConversion"/>
  </si>
  <si>
    <t>GRT-DS-IC-DCR-0012</t>
    <phoneticPr fontId="24" type="noConversion"/>
  </si>
  <si>
    <t>[DCR] Revision and Detail Specification for Local Instrument (GRT-CV03-P0ZEN-163702)</t>
    <phoneticPr fontId="24" type="noConversion"/>
  </si>
  <si>
    <t>GRT-DS-IP-DT-180078</t>
    <phoneticPr fontId="24" type="noConversion"/>
  </si>
  <si>
    <t>GRT-CQ02-P0LDB-130058</t>
    <phoneticPr fontId="24" type="noConversion"/>
  </si>
  <si>
    <t>[Condensate Filter System]_O&amp;M MANUAL</t>
    <phoneticPr fontId="24" type="noConversion"/>
  </si>
  <si>
    <t>GRT-DS-IP-DT-180079</t>
    <phoneticPr fontId="24" type="noConversion"/>
  </si>
  <si>
    <t>GRT-XA00-P0QU-130025</t>
    <phoneticPr fontId="24" type="noConversion"/>
  </si>
  <si>
    <t>[Sampling System]_GENERAL ARRANGEMENT DRAWING</t>
    <phoneticPr fontId="24" type="noConversion"/>
  </si>
  <si>
    <t>[Sampling System]_O&amp;M MANUAL</t>
    <phoneticPr fontId="24" type="noConversion"/>
  </si>
  <si>
    <t>GRT-DS-IP-DT-180080</t>
    <phoneticPr fontId="24" type="noConversion"/>
  </si>
  <si>
    <t>General Arrangement of Powerblock</t>
    <phoneticPr fontId="24" type="noConversion"/>
  </si>
  <si>
    <t>GRT-DS-IP-DT-180081</t>
    <phoneticPr fontId="24" type="noConversion"/>
  </si>
  <si>
    <t>GRT-YK09-P0MA-200051</t>
    <phoneticPr fontId="24" type="noConversion"/>
  </si>
  <si>
    <t>STG Operating instructions for the steam turbine and accessories</t>
    <phoneticPr fontId="24" type="noConversion"/>
  </si>
  <si>
    <t>GRT-YK09-P0MA-200053</t>
    <phoneticPr fontId="24" type="noConversion"/>
  </si>
  <si>
    <t>STG Summary Operation and Maintenance instructions</t>
    <phoneticPr fontId="24" type="noConversion"/>
  </si>
  <si>
    <t>GRT-YK10-P0MA-200058</t>
    <phoneticPr fontId="24" type="noConversion"/>
  </si>
  <si>
    <t>STG Main assembly manual</t>
    <phoneticPr fontId="24" type="noConversion"/>
  </si>
  <si>
    <t>GRT-DS-IP-DT-180082</t>
    <phoneticPr fontId="24" type="noConversion"/>
  </si>
  <si>
    <t>Piping ISO (Small Bore) - CCW</t>
    <phoneticPr fontId="24" type="noConversion"/>
  </si>
  <si>
    <t>Piping ISO (Small Bore) - Compressed air</t>
    <phoneticPr fontId="24" type="noConversion"/>
  </si>
  <si>
    <t>GRT-DS-IP-DT-180085</t>
    <phoneticPr fontId="24" type="noConversion"/>
  </si>
  <si>
    <t>GRT-DS-IP-DT-180084</t>
    <phoneticPr fontId="24" type="noConversion"/>
  </si>
  <si>
    <t>GRT-CV03-P0ZEN-163703</t>
    <phoneticPr fontId="24" type="noConversion"/>
  </si>
  <si>
    <t>[Field Instruments(DHI)]_Technical Specification &amp; Datasheet for Flow Element-BOP</t>
    <phoneticPr fontId="24" type="noConversion"/>
  </si>
  <si>
    <t>GRT-DS-IP-DT-180086</t>
    <phoneticPr fontId="24" type="noConversion"/>
  </si>
  <si>
    <t>Piping ISO (Small Bore) - Service air</t>
    <phoneticPr fontId="24" type="noConversion"/>
  </si>
  <si>
    <t>Piping ISO (Small Bore) - Instrument air</t>
    <phoneticPr fontId="24" type="noConversion"/>
  </si>
  <si>
    <t>GRT-DS-IP-DT-180088</t>
    <phoneticPr fontId="24" type="noConversion"/>
  </si>
  <si>
    <t>Piping ISO (Small Bore) - LP Steam</t>
    <phoneticPr fontId="24" type="noConversion"/>
  </si>
  <si>
    <t>Piping ISO (Small Bore) - HP Steam</t>
    <phoneticPr fontId="24" type="noConversion"/>
  </si>
  <si>
    <t>GRT-DS-IP-DT-180089</t>
    <phoneticPr fontId="24" type="noConversion"/>
  </si>
  <si>
    <t>GRT-XJ00-P0TEM-140011</t>
    <phoneticPr fontId="24" type="noConversion"/>
  </si>
  <si>
    <t>Piping ISO (Large Bore) - Steam blowing &amp; flushing</t>
    <phoneticPr fontId="24" type="noConversion"/>
  </si>
  <si>
    <t>GRT-DS-IP-DT-180091</t>
    <phoneticPr fontId="24" type="noConversion"/>
  </si>
  <si>
    <t>Piping ISO (Small Bore) - Aux. cooling water</t>
    <phoneticPr fontId="24" type="noConversion"/>
  </si>
  <si>
    <t>Piping ISO (Small Bore) - N2</t>
    <phoneticPr fontId="24" type="noConversion"/>
  </si>
  <si>
    <t>Piping ISO (Small Bore) - ST Misc.</t>
    <phoneticPr fontId="24" type="noConversion"/>
  </si>
  <si>
    <t>GRT-DS-IP-DT-180092</t>
    <phoneticPr fontId="24" type="noConversion"/>
  </si>
  <si>
    <t>GRT-DS-IC-DCR-0013</t>
    <phoneticPr fontId="24" type="noConversion"/>
  </si>
  <si>
    <t>[DCR] Revision for Field Instrument List (GRT-YL00-P0ZEN-163700)</t>
    <phoneticPr fontId="24" type="noConversion"/>
  </si>
  <si>
    <t>GRT-DS-IP-DT-180093</t>
    <phoneticPr fontId="24" type="noConversion"/>
  </si>
  <si>
    <t>Piping ISO (Small Bore) - Sampling</t>
    <phoneticPr fontId="24" type="noConversion"/>
  </si>
  <si>
    <t>Piping ISO (Small Bore) - Chemical dosing</t>
    <phoneticPr fontId="24" type="noConversion"/>
  </si>
  <si>
    <t>GRT-DS-IP-DT-180094</t>
    <phoneticPr fontId="24" type="noConversion"/>
  </si>
  <si>
    <t>[Commissioning Procedure] CEMS</t>
    <phoneticPr fontId="24" type="noConversion"/>
  </si>
  <si>
    <t>GRT-DS-IP-DT-180095</t>
    <phoneticPr fontId="24" type="noConversion"/>
  </si>
  <si>
    <t>GRT-DN02-P1H-830012</t>
    <phoneticPr fontId="24" type="noConversion"/>
  </si>
  <si>
    <t>[Commissioning Procedure] HRSG</t>
    <phoneticPr fontId="24" type="noConversion"/>
  </si>
  <si>
    <t>GRT-DS-IP-DT-180096</t>
    <phoneticPr fontId="24" type="noConversion"/>
  </si>
  <si>
    <t>GRT-DS-ME-DCR-0014</t>
    <phoneticPr fontId="24" type="noConversion"/>
  </si>
  <si>
    <t>[DCR] Bypass Valve &amp; PRDS - Revision for IP comment</t>
    <phoneticPr fontId="24" type="noConversion"/>
  </si>
  <si>
    <t>GRT-DS-IP-DT-180083</t>
    <phoneticPr fontId="24" type="noConversion"/>
  </si>
  <si>
    <t>GRT-XJ00-P0LCM-140004</t>
    <phoneticPr fontId="24" type="noConversion"/>
  </si>
  <si>
    <t>Piping ISO (Large Bore) - Steam drain</t>
    <phoneticPr fontId="24" type="noConversion"/>
  </si>
  <si>
    <t>GRT-XJ00-P0LCA-140006</t>
    <phoneticPr fontId="24" type="noConversion"/>
  </si>
  <si>
    <t>Piping ISO (Large Bore) - Condensate</t>
    <phoneticPr fontId="24" type="noConversion"/>
  </si>
  <si>
    <t>GRT-XJ00-P0LBG-140003</t>
    <phoneticPr fontId="24" type="noConversion"/>
  </si>
  <si>
    <t>Piping ISO (Large Bore) - Aux. Steam</t>
    <phoneticPr fontId="24" type="noConversion"/>
  </si>
  <si>
    <t>GRT-XJ00-P0LBA-140002</t>
    <phoneticPr fontId="24" type="noConversion"/>
  </si>
  <si>
    <t>Piping ISO (Large Bore) - LP Steam</t>
    <phoneticPr fontId="24" type="noConversion"/>
  </si>
  <si>
    <t>GRT-XJ00-P0LBA-140001</t>
    <phoneticPr fontId="24" type="noConversion"/>
  </si>
  <si>
    <t>Piping ISO (Large Bore) - HP Steam</t>
    <phoneticPr fontId="24" type="noConversion"/>
  </si>
  <si>
    <t>GRT-XJ00-P0LAB-140005</t>
    <phoneticPr fontId="24" type="noConversion"/>
  </si>
  <si>
    <t>Piping ISO (Large Bore) - Feedwater</t>
    <phoneticPr fontId="24" type="noConversion"/>
  </si>
  <si>
    <t>GRT-DS-IP-DT-180087</t>
    <phoneticPr fontId="24" type="noConversion"/>
  </si>
  <si>
    <t>GRT-XK00-P0LBG-144003</t>
    <phoneticPr fontId="24" type="noConversion"/>
  </si>
  <si>
    <t>Support DWG (Large Bore) - Aux. Steam</t>
    <phoneticPr fontId="24" type="noConversion"/>
  </si>
  <si>
    <t>GRT-DS-IP-DT-180090</t>
    <phoneticPr fontId="24" type="noConversion"/>
  </si>
  <si>
    <t>GRT-XK00-P0ZEN-144905</t>
    <phoneticPr fontId="24" type="noConversion"/>
  </si>
  <si>
    <t>Outline Drawing for Piping LP Manual Forging Valve</t>
    <phoneticPr fontId="24" type="noConversion"/>
  </si>
  <si>
    <t>GRT-XK00-P0ZEN-144904</t>
    <phoneticPr fontId="24" type="noConversion"/>
  </si>
  <si>
    <t>Outline Drawing for Piping HP Manual Forging Valve</t>
    <phoneticPr fontId="24" type="noConversion"/>
  </si>
  <si>
    <t>GRT-DS-IP-DT-180098</t>
    <phoneticPr fontId="24" type="noConversion"/>
  </si>
  <si>
    <t>Piping ISO (Small Bore) - Aux. Steam</t>
    <phoneticPr fontId="24" type="noConversion"/>
  </si>
  <si>
    <t>Piping ISO (Small Bore) - Feedwater</t>
    <phoneticPr fontId="24" type="noConversion"/>
  </si>
  <si>
    <t>GRT-DS-IP-DT-180099</t>
    <phoneticPr fontId="24" type="noConversion"/>
  </si>
  <si>
    <t>Piping ISO (Small Bore) - Condensate</t>
    <phoneticPr fontId="24" type="noConversion"/>
  </si>
  <si>
    <t>GRT-DS-IP-DT-180100</t>
    <phoneticPr fontId="24" type="noConversion"/>
  </si>
  <si>
    <t>GRT-US02-P0MA-200014</t>
    <phoneticPr fontId="24" type="noConversion"/>
  </si>
  <si>
    <t>GRT-DS-IP-DT-180097</t>
    <phoneticPr fontId="24" type="noConversion"/>
  </si>
  <si>
    <t>GRT-YV02-P0QU-130032</t>
    <phoneticPr fontId="24" type="noConversion"/>
  </si>
  <si>
    <t>[Sampling System]_INTERCONNECTION WIRING DIAGRAM</t>
    <phoneticPr fontId="24" type="noConversion"/>
  </si>
  <si>
    <t>GRT-YS01-P0QU-130034</t>
    <phoneticPr fontId="24" type="noConversion"/>
  </si>
  <si>
    <t>[Sampling System]_SCHEMATIC DIAGRAM</t>
    <phoneticPr fontId="24" type="noConversion"/>
  </si>
  <si>
    <t>GRT-DS-IP-DT-180101</t>
    <phoneticPr fontId="24" type="noConversion"/>
  </si>
  <si>
    <t>GRT-YU03-P0MA-200043</t>
    <phoneticPr fontId="24" type="noConversion"/>
  </si>
  <si>
    <t>[STG]_Control system. Hardware specification</t>
    <phoneticPr fontId="24" type="noConversion"/>
  </si>
  <si>
    <t>GRT-DS-IP-DT-180102</t>
    <phoneticPr fontId="24" type="noConversion"/>
  </si>
  <si>
    <t>GRT-XS00-P0MAJ-460109</t>
    <phoneticPr fontId="24" type="noConversion"/>
  </si>
  <si>
    <t>Vacuum Pump System Description &amp; Control Philosophy</t>
    <phoneticPr fontId="24" type="noConversion"/>
  </si>
  <si>
    <t>GRT-DS-IP-DT-180103</t>
    <phoneticPr fontId="24" type="noConversion"/>
  </si>
  <si>
    <t>GRT-DS-IC-DCR-0016</t>
    <phoneticPr fontId="24" type="noConversion"/>
  </si>
  <si>
    <t>[DCR] Change HRSG Instrument installation detail drawing (GRT-YK01-P1H-300048)</t>
    <phoneticPr fontId="24" type="noConversion"/>
  </si>
  <si>
    <t>GRT-DS-ME-DCR-0015</t>
    <phoneticPr fontId="24" type="noConversion"/>
  </si>
  <si>
    <t>[DCR] Change HRSG P&amp;ID(GRT-XG02-P1H-300020)</t>
    <phoneticPr fontId="24" type="noConversion"/>
  </si>
  <si>
    <t>GRT-DS-IP-DT-180104</t>
    <phoneticPr fontId="24" type="noConversion"/>
  </si>
  <si>
    <t>[STG]_Instructions for steam turbine assembly</t>
    <phoneticPr fontId="24" type="noConversion"/>
  </si>
  <si>
    <t>GRT-YK09-P0MA-200030</t>
    <phoneticPr fontId="24" type="noConversion"/>
  </si>
  <si>
    <t>[STG]_DC motor starter</t>
    <phoneticPr fontId="24" type="noConversion"/>
  </si>
  <si>
    <t>GRT-YK09-P0MA-200027</t>
    <phoneticPr fontId="24" type="noConversion"/>
  </si>
  <si>
    <t>[STG]_Electrical Protections</t>
    <phoneticPr fontId="24" type="noConversion"/>
  </si>
  <si>
    <t>GRT-YK09-P0MA-200026</t>
    <phoneticPr fontId="24" type="noConversion"/>
  </si>
  <si>
    <t>[STG]_Line and Neutral Cubicles</t>
    <phoneticPr fontId="24" type="noConversion"/>
  </si>
  <si>
    <t>GRT-DS-IP-DT-180106</t>
  </si>
  <si>
    <t>GRT-DS-IC-DCR-0017</t>
  </si>
  <si>
    <t>[DCR] Change HRSG Control valve drawings</t>
    <phoneticPr fontId="24" type="noConversion"/>
  </si>
  <si>
    <t>GRT-DS-IP-DT-180107</t>
    <phoneticPr fontId="24" type="noConversion"/>
  </si>
  <si>
    <t>[Field Instruments(DHI)]_Technical Specification &amp; Datasheet for Local Instrument - BOP</t>
    <phoneticPr fontId="24" type="noConversion"/>
  </si>
  <si>
    <t>GRT-DS-IP-DT-180108</t>
    <phoneticPr fontId="24" type="noConversion"/>
  </si>
  <si>
    <t>GRT-DS-IP-DT-180109</t>
    <phoneticPr fontId="24" type="noConversion"/>
  </si>
  <si>
    <t>[Condensate Extraction Pump]_O&amp;M MANUAL</t>
    <phoneticPr fontId="24" type="noConversion"/>
  </si>
  <si>
    <t>GRT-DS-IP-DT-180110</t>
    <phoneticPr fontId="24" type="noConversion"/>
  </si>
  <si>
    <t>GRT-YS01-P0LDB-130055</t>
    <phoneticPr fontId="24" type="noConversion"/>
  </si>
  <si>
    <t>[Condensate Filter System]_SCHEMATIC DIAGRAM</t>
    <phoneticPr fontId="24" type="noConversion"/>
  </si>
  <si>
    <t>[Condensate Filter System]_CONTROL PANEL ARRANGEMENT DRAWING</t>
    <phoneticPr fontId="24" type="noConversion"/>
  </si>
  <si>
    <t>GRT-DS-IP-DT-180111</t>
    <phoneticPr fontId="24" type="noConversion"/>
  </si>
  <si>
    <t>[Commissioning Procedure]_STG</t>
    <phoneticPr fontId="24" type="noConversion"/>
  </si>
  <si>
    <t>GRT-DS-IP-DT-180112</t>
    <phoneticPr fontId="24" type="noConversion"/>
  </si>
  <si>
    <t>[STG]_Operating instructions for the steam turbine and accessories</t>
    <phoneticPr fontId="24" type="noConversion"/>
  </si>
  <si>
    <t>GRT-DS-IP-DT-180113</t>
    <phoneticPr fontId="24" type="noConversion"/>
  </si>
  <si>
    <t>[HRSG]_ELECTRICAL SINGLE LINE DIAGRAMS</t>
    <phoneticPr fontId="24" type="noConversion"/>
  </si>
  <si>
    <t>[HRSG]_AIRCRAFT WARNING LIGHT DATASHEET &amp; LAYOUT DIAGRAM</t>
    <phoneticPr fontId="24" type="noConversion"/>
  </si>
  <si>
    <t>[HRSG]_CABLE SCHEDULE</t>
    <phoneticPr fontId="24" type="noConversion"/>
  </si>
  <si>
    <t>[HRSG]_CABLE TRAY &amp; RACEWAY LAYOUT DIAGRAM</t>
    <phoneticPr fontId="24" type="noConversion"/>
  </si>
  <si>
    <t>NOT APPROVED</t>
  </si>
  <si>
    <t>GRT-DS-IP-DT-180114</t>
    <phoneticPr fontId="24" type="noConversion"/>
  </si>
  <si>
    <t>Operation and Maintenance Manual for CCW Heat Exchanger</t>
    <phoneticPr fontId="24" type="noConversion"/>
  </si>
  <si>
    <t>GRT-DS-IP-DT-180115</t>
    <phoneticPr fontId="24" type="noConversion"/>
  </si>
  <si>
    <t>OPERATING AND MAINTENANCE MANUAL FOR DEAERATOR &amp; FEEDWATER STORAGE TANK</t>
    <phoneticPr fontId="24" type="noConversion"/>
  </si>
  <si>
    <t>GRT-DS-IP-DT-180117</t>
    <phoneticPr fontId="24" type="noConversion"/>
  </si>
  <si>
    <t>[HRSG]_DESH. DATASHEET &amp; DRAWINGS</t>
    <phoneticPr fontId="24" type="noConversion"/>
  </si>
  <si>
    <t>[HRSG]_MOV DATASHEET &amp; DRAWINGS</t>
    <phoneticPr fontId="24" type="noConversion"/>
  </si>
  <si>
    <t>GRT-DS-IP-DT-180118</t>
    <phoneticPr fontId="24" type="noConversion"/>
  </si>
  <si>
    <t>GRT-DS-IP-DT-180116</t>
    <phoneticPr fontId="24" type="noConversion"/>
  </si>
  <si>
    <t>GRT-DS-ME-DCR-0018</t>
    <phoneticPr fontId="24" type="noConversion"/>
  </si>
  <si>
    <t>[DCR] Change of piping insulation specification (GRT-DE00-P0ZEN-144501)</t>
    <phoneticPr fontId="24" type="noConversion"/>
  </si>
  <si>
    <t>Approved</t>
  </si>
  <si>
    <t>GRT-DS-IP-DT-180120</t>
    <phoneticPr fontId="24" type="noConversion"/>
  </si>
  <si>
    <t>GRT-DS-IP-DT-180119</t>
    <phoneticPr fontId="24" type="noConversion"/>
  </si>
  <si>
    <t>[CCWP]_OPERATION &amp; MAINTENANCE MANUAL</t>
    <phoneticPr fontId="24" type="noConversion"/>
  </si>
  <si>
    <t>[ACWP]_OPERATION &amp; MAINTENANCE MANUAL</t>
    <phoneticPr fontId="24" type="noConversion"/>
  </si>
  <si>
    <t>[Blowdown Cooler]_INSTALLATION, OPERATION AND MAINTENANCE MANUAL</t>
    <phoneticPr fontId="24" type="noConversion"/>
  </si>
  <si>
    <t>GRT-DS-IP-DT-180121</t>
    <phoneticPr fontId="24" type="noConversion"/>
  </si>
  <si>
    <t>[Crane &amp; Hoist(DHI)]_HOIST_O&amp;M MANUAL FOR HOIST</t>
    <phoneticPr fontId="24" type="noConversion"/>
  </si>
  <si>
    <t>GRT-DS-IP-DT-180122</t>
    <phoneticPr fontId="24" type="noConversion"/>
  </si>
  <si>
    <t>GRT-DS-IC-DCR-0019</t>
  </si>
  <si>
    <t>[DCR] Revision for Instrument Location Drawing (GRT-YD08-P0UMA-164311)</t>
    <phoneticPr fontId="24" type="noConversion"/>
  </si>
  <si>
    <t>APROVED</t>
  </si>
  <si>
    <t>GRT-DS-IP-DT-180123</t>
    <phoneticPr fontId="24" type="noConversion"/>
  </si>
  <si>
    <t>[STG]_First commissioning and start-up TG</t>
    <phoneticPr fontId="24" type="noConversion"/>
  </si>
  <si>
    <t>[STG]_Maintenance instructions for the steam turbine and accessories</t>
    <phoneticPr fontId="24" type="noConversion"/>
  </si>
  <si>
    <t>GRT-DS-IP-DT-180124</t>
    <phoneticPr fontId="24" type="noConversion"/>
  </si>
  <si>
    <t>[HRSG]_CV DATASHEET &amp; DRAWINGS</t>
    <phoneticPr fontId="24" type="noConversion"/>
  </si>
  <si>
    <t>[HRSG]_P&amp;I DIAGRAM</t>
    <phoneticPr fontId="24" type="noConversion"/>
  </si>
  <si>
    <t>GRT-DS-IP-DT-180125</t>
    <phoneticPr fontId="24" type="noConversion"/>
  </si>
  <si>
    <t>GRT-DS-IP-DT-180126</t>
    <phoneticPr fontId="24" type="noConversion"/>
  </si>
  <si>
    <t>GRT-DS-IP-DT-180127</t>
    <phoneticPr fontId="24" type="noConversion"/>
  </si>
  <si>
    <t>GRT-DS-IP-DT-180128</t>
    <phoneticPr fontId="24" type="noConversion"/>
  </si>
  <si>
    <t>GRT-DS-IP-DT-180129</t>
    <phoneticPr fontId="24" type="noConversion"/>
  </si>
  <si>
    <t>GRT-CQ02-P0PGB-400070</t>
    <phoneticPr fontId="24" type="noConversion"/>
  </si>
  <si>
    <t>GRT-DS-IP-DT-180131</t>
    <phoneticPr fontId="24" type="noConversion"/>
  </si>
  <si>
    <t>[DCR] ACWP General Arrangement Drawing Update</t>
    <phoneticPr fontId="24" type="noConversion"/>
  </si>
  <si>
    <t>[DCR] ACWP Data Sheet Update</t>
    <phoneticPr fontId="24" type="noConversion"/>
  </si>
  <si>
    <t>GRT-DS-IP-DT-180132</t>
    <phoneticPr fontId="24" type="noConversion"/>
  </si>
  <si>
    <t>GRT-DS-ME-DCR-0022</t>
  </si>
  <si>
    <t>[DCR] Revision for LP steam system piping support drawings (GRT-XK00-P0LBA-144002)</t>
    <phoneticPr fontId="24" type="noConversion"/>
  </si>
  <si>
    <t>GRT-DS-IP-DT-180130</t>
    <phoneticPr fontId="24" type="noConversion"/>
  </si>
  <si>
    <t>GRT-YR01-P0ZEN-110107</t>
    <phoneticPr fontId="24" type="noConversion"/>
  </si>
  <si>
    <t>[Plant Overall]_STEAM FLUSHING - DIAGRAM</t>
    <phoneticPr fontId="24" type="noConversion"/>
  </si>
  <si>
    <t>GRT-DS-IP-DT-180135</t>
  </si>
  <si>
    <t>GRT-DS-IP-DT-180135</t>
    <phoneticPr fontId="24" type="noConversion"/>
  </si>
  <si>
    <t>Piping ISO (Small Bore) - Cooling Water</t>
  </si>
  <si>
    <t>GRT-DS-IP-DT-180136</t>
    <phoneticPr fontId="24" type="noConversion"/>
  </si>
  <si>
    <t>STG Assembly manual for auxiliary equipment</t>
    <phoneticPr fontId="24" type="noConversion"/>
  </si>
  <si>
    <t>GRT-DS-IP-DT-180134</t>
    <phoneticPr fontId="24" type="noConversion"/>
  </si>
  <si>
    <t>GRT-DS-IC-DCR-0023</t>
  </si>
  <si>
    <t>GRT-DS-IP-DT-180137</t>
    <phoneticPr fontId="24" type="noConversion"/>
  </si>
  <si>
    <t xml:space="preserve">GRT-XJ00-P1H-300024 </t>
  </si>
  <si>
    <t>[HRSG]_ERECTION ISOMETRIC DRAWING FOR PIPNG FABRICATION STANDARD</t>
    <phoneticPr fontId="24" type="noConversion"/>
  </si>
  <si>
    <t xml:space="preserve">GRT-YK10-P1H-300050 </t>
  </si>
  <si>
    <t>[HRSG]_MANUAL VALVE ASSEMBLY DRAWING FOR EXTERNAL PIPING</t>
    <phoneticPr fontId="24" type="noConversion"/>
  </si>
  <si>
    <t>GRT-DS-IP-DT-180138</t>
    <phoneticPr fontId="24" type="noConversion"/>
  </si>
  <si>
    <t>GRT-DS-IC-DCR-0024</t>
  </si>
  <si>
    <t>[DCR] Modification of HRSG Instrument installation detail drawing (GRT-YK01-P1H-300048)</t>
    <phoneticPr fontId="24" type="noConversion"/>
  </si>
  <si>
    <t>GRT-DS-IP-DT-180139</t>
  </si>
  <si>
    <t>GRT-CT-00-P0QJA-111011</t>
  </si>
  <si>
    <t>[Bypass]_OPERATION &amp; MAINTENANCE MANUAL</t>
  </si>
  <si>
    <t>GRT-DS-IP-DT-180140</t>
  </si>
  <si>
    <t>GRT-DS-IP-DT-180141</t>
  </si>
  <si>
    <t>GRT-DS-IP-DT-180143</t>
  </si>
  <si>
    <t>STG Maintenance Instructions for the steam turbine and accessories</t>
  </si>
  <si>
    <t>STG First Commissioning and Srat-up TG</t>
  </si>
  <si>
    <t>GRT-DS-IP-DT-180145</t>
  </si>
  <si>
    <t>GRT-CQ02-POPAH-440104</t>
  </si>
  <si>
    <t>GRT-CQ02-P0PAH440009</t>
  </si>
  <si>
    <t>Condenser Tube Cleaning System_Operation &amp; Maintenance Manual</t>
  </si>
  <si>
    <t>GRT-DS-IP-DT-180146</t>
  </si>
  <si>
    <t>GRT-DS-IP-DT-180147</t>
  </si>
  <si>
    <t>GRT-DS-IC-DCR-0026</t>
  </si>
  <si>
    <t>[DCR] Modification of HRSG CEMS Document</t>
  </si>
  <si>
    <t>GRT-DS-IP-DT-180148</t>
  </si>
  <si>
    <t>GRT-DS-ME-DCR-0027</t>
  </si>
  <si>
    <t>[DCR]Bypass Valve &amp; PRDS - Self Revision (GRT-YS18-P0LB-111103, GRT-YK08-P0LB-111101)</t>
  </si>
  <si>
    <t>GRT-DS-IP-DT-180149</t>
  </si>
  <si>
    <t>GRT-DS-IP-DT-180151</t>
  </si>
  <si>
    <t>GRT-DS- ME-DCR-0028</t>
  </si>
  <si>
    <t>Revision for CCW system piping fabrication isometric drawings (GRT-XJ00-P0PGB-140008)</t>
  </si>
  <si>
    <t>[Bypass]_OPERATION &amp; MAINTENANCE</t>
  </si>
  <si>
    <t>[CCWP]_OPERATION &amp; MAINTENANCE[CCWP]_OPERATION &amp; MAINTENANCE MANUAL</t>
  </si>
  <si>
    <t>GRT-DS-IP-DT-180156</t>
  </si>
  <si>
    <t>GRT-DS-IP-DT-180154</t>
  </si>
  <si>
    <t>29/60/2018</t>
  </si>
  <si>
    <t>GRT-DS-IP-DT-180155</t>
  </si>
  <si>
    <t>GRT-XG11-0SGA-133003</t>
  </si>
  <si>
    <t>[Fire Fighting System] Water Spray System Hydralic Calculation</t>
  </si>
  <si>
    <t>GRT-DS-IP-DT-180157</t>
  </si>
  <si>
    <t>[HP Feed Water Pump]_Operation &amp; Maintenance manual</t>
  </si>
  <si>
    <t>[LP Feed Water Pump]_Operation &amp; Maintenance manual</t>
  </si>
  <si>
    <t>GRT-DS-IP-DT-180153</t>
  </si>
  <si>
    <t>GRT-DS-ME-DCR-0029</t>
  </si>
  <si>
    <t>[DCR]Revision and new submission for piping support drawings(GRT-XK00-P0LBA-144001,GRT-XK00-P0LAB-144005,GRT-XK00-P0MAA-144010-GRT-XK00-P0LCA-144006-GRT-XK00-P0LBG-144003)</t>
  </si>
  <si>
    <t>GRT-DS-IP-DT-180158</t>
  </si>
  <si>
    <t>GRT-DS-IP-DT-180163</t>
  </si>
  <si>
    <t>STG Commissioning manual for auxiliary equipment</t>
  </si>
  <si>
    <t>GRT-DS-IP-DT-180162</t>
  </si>
  <si>
    <t>Support DWG (Large Bore) - Steam Blowing &amp; Flushing</t>
  </si>
  <si>
    <t>GRT-DS-IP-DT-180165</t>
  </si>
  <si>
    <t>GRT-DS-EL-DCR-0030</t>
  </si>
  <si>
    <t>Revision of HRSG Power Distribution Panel Document (GRT-YD00-P1H-30037)</t>
  </si>
  <si>
    <t>GRT-DS-IP-DT-180166</t>
  </si>
  <si>
    <t>GRT-DS-IP-DT-180168</t>
  </si>
  <si>
    <t>STG Wiring diagram, Loop diagrams</t>
  </si>
  <si>
    <t>GRT-DS-IP-DT-180169</t>
  </si>
  <si>
    <t>GRT-DS-IP-DT-180170</t>
  </si>
  <si>
    <t>STG Frequency converter for turning gear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</si>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</sst>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[$-409]dd/mmm/yy;@"/>
    <numFmt numFmtId="178" formatCode="0_);[Red]\(0\)"/>
  </numFmts>
  <fonts count="63" x14ac:knownFonts="1">
    <font>
      <sz val="11"/>
      <color theme="1"/>
      <name val="맑은 고딕"/>
      <charset val="134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Times New Roman"/>
      <family val="1"/>
    </font>
    <font>
      <sz val="10"/>
      <color theme="1"/>
      <name val="Arial Unicode MS"/>
      <family val="3"/>
      <charset val="129"/>
    </font>
    <font>
      <sz val="10"/>
      <name val="Arial Unicode MS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0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0"/>
      <color rgb="FF000000"/>
      <name val="Times New Roman"/>
      <family val="1"/>
    </font>
    <font>
      <sz val="10"/>
      <name val="Arial Narrow"/>
      <family val="2"/>
    </font>
    <font>
      <sz val="11"/>
      <color indexed="8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 Unicode MS"/>
      <family val="3"/>
      <charset val="129"/>
    </font>
    <font>
      <sz val="10"/>
      <name val="Arial Unicode MS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theme="1"/>
      <name val="Arial Unicode MS"/>
      <family val="3"/>
      <charset val="129"/>
    </font>
    <font>
      <sz val="10"/>
      <name val="Arial Unicode MS"/>
      <family val="3"/>
      <charset val="129"/>
    </font>
    <font>
      <sz val="10"/>
      <color theme="1"/>
      <name val="Arial Unicode MS"/>
      <family val="3"/>
      <charset val="129"/>
    </font>
    <font>
      <sz val="10"/>
      <name val="Arial Unicode MS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10"/>
      <color theme="1"/>
      <name val="Arial Unicode MS"/>
      <family val="2"/>
    </font>
    <font>
      <sz val="10"/>
      <name val="Arial Unicode MS"/>
      <family val="2"/>
    </font>
    <font>
      <sz val="10"/>
      <color indexed="8"/>
      <name val="맑은 고딕"/>
      <family val="3"/>
      <charset val="129"/>
    </font>
    <font>
      <b/>
      <u/>
      <sz val="10"/>
      <color theme="1"/>
      <name val="Arial Unicode MS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B050"/>
      <name val="Arial Unicode MS"/>
      <family val="3"/>
      <charset val="129"/>
    </font>
    <font>
      <b/>
      <sz val="10"/>
      <color theme="1"/>
      <name val="Arial Unicode MS"/>
      <family val="3"/>
      <charset val="129"/>
    </font>
    <font>
      <sz val="8"/>
      <name val="맑은 고딕"/>
      <family val="3"/>
      <charset val="129"/>
    </font>
    <font>
      <sz val="9"/>
      <name val="Arial Unicode MS"/>
      <family val="3"/>
      <charset val="129"/>
    </font>
    <font>
      <sz val="9"/>
      <color theme="1"/>
      <name val="Arial Unicode MS"/>
      <family val="3"/>
      <charset val="129"/>
    </font>
    <font>
      <sz val="10"/>
      <color rgb="FF000000"/>
      <name val="Arial Unicode MS"/>
      <family val="3"/>
      <charset val="129"/>
    </font>
    <font>
      <sz val="10"/>
      <color theme="1"/>
      <name val="Arial Unicode MS"/>
      <family val="3"/>
      <charset val="128"/>
    </font>
    <font>
      <sz val="9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 Narrow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0C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44">
    <xf numFmtId="0" fontId="0" fillId="0" borderId="0"/>
    <xf numFmtId="0" fontId="16" fillId="0" borderId="0" applyFont="0" applyAlignment="0">
      <alignment vertical="center"/>
    </xf>
    <xf numFmtId="41" fontId="2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9" fontId="23" fillId="0" borderId="0" applyFont="0" applyFill="0" applyBorder="0" applyAlignment="0" applyProtection="0"/>
    <xf numFmtId="0" fontId="20" fillId="0" borderId="0">
      <alignment vertical="center"/>
    </xf>
    <xf numFmtId="0" fontId="14" fillId="0" borderId="0"/>
    <xf numFmtId="0" fontId="18" fillId="0" borderId="0"/>
    <xf numFmtId="0" fontId="17" fillId="0" borderId="0"/>
    <xf numFmtId="0" fontId="23" fillId="0" borderId="0"/>
    <xf numFmtId="177" fontId="15" fillId="0" borderId="0">
      <alignment vertical="center"/>
    </xf>
    <xf numFmtId="0" fontId="5" fillId="3" borderId="3">
      <alignment horizontal="left" vertical="center"/>
    </xf>
    <xf numFmtId="0" fontId="4" fillId="0" borderId="3">
      <alignment horizontal="left" vertical="center"/>
    </xf>
    <xf numFmtId="0" fontId="19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/>
    <xf numFmtId="0" fontId="15" fillId="0" borderId="0">
      <alignment vertical="center"/>
    </xf>
    <xf numFmtId="0" fontId="22" fillId="0" borderId="0"/>
    <xf numFmtId="0" fontId="30" fillId="0" borderId="0" applyFont="0" applyAlignment="0">
      <alignment vertical="center"/>
    </xf>
    <xf numFmtId="41" fontId="15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15" fillId="0" borderId="0" applyFont="0" applyFill="0" applyBorder="0" applyAlignment="0" applyProtection="0"/>
    <xf numFmtId="0" fontId="31" fillId="0" borderId="0">
      <alignment vertical="center"/>
    </xf>
    <xf numFmtId="0" fontId="15" fillId="0" borderId="0"/>
    <xf numFmtId="0" fontId="29" fillId="3" borderId="3">
      <alignment horizontal="left" vertical="center"/>
    </xf>
    <xf numFmtId="0" fontId="28" fillId="0" borderId="3">
      <alignment horizontal="left" vertical="center"/>
    </xf>
    <xf numFmtId="0" fontId="30" fillId="0" borderId="0">
      <alignment vertical="center"/>
    </xf>
    <xf numFmtId="0" fontId="15" fillId="0" borderId="0"/>
    <xf numFmtId="0" fontId="15" fillId="0" borderId="0"/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22" fillId="0" borderId="0"/>
    <xf numFmtId="177" fontId="22" fillId="0" borderId="0">
      <alignment vertical="center"/>
    </xf>
    <xf numFmtId="0" fontId="5" fillId="3" borderId="14">
      <alignment horizontal="left" vertical="center"/>
    </xf>
    <xf numFmtId="0" fontId="4" fillId="0" borderId="14">
      <alignment horizontal="left"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3" borderId="13">
      <alignment horizontal="left" vertical="center"/>
    </xf>
    <xf numFmtId="0" fontId="4" fillId="0" borderId="13">
      <alignment horizontal="left" vertical="center"/>
    </xf>
    <xf numFmtId="41" fontId="22" fillId="0" borderId="0" applyFont="0" applyFill="0" applyBorder="0" applyAlignment="0" applyProtection="0">
      <alignment vertical="center"/>
    </xf>
    <xf numFmtId="0" fontId="5" fillId="3" borderId="15">
      <alignment horizontal="left" vertical="center"/>
    </xf>
    <xf numFmtId="0" fontId="4" fillId="0" borderId="15">
      <alignment horizontal="left" vertical="center"/>
    </xf>
    <xf numFmtId="0" fontId="33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4" fillId="0" borderId="0"/>
    <xf numFmtId="0" fontId="18" fillId="0" borderId="0"/>
    <xf numFmtId="0" fontId="36" fillId="3" borderId="16">
      <alignment horizontal="left" vertical="center"/>
    </xf>
    <xf numFmtId="0" fontId="35" fillId="0" borderId="16">
      <alignment horizontal="left" vertical="center"/>
    </xf>
    <xf numFmtId="0" fontId="39" fillId="0" borderId="0" applyFont="0" applyAlignment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8" fillId="3" borderId="17">
      <alignment horizontal="left" vertical="center"/>
    </xf>
    <xf numFmtId="0" fontId="37" fillId="0" borderId="17">
      <alignment horizontal="left" vertical="center"/>
    </xf>
    <xf numFmtId="0" fontId="39" fillId="0" borderId="0">
      <alignment vertical="center"/>
    </xf>
    <xf numFmtId="0" fontId="32" fillId="0" borderId="0"/>
    <xf numFmtId="0" fontId="32" fillId="0" borderId="0"/>
    <xf numFmtId="0" fontId="41" fillId="0" borderId="0"/>
    <xf numFmtId="41" fontId="15" fillId="0" borderId="0" applyFont="0" applyFill="0" applyBorder="0" applyAlignment="0" applyProtection="0">
      <alignment vertical="center"/>
    </xf>
    <xf numFmtId="0" fontId="43" fillId="3" borderId="18">
      <alignment horizontal="left" vertical="center"/>
    </xf>
    <xf numFmtId="0" fontId="42" fillId="0" borderId="18">
      <alignment horizontal="left" vertical="center"/>
    </xf>
    <xf numFmtId="41" fontId="15" fillId="0" borderId="0" applyFont="0" applyFill="0" applyBorder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0" fontId="1" fillId="0" borderId="0">
      <alignment vertical="center"/>
    </xf>
    <xf numFmtId="0" fontId="4" fillId="0" borderId="18">
      <alignment horizontal="left" vertical="center"/>
    </xf>
    <xf numFmtId="0" fontId="5" fillId="3" borderId="18">
      <alignment horizontal="left" vertical="center"/>
    </xf>
  </cellStyleXfs>
  <cellXfs count="39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12">
      <alignment horizontal="left" vertical="center"/>
    </xf>
    <xf numFmtId="0" fontId="5" fillId="2" borderId="3" xfId="11" applyFill="1">
      <alignment horizontal="left" vertical="center"/>
    </xf>
    <xf numFmtId="0" fontId="5" fillId="2" borderId="4" xfId="11" applyFill="1" applyBorder="1">
      <alignment horizontal="left" vertical="center"/>
    </xf>
    <xf numFmtId="0" fontId="4" fillId="2" borderId="3" xfId="12" applyFill="1">
      <alignment horizontal="left" vertical="center"/>
    </xf>
    <xf numFmtId="0" fontId="5" fillId="3" borderId="3" xfId="11">
      <alignment horizontal="left" vertical="center"/>
    </xf>
    <xf numFmtId="0" fontId="5" fillId="3" borderId="5" xfId="11" applyBorder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vertical="center"/>
    </xf>
    <xf numFmtId="14" fontId="9" fillId="0" borderId="3" xfId="2" applyNumberFormat="1" applyFont="1" applyFill="1" applyBorder="1" applyAlignment="1">
      <alignment horizontal="center" vertical="center" wrapText="1"/>
    </xf>
    <xf numFmtId="176" fontId="9" fillId="0" borderId="3" xfId="2" applyNumberFormat="1" applyFont="1" applyFill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12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178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14" fontId="7" fillId="4" borderId="3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9" fontId="9" fillId="2" borderId="18" xfId="58" applyFont="1" applyFill="1" applyBorder="1" applyAlignment="1">
      <alignment horizontal="center" vertical="center" wrapText="1"/>
    </xf>
    <xf numFmtId="14" fontId="6" fillId="2" borderId="18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25" fillId="2" borderId="18" xfId="0" applyFont="1" applyFill="1" applyBorder="1" applyAlignment="1">
      <alignment horizontal="left" vertical="center" wrapText="1"/>
    </xf>
    <xf numFmtId="14" fontId="6" fillId="2" borderId="18" xfId="0" applyNumberFormat="1" applyFont="1" applyFill="1" applyBorder="1" applyAlignment="1">
      <alignment horizontal="left" vertical="center"/>
    </xf>
    <xf numFmtId="0" fontId="9" fillId="2" borderId="18" xfId="0" applyFont="1" applyFill="1" applyBorder="1" applyAlignment="1" applyProtection="1">
      <alignment horizontal="left" vertical="center" wrapText="1"/>
      <protection locked="0"/>
    </xf>
    <xf numFmtId="0" fontId="9" fillId="2" borderId="18" xfId="0" quotePrefix="1" applyFont="1" applyFill="1" applyBorder="1" applyAlignment="1">
      <alignment horizontal="center" vertical="center"/>
    </xf>
    <xf numFmtId="0" fontId="44" fillId="2" borderId="18" xfId="129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vertical="center"/>
    </xf>
    <xf numFmtId="0" fontId="44" fillId="2" borderId="18" xfId="129" applyFont="1" applyFill="1" applyBorder="1" applyAlignment="1">
      <alignment vertical="center" wrapText="1"/>
    </xf>
    <xf numFmtId="14" fontId="9" fillId="2" borderId="18" xfId="0" applyNumberFormat="1" applyFont="1" applyFill="1" applyBorder="1" applyAlignment="1">
      <alignment horizontal="center" vertical="center"/>
    </xf>
    <xf numFmtId="14" fontId="9" fillId="2" borderId="18" xfId="0" applyNumberFormat="1" applyFont="1" applyFill="1" applyBorder="1" applyAlignment="1">
      <alignment horizontal="center" vertical="center" wrapText="1"/>
    </xf>
    <xf numFmtId="14" fontId="9" fillId="2" borderId="18" xfId="0" quotePrefix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4" fillId="2" borderId="18" xfId="131" applyFont="1" applyFill="1" applyBorder="1" applyAlignment="1">
      <alignment vertical="center" wrapText="1"/>
    </xf>
    <xf numFmtId="0" fontId="44" fillId="2" borderId="18" xfId="131" applyFont="1" applyFill="1" applyBorder="1" applyAlignment="1">
      <alignment horizontal="center" vertical="center" wrapText="1"/>
    </xf>
    <xf numFmtId="14" fontId="44" fillId="2" borderId="18" xfId="131" applyNumberFormat="1" applyFont="1" applyFill="1" applyBorder="1" applyAlignment="1">
      <alignment horizontal="center" vertical="center" wrapText="1"/>
    </xf>
    <xf numFmtId="0" fontId="44" fillId="2" borderId="18" xfId="130" applyFont="1" applyFill="1" applyBorder="1" applyAlignment="1">
      <alignment horizontal="center" vertical="center" wrapText="1"/>
    </xf>
    <xf numFmtId="0" fontId="44" fillId="2" borderId="18" xfId="129" applyFont="1" applyFill="1" applyBorder="1" applyAlignment="1">
      <alignment horizontal="left" vertical="center" wrapText="1"/>
    </xf>
    <xf numFmtId="14" fontId="44" fillId="2" borderId="18" xfId="129" applyNumberFormat="1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/>
    </xf>
    <xf numFmtId="0" fontId="6" fillId="2" borderId="18" xfId="0" quotePrefix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26" fillId="2" borderId="18" xfId="0" applyFont="1" applyFill="1" applyBorder="1" applyAlignment="1">
      <alignment horizontal="left" vertical="center" wrapText="1"/>
    </xf>
    <xf numFmtId="0" fontId="26" fillId="2" borderId="18" xfId="0" applyFont="1" applyFill="1" applyBorder="1" applyAlignment="1">
      <alignment vertical="center" wrapText="1"/>
    </xf>
    <xf numFmtId="0" fontId="9" fillId="2" borderId="19" xfId="0" applyFont="1" applyFill="1" applyBorder="1" applyAlignment="1">
      <alignment horizontal="center" vertical="center"/>
    </xf>
    <xf numFmtId="14" fontId="6" fillId="3" borderId="1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14" fontId="10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45" fillId="0" borderId="0" xfId="138" applyFont="1" applyAlignment="1">
      <alignment horizontal="left" vertical="center"/>
    </xf>
    <xf numFmtId="0" fontId="4" fillId="0" borderId="0" xfId="138" applyFont="1" applyAlignment="1">
      <alignment horizontal="left" vertical="center"/>
    </xf>
    <xf numFmtId="0" fontId="4" fillId="0" borderId="0" xfId="139" applyNumberFormat="1" applyFont="1" applyFill="1" applyAlignment="1">
      <alignment horizontal="left" vertical="center"/>
    </xf>
    <xf numFmtId="0" fontId="4" fillId="0" borderId="0" xfId="138" applyFont="1" applyAlignment="1">
      <alignment horizontal="center" vertical="center"/>
    </xf>
    <xf numFmtId="0" fontId="47" fillId="0" borderId="0" xfId="138" applyFont="1">
      <alignment vertical="center"/>
    </xf>
    <xf numFmtId="0" fontId="48" fillId="3" borderId="20" xfId="138" applyFont="1" applyFill="1" applyBorder="1" applyAlignment="1">
      <alignment horizontal="left" vertical="center"/>
    </xf>
    <xf numFmtId="0" fontId="48" fillId="3" borderId="21" xfId="138" applyFont="1" applyFill="1" applyBorder="1" applyAlignment="1">
      <alignment horizontal="left" vertical="center"/>
    </xf>
    <xf numFmtId="0" fontId="48" fillId="3" borderId="22" xfId="138" applyFont="1" applyFill="1" applyBorder="1" applyAlignment="1">
      <alignment horizontal="left" vertical="center"/>
    </xf>
    <xf numFmtId="0" fontId="48" fillId="3" borderId="23" xfId="138" applyFont="1" applyFill="1" applyBorder="1" applyAlignment="1">
      <alignment horizontal="left" vertical="center"/>
    </xf>
    <xf numFmtId="0" fontId="48" fillId="10" borderId="24" xfId="138" applyFont="1" applyFill="1" applyBorder="1" applyAlignment="1">
      <alignment horizontal="center" vertical="center"/>
    </xf>
    <xf numFmtId="0" fontId="48" fillId="10" borderId="21" xfId="138" applyFont="1" applyFill="1" applyBorder="1" applyAlignment="1">
      <alignment horizontal="center" vertical="center"/>
    </xf>
    <xf numFmtId="0" fontId="48" fillId="10" borderId="23" xfId="138" applyFont="1" applyFill="1" applyBorder="1" applyAlignment="1">
      <alignment horizontal="center" vertical="center"/>
    </xf>
    <xf numFmtId="0" fontId="4" fillId="2" borderId="29" xfId="138" applyFont="1" applyFill="1" applyBorder="1" applyAlignment="1">
      <alignment horizontal="left" vertical="center"/>
    </xf>
    <xf numFmtId="0" fontId="5" fillId="2" borderId="18" xfId="138" applyFont="1" applyFill="1" applyBorder="1" applyAlignment="1">
      <alignment horizontal="left" vertical="center"/>
    </xf>
    <xf numFmtId="0" fontId="5" fillId="2" borderId="18" xfId="138" applyFont="1" applyFill="1" applyBorder="1" applyAlignment="1">
      <alignment horizontal="left" vertical="center" wrapText="1"/>
    </xf>
    <xf numFmtId="0" fontId="5" fillId="2" borderId="18" xfId="138" applyFont="1" applyFill="1" applyBorder="1" applyAlignment="1" applyProtection="1">
      <alignment horizontal="left" vertical="center" wrapText="1"/>
      <protection locked="0"/>
    </xf>
    <xf numFmtId="14" fontId="5" fillId="2" borderId="18" xfId="138" applyNumberFormat="1" applyFont="1" applyFill="1" applyBorder="1" applyAlignment="1">
      <alignment horizontal="left" vertical="center"/>
    </xf>
    <xf numFmtId="0" fontId="4" fillId="2" borderId="30" xfId="139" applyNumberFormat="1" applyFont="1" applyFill="1" applyBorder="1" applyAlignment="1">
      <alignment horizontal="left" vertical="center"/>
    </xf>
    <xf numFmtId="0" fontId="5" fillId="2" borderId="31" xfId="138" applyFont="1" applyFill="1" applyBorder="1" applyAlignment="1">
      <alignment horizontal="center" vertical="center"/>
    </xf>
    <xf numFmtId="14" fontId="5" fillId="2" borderId="18" xfId="138" applyNumberFormat="1" applyFont="1" applyFill="1" applyBorder="1" applyAlignment="1">
      <alignment horizontal="center" vertical="center"/>
    </xf>
    <xf numFmtId="0" fontId="4" fillId="2" borderId="30" xfId="138" applyFont="1" applyFill="1" applyBorder="1" applyAlignment="1">
      <alignment horizontal="center" vertical="center"/>
    </xf>
    <xf numFmtId="14" fontId="5" fillId="2" borderId="18" xfId="138" applyNumberFormat="1" applyFont="1" applyFill="1" applyBorder="1" applyAlignment="1">
      <alignment horizontal="left" vertical="center" wrapText="1"/>
    </xf>
    <xf numFmtId="0" fontId="5" fillId="2" borderId="31" xfId="138" applyFont="1" applyFill="1" applyBorder="1" applyAlignment="1">
      <alignment horizontal="center" vertical="center" wrapText="1"/>
    </xf>
    <xf numFmtId="14" fontId="5" fillId="2" borderId="18" xfId="138" applyNumberFormat="1" applyFont="1" applyFill="1" applyBorder="1" applyAlignment="1">
      <alignment horizontal="center" vertical="center" wrapText="1"/>
    </xf>
    <xf numFmtId="0" fontId="4" fillId="2" borderId="31" xfId="138" applyFont="1" applyFill="1" applyBorder="1" applyAlignment="1">
      <alignment horizontal="center" vertical="center"/>
    </xf>
    <xf numFmtId="14" fontId="4" fillId="2" borderId="18" xfId="138" applyNumberFormat="1" applyFont="1" applyFill="1" applyBorder="1" applyAlignment="1">
      <alignment horizontal="center" vertical="center"/>
    </xf>
    <xf numFmtId="0" fontId="5" fillId="2" borderId="18" xfId="140" applyFont="1" applyFill="1" applyBorder="1" applyAlignment="1">
      <alignment horizontal="left" wrapText="1"/>
    </xf>
    <xf numFmtId="0" fontId="5" fillId="2" borderId="18" xfId="141" applyFont="1" applyFill="1" applyBorder="1" applyAlignment="1">
      <alignment horizontal="left" vertical="center"/>
    </xf>
    <xf numFmtId="0" fontId="4" fillId="2" borderId="18" xfId="138" applyFont="1" applyFill="1" applyBorder="1" applyAlignment="1">
      <alignment horizontal="left" vertical="center"/>
    </xf>
    <xf numFmtId="14" fontId="4" fillId="2" borderId="18" xfId="138" applyNumberFormat="1" applyFont="1" applyFill="1" applyBorder="1" applyAlignment="1">
      <alignment horizontal="left" vertical="center"/>
    </xf>
    <xf numFmtId="0" fontId="4" fillId="2" borderId="31" xfId="138" applyFont="1" applyFill="1" applyBorder="1" applyAlignment="1">
      <alignment horizontal="center" vertical="center" wrapText="1"/>
    </xf>
    <xf numFmtId="14" fontId="4" fillId="2" borderId="18" xfId="138" applyNumberFormat="1" applyFont="1" applyFill="1" applyBorder="1" applyAlignment="1">
      <alignment horizontal="center" vertical="center" wrapText="1"/>
    </xf>
    <xf numFmtId="0" fontId="4" fillId="2" borderId="30" xfId="138" applyFont="1" applyFill="1" applyBorder="1" applyAlignment="1">
      <alignment horizontal="center" vertical="center" wrapText="1"/>
    </xf>
    <xf numFmtId="0" fontId="4" fillId="2" borderId="18" xfId="138" applyFont="1" applyFill="1" applyBorder="1" applyAlignment="1">
      <alignment horizontal="left" vertical="center" wrapText="1"/>
    </xf>
    <xf numFmtId="14" fontId="4" fillId="2" borderId="18" xfId="138" applyNumberFormat="1" applyFont="1" applyFill="1" applyBorder="1" applyAlignment="1">
      <alignment horizontal="left" vertical="center" wrapText="1"/>
    </xf>
    <xf numFmtId="0" fontId="4" fillId="0" borderId="29" xfId="138" applyFont="1" applyBorder="1" applyAlignment="1">
      <alignment horizontal="left" vertical="center"/>
    </xf>
    <xf numFmtId="0" fontId="5" fillId="2" borderId="18" xfId="138" applyFont="1" applyFill="1" applyBorder="1" applyAlignment="1">
      <alignment horizontal="left" vertical="top" wrapText="1"/>
    </xf>
    <xf numFmtId="0" fontId="5" fillId="2" borderId="31" xfId="138" applyFont="1" applyFill="1" applyBorder="1" applyAlignment="1">
      <alignment horizontal="center" vertical="top" wrapText="1"/>
    </xf>
    <xf numFmtId="0" fontId="4" fillId="2" borderId="30" xfId="138" applyFont="1" applyFill="1" applyBorder="1" applyAlignment="1">
      <alignment horizontal="center" vertical="top"/>
    </xf>
    <xf numFmtId="0" fontId="5" fillId="0" borderId="18" xfId="138" applyFont="1" applyBorder="1" applyAlignment="1">
      <alignment horizontal="left" vertical="top" wrapText="1"/>
    </xf>
    <xf numFmtId="0" fontId="5" fillId="0" borderId="18" xfId="138" applyFont="1" applyBorder="1" applyAlignment="1">
      <alignment horizontal="left" vertical="top"/>
    </xf>
    <xf numFmtId="14" fontId="4" fillId="0" borderId="18" xfId="138" applyNumberFormat="1" applyFont="1" applyBorder="1" applyAlignment="1">
      <alignment horizontal="left" vertical="top"/>
    </xf>
    <xf numFmtId="0" fontId="4" fillId="2" borderId="31" xfId="138" applyFont="1" applyFill="1" applyBorder="1" applyAlignment="1">
      <alignment horizontal="center" vertical="top"/>
    </xf>
    <xf numFmtId="14" fontId="4" fillId="2" borderId="18" xfId="138" applyNumberFormat="1" applyFont="1" applyFill="1" applyBorder="1" applyAlignment="1">
      <alignment horizontal="center" vertical="top"/>
    </xf>
    <xf numFmtId="14" fontId="4" fillId="0" borderId="19" xfId="138" applyNumberFormat="1" applyFont="1" applyBorder="1" applyAlignment="1">
      <alignment horizontal="left" vertical="top"/>
    </xf>
    <xf numFmtId="14" fontId="4" fillId="2" borderId="31" xfId="138" applyNumberFormat="1" applyFont="1" applyFill="1" applyBorder="1" applyAlignment="1">
      <alignment horizontal="center" vertical="center"/>
    </xf>
    <xf numFmtId="0" fontId="4" fillId="2" borderId="31" xfId="60" applyFont="1" applyFill="1" applyBorder="1" applyAlignment="1">
      <alignment horizontal="center" vertical="center"/>
    </xf>
    <xf numFmtId="14" fontId="5" fillId="2" borderId="18" xfId="60" applyNumberFormat="1" applyFont="1" applyFill="1" applyBorder="1" applyAlignment="1">
      <alignment horizontal="center" vertical="center" wrapText="1"/>
    </xf>
    <xf numFmtId="0" fontId="4" fillId="2" borderId="30" xfId="60" applyFont="1" applyFill="1" applyBorder="1" applyAlignment="1">
      <alignment horizontal="center" vertical="center"/>
    </xf>
    <xf numFmtId="14" fontId="4" fillId="0" borderId="18" xfId="138" applyNumberFormat="1" applyFont="1" applyBorder="1" applyAlignment="1">
      <alignment horizontal="left" vertical="center"/>
    </xf>
    <xf numFmtId="0" fontId="4" fillId="11" borderId="31" xfId="138" applyFont="1" applyFill="1" applyBorder="1" applyAlignment="1">
      <alignment horizontal="center" vertical="center"/>
    </xf>
    <xf numFmtId="14" fontId="4" fillId="11" borderId="18" xfId="142" applyNumberFormat="1" applyFill="1" applyAlignment="1">
      <alignment horizontal="center" vertical="center"/>
    </xf>
    <xf numFmtId="0" fontId="4" fillId="11" borderId="30" xfId="138" applyFont="1" applyFill="1" applyBorder="1" applyAlignment="1">
      <alignment horizontal="center" vertical="center"/>
    </xf>
    <xf numFmtId="14" fontId="5" fillId="11" borderId="30" xfId="138" applyNumberFormat="1" applyFont="1" applyFill="1" applyBorder="1" applyAlignment="1">
      <alignment horizontal="center" vertical="center"/>
    </xf>
    <xf numFmtId="0" fontId="5" fillId="2" borderId="30" xfId="138" applyFont="1" applyFill="1" applyBorder="1" applyAlignment="1">
      <alignment horizontal="center" vertical="center" wrapText="1"/>
    </xf>
    <xf numFmtId="0" fontId="5" fillId="2" borderId="31" xfId="60" applyFont="1" applyFill="1" applyBorder="1" applyAlignment="1">
      <alignment horizontal="center" vertical="center" wrapText="1"/>
    </xf>
    <xf numFmtId="14" fontId="5" fillId="0" borderId="18" xfId="138" applyNumberFormat="1" applyFont="1" applyBorder="1" applyAlignment="1">
      <alignment horizontal="left" vertical="center"/>
    </xf>
    <xf numFmtId="0" fontId="5" fillId="0" borderId="18" xfId="138" applyFont="1" applyBorder="1" applyAlignment="1">
      <alignment horizontal="left" vertical="center" wrapText="1"/>
    </xf>
    <xf numFmtId="0" fontId="5" fillId="0" borderId="18" xfId="138" applyFont="1" applyBorder="1" applyAlignment="1">
      <alignment horizontal="left" vertical="center"/>
    </xf>
    <xf numFmtId="14" fontId="4" fillId="11" borderId="18" xfId="138" applyNumberFormat="1" applyFont="1" applyFill="1" applyBorder="1" applyAlignment="1">
      <alignment horizontal="center" vertical="center"/>
    </xf>
    <xf numFmtId="0" fontId="4" fillId="11" borderId="30" xfId="138" applyFont="1" applyFill="1" applyBorder="1" applyAlignment="1">
      <alignment horizontal="center" vertical="center" wrapText="1"/>
    </xf>
    <xf numFmtId="0" fontId="5" fillId="2" borderId="29" xfId="138" applyFont="1" applyFill="1" applyBorder="1" applyAlignment="1">
      <alignment horizontal="left" vertical="center" wrapText="1"/>
    </xf>
    <xf numFmtId="14" fontId="5" fillId="2" borderId="31" xfId="138" applyNumberFormat="1" applyFont="1" applyFill="1" applyBorder="1" applyAlignment="1">
      <alignment horizontal="center" vertical="center" wrapText="1"/>
    </xf>
    <xf numFmtId="0" fontId="4" fillId="2" borderId="8" xfId="138" applyFont="1" applyFill="1" applyBorder="1" applyAlignment="1">
      <alignment horizontal="center" vertical="center"/>
    </xf>
    <xf numFmtId="0" fontId="5" fillId="2" borderId="32" xfId="138" applyFont="1" applyFill="1" applyBorder="1" applyAlignment="1">
      <alignment horizontal="left" vertical="center" wrapText="1"/>
    </xf>
    <xf numFmtId="14" fontId="5" fillId="2" borderId="4" xfId="138" applyNumberFormat="1" applyFont="1" applyFill="1" applyBorder="1" applyAlignment="1">
      <alignment horizontal="left" vertical="center"/>
    </xf>
    <xf numFmtId="0" fontId="5" fillId="2" borderId="4" xfId="138" applyFont="1" applyFill="1" applyBorder="1" applyAlignment="1">
      <alignment horizontal="left" vertical="center" wrapText="1"/>
    </xf>
    <xf numFmtId="0" fontId="5" fillId="2" borderId="4" xfId="138" applyFont="1" applyFill="1" applyBorder="1" applyAlignment="1">
      <alignment horizontal="left" vertical="center"/>
    </xf>
    <xf numFmtId="0" fontId="4" fillId="2" borderId="18" xfId="138" applyFont="1" applyFill="1" applyBorder="1" applyAlignment="1">
      <alignment horizontal="center" vertical="center"/>
    </xf>
    <xf numFmtId="0" fontId="5" fillId="2" borderId="25" xfId="138" applyFont="1" applyFill="1" applyBorder="1" applyAlignment="1">
      <alignment horizontal="center" vertical="center" wrapText="1"/>
    </xf>
    <xf numFmtId="0" fontId="5" fillId="2" borderId="29" xfId="138" applyFont="1" applyFill="1" applyBorder="1" applyAlignment="1">
      <alignment horizontal="left" vertical="center"/>
    </xf>
    <xf numFmtId="0" fontId="5" fillId="2" borderId="8" xfId="138" applyFont="1" applyFill="1" applyBorder="1" applyAlignment="1">
      <alignment horizontal="center" vertical="center"/>
    </xf>
    <xf numFmtId="0" fontId="5" fillId="2" borderId="28" xfId="138" applyFont="1" applyFill="1" applyBorder="1" applyAlignment="1">
      <alignment horizontal="center" vertical="center" wrapText="1"/>
    </xf>
    <xf numFmtId="0" fontId="5" fillId="2" borderId="33" xfId="138" applyFont="1" applyFill="1" applyBorder="1" applyAlignment="1">
      <alignment horizontal="left" vertical="center"/>
    </xf>
    <xf numFmtId="0" fontId="5" fillId="2" borderId="34" xfId="138" applyFont="1" applyFill="1" applyBorder="1" applyAlignment="1">
      <alignment horizontal="left" vertical="center"/>
    </xf>
    <xf numFmtId="0" fontId="5" fillId="2" borderId="32" xfId="138" applyFont="1" applyFill="1" applyBorder="1" applyAlignment="1">
      <alignment horizontal="left" vertical="center"/>
    </xf>
    <xf numFmtId="14" fontId="4" fillId="2" borderId="4" xfId="138" applyNumberFormat="1" applyFont="1" applyFill="1" applyBorder="1" applyAlignment="1">
      <alignment horizontal="left" vertical="center"/>
    </xf>
    <xf numFmtId="0" fontId="4" fillId="2" borderId="11" xfId="138" applyFont="1" applyFill="1" applyBorder="1" applyAlignment="1">
      <alignment horizontal="center" vertical="center"/>
    </xf>
    <xf numFmtId="14" fontId="4" fillId="2" borderId="4" xfId="138" applyNumberFormat="1" applyFont="1" applyFill="1" applyBorder="1" applyAlignment="1">
      <alignment horizontal="center" vertical="center"/>
    </xf>
    <xf numFmtId="14" fontId="5" fillId="2" borderId="4" xfId="138" applyNumberFormat="1" applyFont="1" applyFill="1" applyBorder="1" applyAlignment="1">
      <alignment horizontal="left" vertical="center" wrapText="1"/>
    </xf>
    <xf numFmtId="0" fontId="4" fillId="2" borderId="4" xfId="138" applyFont="1" applyFill="1" applyBorder="1" applyAlignment="1">
      <alignment horizontal="left" vertical="center"/>
    </xf>
    <xf numFmtId="0" fontId="4" fillId="2" borderId="25" xfId="138" applyFont="1" applyFill="1" applyBorder="1" applyAlignment="1">
      <alignment horizontal="center" vertical="center"/>
    </xf>
    <xf numFmtId="14" fontId="5" fillId="11" borderId="18" xfId="138" applyNumberFormat="1" applyFont="1" applyFill="1" applyBorder="1" applyAlignment="1">
      <alignment horizontal="center" vertical="center"/>
    </xf>
    <xf numFmtId="0" fontId="5" fillId="11" borderId="25" xfId="138" applyFont="1" applyFill="1" applyBorder="1" applyAlignment="1">
      <alignment horizontal="center" vertical="center" wrapText="1"/>
    </xf>
    <xf numFmtId="14" fontId="5" fillId="11" borderId="18" xfId="142" applyNumberFormat="1" applyFont="1" applyFill="1" applyAlignment="1">
      <alignment horizontal="center" vertical="center"/>
    </xf>
    <xf numFmtId="14" fontId="5" fillId="11" borderId="25" xfId="138" applyNumberFormat="1" applyFont="1" applyFill="1" applyBorder="1" applyAlignment="1">
      <alignment horizontal="center" vertical="center"/>
    </xf>
    <xf numFmtId="0" fontId="5" fillId="2" borderId="4" xfId="141" applyFont="1" applyFill="1" applyBorder="1" applyAlignment="1">
      <alignment horizontal="left" vertical="center"/>
    </xf>
    <xf numFmtId="0" fontId="4" fillId="11" borderId="11" xfId="138" applyFont="1" applyFill="1" applyBorder="1" applyAlignment="1">
      <alignment horizontal="center" vertical="center"/>
    </xf>
    <xf numFmtId="0" fontId="4" fillId="2" borderId="4" xfId="138" applyFont="1" applyFill="1" applyBorder="1" applyAlignment="1">
      <alignment horizontal="left" vertical="center" wrapText="1"/>
    </xf>
    <xf numFmtId="14" fontId="5" fillId="2" borderId="25" xfId="138" applyNumberFormat="1" applyFont="1" applyFill="1" applyBorder="1" applyAlignment="1">
      <alignment horizontal="center" vertical="center"/>
    </xf>
    <xf numFmtId="0" fontId="4" fillId="11" borderId="30" xfId="60" applyFont="1" applyFill="1" applyBorder="1" applyAlignment="1">
      <alignment horizontal="center" vertical="center"/>
    </xf>
    <xf numFmtId="14" fontId="4" fillId="11" borderId="4" xfId="138" applyNumberFormat="1" applyFont="1" applyFill="1" applyBorder="1" applyAlignment="1">
      <alignment horizontal="center" vertical="center"/>
    </xf>
    <xf numFmtId="0" fontId="4" fillId="11" borderId="25" xfId="138" applyFont="1" applyFill="1" applyBorder="1" applyAlignment="1">
      <alignment horizontal="center" vertical="center"/>
    </xf>
    <xf numFmtId="0" fontId="4" fillId="0" borderId="18" xfId="138" applyFont="1" applyBorder="1" applyAlignment="1">
      <alignment horizontal="left" vertical="center"/>
    </xf>
    <xf numFmtId="0" fontId="4" fillId="0" borderId="18" xfId="138" applyFont="1" applyBorder="1" applyAlignment="1">
      <alignment horizontal="left" vertical="center" wrapText="1"/>
    </xf>
    <xf numFmtId="0" fontId="5" fillId="11" borderId="30" xfId="138" applyFont="1" applyFill="1" applyBorder="1" applyAlignment="1">
      <alignment horizontal="center" vertical="center" wrapText="1"/>
    </xf>
    <xf numFmtId="14" fontId="4" fillId="11" borderId="4" xfId="142" applyNumberFormat="1" applyFill="1" applyBorder="1" applyAlignment="1">
      <alignment horizontal="center" vertical="center"/>
    </xf>
    <xf numFmtId="14" fontId="5" fillId="2" borderId="4" xfId="138" applyNumberFormat="1" applyFont="1" applyFill="1" applyBorder="1" applyAlignment="1">
      <alignment horizontal="center" vertical="center"/>
    </xf>
    <xf numFmtId="0" fontId="4" fillId="2" borderId="32" xfId="138" applyFont="1" applyFill="1" applyBorder="1" applyAlignment="1">
      <alignment horizontal="left" vertical="center"/>
    </xf>
    <xf numFmtId="0" fontId="51" fillId="2" borderId="18" xfId="138" applyFont="1" applyFill="1" applyBorder="1" applyAlignment="1">
      <alignment horizontal="left" vertical="center"/>
    </xf>
    <xf numFmtId="0" fontId="52" fillId="2" borderId="18" xfId="138" applyFont="1" applyFill="1" applyBorder="1" applyAlignment="1">
      <alignment horizontal="left" vertical="center"/>
    </xf>
    <xf numFmtId="14" fontId="5" fillId="2" borderId="11" xfId="138" applyNumberFormat="1" applyFont="1" applyFill="1" applyBorder="1" applyAlignment="1">
      <alignment horizontal="center" vertical="center"/>
    </xf>
    <xf numFmtId="0" fontId="47" fillId="2" borderId="31" xfId="138" applyFont="1" applyFill="1" applyBorder="1" applyAlignment="1">
      <alignment horizontal="center" vertical="center"/>
    </xf>
    <xf numFmtId="0" fontId="47" fillId="2" borderId="11" xfId="138" applyFont="1" applyFill="1" applyBorder="1" applyAlignment="1">
      <alignment horizontal="center" vertical="center"/>
    </xf>
    <xf numFmtId="0" fontId="47" fillId="11" borderId="30" xfId="138" applyFont="1" applyFill="1" applyBorder="1" applyAlignment="1">
      <alignment horizontal="center" vertical="center"/>
    </xf>
    <xf numFmtId="0" fontId="53" fillId="2" borderId="18" xfId="138" applyFont="1" applyFill="1" applyBorder="1" applyAlignment="1">
      <alignment horizontal="left" vertical="center"/>
    </xf>
    <xf numFmtId="0" fontId="53" fillId="2" borderId="18" xfId="138" applyFont="1" applyFill="1" applyBorder="1" applyAlignment="1">
      <alignment horizontal="left" vertical="center" wrapText="1"/>
    </xf>
    <xf numFmtId="14" fontId="47" fillId="2" borderId="18" xfId="138" applyNumberFormat="1" applyFont="1" applyFill="1" applyBorder="1" applyAlignment="1">
      <alignment horizontal="center" vertical="center"/>
    </xf>
    <xf numFmtId="0" fontId="47" fillId="2" borderId="30" xfId="138" applyFont="1" applyFill="1" applyBorder="1" applyAlignment="1">
      <alignment horizontal="center" vertical="center"/>
    </xf>
    <xf numFmtId="0" fontId="4" fillId="2" borderId="27" xfId="138" applyFont="1" applyFill="1" applyBorder="1" applyAlignment="1">
      <alignment horizontal="left" vertical="center"/>
    </xf>
    <xf numFmtId="0" fontId="53" fillId="2" borderId="27" xfId="138" applyFont="1" applyFill="1" applyBorder="1" applyAlignment="1">
      <alignment horizontal="left" vertical="center" wrapText="1"/>
    </xf>
    <xf numFmtId="14" fontId="47" fillId="11" borderId="18" xfId="138" applyNumberFormat="1" applyFont="1" applyFill="1" applyBorder="1" applyAlignment="1">
      <alignment horizontal="center" vertical="center"/>
    </xf>
    <xf numFmtId="0" fontId="53" fillId="2" borderId="4" xfId="138" applyFont="1" applyFill="1" applyBorder="1" applyAlignment="1">
      <alignment horizontal="left" vertical="center" wrapText="1"/>
    </xf>
    <xf numFmtId="14" fontId="47" fillId="11" borderId="4" xfId="138" applyNumberFormat="1" applyFont="1" applyFill="1" applyBorder="1" applyAlignment="1">
      <alignment horizontal="center" vertical="center"/>
    </xf>
    <xf numFmtId="0" fontId="47" fillId="11" borderId="25" xfId="138" applyFont="1" applyFill="1" applyBorder="1" applyAlignment="1">
      <alignment horizontal="center" vertical="center"/>
    </xf>
    <xf numFmtId="0" fontId="47" fillId="2" borderId="25" xfId="138" applyFont="1" applyFill="1" applyBorder="1" applyAlignment="1">
      <alignment horizontal="center" vertical="center"/>
    </xf>
    <xf numFmtId="0" fontId="53" fillId="2" borderId="4" xfId="138" applyFont="1" applyFill="1" applyBorder="1" applyAlignment="1">
      <alignment horizontal="left" vertical="center"/>
    </xf>
    <xf numFmtId="14" fontId="47" fillId="2" borderId="4" xfId="138" applyNumberFormat="1" applyFont="1" applyFill="1" applyBorder="1" applyAlignment="1">
      <alignment horizontal="center" vertical="center"/>
    </xf>
    <xf numFmtId="0" fontId="4" fillId="2" borderId="27" xfId="138" applyFont="1" applyFill="1" applyBorder="1" applyAlignment="1">
      <alignment horizontal="left" vertical="center" wrapText="1"/>
    </xf>
    <xf numFmtId="0" fontId="4" fillId="11" borderId="25" xfId="142" applyFill="1" applyBorder="1" applyAlignment="1">
      <alignment horizontal="center" vertical="center"/>
    </xf>
    <xf numFmtId="14" fontId="4" fillId="2" borderId="31" xfId="138" applyNumberFormat="1" applyFont="1" applyFill="1" applyBorder="1" applyAlignment="1">
      <alignment horizontal="left" vertical="center"/>
    </xf>
    <xf numFmtId="14" fontId="5" fillId="2" borderId="18" xfId="142" applyNumberFormat="1" applyFont="1" applyFill="1" applyAlignment="1">
      <alignment horizontal="center" vertical="center"/>
    </xf>
    <xf numFmtId="14" fontId="5" fillId="0" borderId="18" xfId="142" applyNumberFormat="1" applyFont="1">
      <alignment horizontal="left" vertical="center"/>
    </xf>
    <xf numFmtId="0" fontId="4" fillId="0" borderId="29" xfId="142" applyBorder="1">
      <alignment horizontal="left" vertical="center"/>
    </xf>
    <xf numFmtId="0" fontId="4" fillId="0" borderId="18" xfId="142">
      <alignment horizontal="left" vertical="center"/>
    </xf>
    <xf numFmtId="0" fontId="4" fillId="2" borderId="31" xfId="142" applyFill="1" applyBorder="1" applyAlignment="1">
      <alignment horizontal="center" vertical="center"/>
    </xf>
    <xf numFmtId="14" fontId="4" fillId="2" borderId="18" xfId="142" applyNumberFormat="1" applyFill="1" applyAlignment="1">
      <alignment horizontal="center" vertical="center"/>
    </xf>
    <xf numFmtId="0" fontId="4" fillId="2" borderId="30" xfId="142" applyFill="1" applyBorder="1" applyAlignment="1">
      <alignment horizontal="center" vertical="center"/>
    </xf>
    <xf numFmtId="14" fontId="4" fillId="0" borderId="18" xfId="142" applyNumberFormat="1">
      <alignment horizontal="left" vertical="center"/>
    </xf>
    <xf numFmtId="0" fontId="4" fillId="11" borderId="30" xfId="142" applyFill="1" applyBorder="1" applyAlignment="1">
      <alignment horizontal="center" vertical="center"/>
    </xf>
    <xf numFmtId="0" fontId="4" fillId="2" borderId="11" xfId="142" applyFill="1" applyBorder="1" applyAlignment="1">
      <alignment horizontal="center" vertical="center"/>
    </xf>
    <xf numFmtId="0" fontId="4" fillId="11" borderId="18" xfId="142" applyFill="1" applyAlignment="1">
      <alignment horizontal="center" vertical="center"/>
    </xf>
    <xf numFmtId="0" fontId="4" fillId="11" borderId="31" xfId="142" applyFill="1" applyBorder="1" applyAlignment="1">
      <alignment horizontal="center" vertical="center"/>
    </xf>
    <xf numFmtId="0" fontId="5" fillId="2" borderId="29" xfId="143" applyFill="1" applyBorder="1">
      <alignment horizontal="left" vertical="center"/>
    </xf>
    <xf numFmtId="0" fontId="5" fillId="2" borderId="18" xfId="143" applyFill="1">
      <alignment horizontal="left" vertical="center"/>
    </xf>
    <xf numFmtId="0" fontId="5" fillId="2" borderId="32" xfId="143" applyFill="1" applyBorder="1">
      <alignment horizontal="left" vertical="center"/>
    </xf>
    <xf numFmtId="0" fontId="5" fillId="2" borderId="4" xfId="143" applyFill="1" applyBorder="1">
      <alignment horizontal="left" vertical="center"/>
    </xf>
    <xf numFmtId="0" fontId="47" fillId="11" borderId="31" xfId="138" applyFont="1" applyFill="1" applyBorder="1" applyAlignment="1">
      <alignment horizontal="center" vertical="center"/>
    </xf>
    <xf numFmtId="0" fontId="4" fillId="2" borderId="29" xfId="142" applyFill="1" applyBorder="1">
      <alignment horizontal="left" vertical="center"/>
    </xf>
    <xf numFmtId="0" fontId="4" fillId="2" borderId="18" xfId="142" applyFill="1">
      <alignment horizontal="left" vertical="center"/>
    </xf>
    <xf numFmtId="14" fontId="5" fillId="2" borderId="18" xfId="143" applyNumberFormat="1" applyFill="1">
      <alignment horizontal="left" vertical="center"/>
    </xf>
    <xf numFmtId="0" fontId="4" fillId="0" borderId="30" xfId="142" applyBorder="1">
      <alignment horizontal="left" vertical="center"/>
    </xf>
    <xf numFmtId="0" fontId="5" fillId="2" borderId="30" xfId="143" applyFill="1" applyBorder="1">
      <alignment horizontal="left" vertical="center"/>
    </xf>
    <xf numFmtId="14" fontId="4" fillId="2" borderId="18" xfId="142" applyNumberFormat="1" applyFill="1">
      <alignment horizontal="left" vertical="center"/>
    </xf>
    <xf numFmtId="0" fontId="4" fillId="2" borderId="30" xfId="142" applyFill="1" applyBorder="1">
      <alignment horizontal="left" vertical="center"/>
    </xf>
    <xf numFmtId="0" fontId="4" fillId="2" borderId="18" xfId="142" applyFill="1" applyAlignment="1">
      <alignment horizontal="center" vertical="center"/>
    </xf>
    <xf numFmtId="0" fontId="4" fillId="2" borderId="27" xfId="142" applyFill="1" applyBorder="1">
      <alignment horizontal="left" vertical="center"/>
    </xf>
    <xf numFmtId="0" fontId="4" fillId="2" borderId="27" xfId="142" applyFill="1" applyBorder="1" applyAlignment="1">
      <alignment horizontal="center" vertical="center"/>
    </xf>
    <xf numFmtId="14" fontId="4" fillId="2" borderId="27" xfId="142" applyNumberFormat="1" applyFill="1" applyBorder="1" applyAlignment="1">
      <alignment horizontal="center" vertical="center"/>
    </xf>
    <xf numFmtId="0" fontId="4" fillId="2" borderId="28" xfId="142" applyFill="1" applyBorder="1" applyAlignment="1">
      <alignment horizontal="center" vertical="center"/>
    </xf>
    <xf numFmtId="14" fontId="4" fillId="2" borderId="27" xfId="142" applyNumberFormat="1" applyFill="1" applyBorder="1">
      <alignment horizontal="left" vertical="center"/>
    </xf>
    <xf numFmtId="0" fontId="53" fillId="2" borderId="18" xfId="138" applyFont="1" applyFill="1" applyBorder="1" applyAlignment="1">
      <alignment horizontal="center" vertical="center"/>
    </xf>
    <xf numFmtId="0" fontId="53" fillId="2" borderId="30" xfId="138" applyFont="1" applyFill="1" applyBorder="1" applyAlignment="1">
      <alignment horizontal="center" vertical="center"/>
    </xf>
    <xf numFmtId="0" fontId="4" fillId="0" borderId="18" xfId="142" applyAlignment="1">
      <alignment horizontal="center" vertical="center"/>
    </xf>
    <xf numFmtId="14" fontId="4" fillId="0" borderId="18" xfId="142" applyNumberFormat="1" applyAlignment="1">
      <alignment horizontal="center" vertical="center"/>
    </xf>
    <xf numFmtId="0" fontId="4" fillId="2" borderId="25" xfId="142" applyFill="1" applyBorder="1" applyAlignment="1">
      <alignment horizontal="center" vertical="center"/>
    </xf>
    <xf numFmtId="0" fontId="4" fillId="11" borderId="28" xfId="142" applyFill="1" applyBorder="1" applyAlignment="1">
      <alignment horizontal="center" vertical="center"/>
    </xf>
    <xf numFmtId="0" fontId="4" fillId="2" borderId="32" xfId="142" applyFill="1" applyBorder="1">
      <alignment horizontal="left" vertical="center"/>
    </xf>
    <xf numFmtId="0" fontId="4" fillId="2" borderId="4" xfId="142" applyFill="1" applyBorder="1">
      <alignment horizontal="left" vertical="center"/>
    </xf>
    <xf numFmtId="0" fontId="4" fillId="2" borderId="25" xfId="142" applyFill="1" applyBorder="1">
      <alignment horizontal="left" vertical="center"/>
    </xf>
    <xf numFmtId="0" fontId="53" fillId="11" borderId="18" xfId="138" applyFont="1" applyFill="1" applyBorder="1" applyAlignment="1">
      <alignment horizontal="center" vertical="center"/>
    </xf>
    <xf numFmtId="0" fontId="53" fillId="11" borderId="30" xfId="138" applyFont="1" applyFill="1" applyBorder="1" applyAlignment="1">
      <alignment horizontal="center" vertical="center"/>
    </xf>
    <xf numFmtId="14" fontId="53" fillId="2" borderId="18" xfId="138" applyNumberFormat="1" applyFont="1" applyFill="1" applyBorder="1" applyAlignment="1">
      <alignment horizontal="center" vertical="center"/>
    </xf>
    <xf numFmtId="14" fontId="53" fillId="11" borderId="18" xfId="138" applyNumberFormat="1" applyFont="1" applyFill="1" applyBorder="1" applyAlignment="1">
      <alignment horizontal="center" vertical="center"/>
    </xf>
    <xf numFmtId="0" fontId="53" fillId="11" borderId="25" xfId="138" applyFont="1" applyFill="1" applyBorder="1" applyAlignment="1">
      <alignment horizontal="center" vertical="center"/>
    </xf>
    <xf numFmtId="0" fontId="53" fillId="11" borderId="31" xfId="138" applyFont="1" applyFill="1" applyBorder="1" applyAlignment="1">
      <alignment horizontal="center" vertical="center"/>
    </xf>
    <xf numFmtId="14" fontId="4" fillId="12" borderId="18" xfId="142" applyNumberFormat="1" applyFill="1">
      <alignment horizontal="left" vertical="center"/>
    </xf>
    <xf numFmtId="0" fontId="54" fillId="0" borderId="18" xfId="142" applyFont="1" applyAlignment="1">
      <alignment horizontal="center" vertical="center"/>
    </xf>
    <xf numFmtId="14" fontId="47" fillId="0" borderId="18" xfId="138" applyNumberFormat="1" applyFont="1" applyBorder="1" applyAlignment="1">
      <alignment horizontal="center" vertical="center"/>
    </xf>
    <xf numFmtId="0" fontId="47" fillId="0" borderId="25" xfId="138" applyFont="1" applyBorder="1" applyAlignment="1">
      <alignment horizontal="center" vertical="center"/>
    </xf>
    <xf numFmtId="0" fontId="54" fillId="11" borderId="18" xfId="138" applyFont="1" applyFill="1" applyBorder="1" applyAlignment="1">
      <alignment horizontal="center" vertical="center"/>
    </xf>
    <xf numFmtId="0" fontId="54" fillId="11" borderId="18" xfId="142" applyFont="1" applyFill="1" applyAlignment="1">
      <alignment horizontal="center" vertical="center"/>
    </xf>
    <xf numFmtId="0" fontId="53" fillId="0" borderId="18" xfId="138" applyFont="1" applyBorder="1" applyAlignment="1">
      <alignment horizontal="center" vertical="center"/>
    </xf>
    <xf numFmtId="14" fontId="53" fillId="0" borderId="18" xfId="138" applyNumberFormat="1" applyFont="1" applyBorder="1" applyAlignment="1">
      <alignment horizontal="center" vertical="center"/>
    </xf>
    <xf numFmtId="0" fontId="4" fillId="0" borderId="25" xfId="142" applyBorder="1">
      <alignment horizontal="left" vertical="center"/>
    </xf>
    <xf numFmtId="0" fontId="53" fillId="0" borderId="0" xfId="138" applyFont="1" applyAlignment="1">
      <alignment horizontal="center" vertical="center"/>
    </xf>
    <xf numFmtId="0" fontId="4" fillId="0" borderId="30" xfId="142" applyBorder="1" applyAlignment="1">
      <alignment horizontal="center" vertical="center"/>
    </xf>
    <xf numFmtId="0" fontId="4" fillId="0" borderId="25" xfId="142" applyBorder="1" applyAlignment="1">
      <alignment horizontal="center" vertical="center"/>
    </xf>
    <xf numFmtId="0" fontId="4" fillId="0" borderId="27" xfId="142" applyBorder="1" applyAlignment="1">
      <alignment horizontal="center" vertical="center"/>
    </xf>
    <xf numFmtId="14" fontId="4" fillId="2" borderId="4" xfId="142" applyNumberFormat="1" applyFill="1" applyBorder="1">
      <alignment horizontal="left" vertical="center"/>
    </xf>
    <xf numFmtId="0" fontId="4" fillId="0" borderId="4" xfId="142" applyBorder="1" applyAlignment="1">
      <alignment horizontal="center" vertical="center"/>
    </xf>
    <xf numFmtId="14" fontId="4" fillId="0" borderId="4" xfId="142" applyNumberFormat="1" applyBorder="1" applyAlignment="1">
      <alignment horizontal="center" vertical="center"/>
    </xf>
    <xf numFmtId="0" fontId="47" fillId="2" borderId="18" xfId="138" applyFont="1" applyFill="1" applyBorder="1" applyAlignment="1">
      <alignment horizontal="center" vertical="center"/>
    </xf>
    <xf numFmtId="0" fontId="4" fillId="13" borderId="29" xfId="138" applyFont="1" applyFill="1" applyBorder="1" applyAlignment="1">
      <alignment horizontal="center" vertical="center"/>
    </xf>
    <xf numFmtId="14" fontId="4" fillId="13" borderId="18" xfId="138" applyNumberFormat="1" applyFont="1" applyFill="1" applyBorder="1" applyAlignment="1">
      <alignment horizontal="center" vertical="center"/>
    </xf>
    <xf numFmtId="0" fontId="5" fillId="13" borderId="30" xfId="138" applyFont="1" applyFill="1" applyBorder="1" applyAlignment="1">
      <alignment horizontal="center" vertical="center" wrapText="1"/>
    </xf>
    <xf numFmtId="0" fontId="4" fillId="0" borderId="27" xfId="142" applyBorder="1">
      <alignment horizontal="left" vertical="center"/>
    </xf>
    <xf numFmtId="14" fontId="4" fillId="0" borderId="27" xfId="142" applyNumberFormat="1" applyBorder="1" applyAlignment="1">
      <alignment horizontal="center" vertical="center"/>
    </xf>
    <xf numFmtId="0" fontId="4" fillId="0" borderId="28" xfId="142" applyBorder="1" applyAlignment="1">
      <alignment horizontal="center" vertical="center"/>
    </xf>
    <xf numFmtId="0" fontId="53" fillId="0" borderId="29" xfId="138" applyFont="1" applyBorder="1" applyAlignment="1">
      <alignment horizontal="center" vertical="center"/>
    </xf>
    <xf numFmtId="0" fontId="4" fillId="0" borderId="18" xfId="142" applyAlignment="1">
      <alignment horizontal="left" vertical="center" wrapText="1"/>
    </xf>
    <xf numFmtId="0" fontId="47" fillId="0" borderId="7" xfId="138" applyFont="1" applyBorder="1">
      <alignment vertical="center"/>
    </xf>
    <xf numFmtId="14" fontId="47" fillId="0" borderId="18" xfId="138" applyNumberFormat="1" applyFont="1" applyBorder="1" applyAlignment="1">
      <alignment horizontal="left" vertical="center"/>
    </xf>
    <xf numFmtId="0" fontId="4" fillId="0" borderId="35" xfId="142" applyBorder="1">
      <alignment horizontal="left" vertical="center"/>
    </xf>
    <xf numFmtId="0" fontId="4" fillId="0" borderId="4" xfId="142" applyBorder="1">
      <alignment horizontal="left" vertical="center"/>
    </xf>
    <xf numFmtId="0" fontId="4" fillId="0" borderId="4" xfId="142" applyBorder="1" applyAlignment="1">
      <alignment horizontal="left" vertical="center" wrapText="1"/>
    </xf>
    <xf numFmtId="0" fontId="47" fillId="0" borderId="18" xfId="138" applyFont="1" applyBorder="1" applyAlignment="1">
      <alignment horizontal="left" vertical="center"/>
    </xf>
    <xf numFmtId="0" fontId="55" fillId="0" borderId="18" xfId="138" applyFont="1" applyBorder="1">
      <alignment vertical="center"/>
    </xf>
    <xf numFmtId="15" fontId="4" fillId="0" borderId="4" xfId="142" applyNumberFormat="1" applyBorder="1" applyAlignment="1">
      <alignment horizontal="center" vertical="center"/>
    </xf>
    <xf numFmtId="0" fontId="47" fillId="14" borderId="18" xfId="138" applyFont="1" applyFill="1" applyBorder="1" applyAlignment="1">
      <alignment horizontal="left" vertical="center"/>
    </xf>
    <xf numFmtId="0" fontId="55" fillId="14" borderId="18" xfId="138" applyFont="1" applyFill="1" applyBorder="1">
      <alignment vertical="center"/>
    </xf>
    <xf numFmtId="14" fontId="47" fillId="14" borderId="18" xfId="138" applyNumberFormat="1" applyFont="1" applyFill="1" applyBorder="1" applyAlignment="1">
      <alignment horizontal="left" vertical="center"/>
    </xf>
    <xf numFmtId="0" fontId="4" fillId="14" borderId="25" xfId="142" applyFill="1" applyBorder="1">
      <alignment horizontal="left" vertical="center"/>
    </xf>
    <xf numFmtId="0" fontId="4" fillId="14" borderId="4" xfId="142" applyFill="1" applyBorder="1" applyAlignment="1">
      <alignment horizontal="center" vertical="center"/>
    </xf>
    <xf numFmtId="14" fontId="4" fillId="14" borderId="4" xfId="142" applyNumberFormat="1" applyFill="1" applyBorder="1" applyAlignment="1">
      <alignment horizontal="center" vertical="center"/>
    </xf>
    <xf numFmtId="0" fontId="4" fillId="14" borderId="25" xfId="142" applyFill="1" applyBorder="1" applyAlignment="1">
      <alignment horizontal="center" vertical="center"/>
    </xf>
    <xf numFmtId="15" fontId="4" fillId="0" borderId="18" xfId="142" applyNumberFormat="1" applyAlignment="1">
      <alignment horizontal="center" vertical="center"/>
    </xf>
    <xf numFmtId="0" fontId="56" fillId="0" borderId="18" xfId="138" applyFont="1" applyBorder="1" applyAlignment="1">
      <alignment horizontal="left" vertical="center"/>
    </xf>
    <xf numFmtId="0" fontId="56" fillId="0" borderId="18" xfId="138" applyFont="1" applyBorder="1">
      <alignment vertical="center"/>
    </xf>
    <xf numFmtId="0" fontId="57" fillId="0" borderId="18" xfId="138" applyFont="1" applyBorder="1" applyAlignment="1">
      <alignment horizontal="justify" vertical="center" wrapText="1"/>
    </xf>
    <xf numFmtId="0" fontId="58" fillId="0" borderId="18" xfId="138" applyFont="1" applyBorder="1" applyAlignment="1">
      <alignment horizontal="center" vertical="center"/>
    </xf>
    <xf numFmtId="14" fontId="47" fillId="0" borderId="19" xfId="138" applyNumberFormat="1" applyFont="1" applyBorder="1" applyAlignment="1">
      <alignment horizontal="left" vertical="center"/>
    </xf>
    <xf numFmtId="14" fontId="58" fillId="0" borderId="18" xfId="138" applyNumberFormat="1" applyFont="1" applyBorder="1" applyAlignment="1">
      <alignment horizontal="center" vertical="center"/>
    </xf>
    <xf numFmtId="0" fontId="47" fillId="0" borderId="18" xfId="139" applyNumberFormat="1" applyFont="1" applyFill="1" applyBorder="1" applyAlignment="1">
      <alignment horizontal="left" vertical="center"/>
    </xf>
    <xf numFmtId="0" fontId="47" fillId="0" borderId="18" xfId="138" applyFont="1" applyBorder="1" applyAlignment="1">
      <alignment horizontal="center" vertical="center"/>
    </xf>
    <xf numFmtId="0" fontId="47" fillId="0" borderId="18" xfId="139" applyNumberFormat="1" applyFont="1" applyBorder="1" applyAlignment="1">
      <alignment horizontal="left" vertical="center"/>
    </xf>
    <xf numFmtId="0" fontId="47" fillId="0" borderId="0" xfId="138" applyFont="1" applyAlignment="1">
      <alignment horizontal="left" vertical="center"/>
    </xf>
    <xf numFmtId="0" fontId="47" fillId="0" borderId="0" xfId="139" applyNumberFormat="1" applyFont="1" applyAlignment="1">
      <alignment horizontal="left" vertical="center"/>
    </xf>
    <xf numFmtId="0" fontId="47" fillId="0" borderId="0" xfId="138" applyFont="1" applyAlignment="1">
      <alignment horizontal="center" vertical="center"/>
    </xf>
    <xf numFmtId="0" fontId="49" fillId="3" borderId="36" xfId="138" applyFont="1" applyFill="1" applyBorder="1" applyAlignment="1">
      <alignment horizontal="left" vertical="center"/>
    </xf>
    <xf numFmtId="0" fontId="49" fillId="3" borderId="37" xfId="138" applyFont="1" applyFill="1" applyBorder="1" applyAlignment="1">
      <alignment horizontal="left" vertical="center"/>
    </xf>
    <xf numFmtId="0" fontId="49" fillId="3" borderId="38" xfId="139" applyNumberFormat="1" applyFont="1" applyFill="1" applyBorder="1" applyAlignment="1">
      <alignment horizontal="left" vertical="center" wrapText="1"/>
    </xf>
    <xf numFmtId="0" fontId="49" fillId="10" borderId="6" xfId="138" applyFont="1" applyFill="1" applyBorder="1" applyAlignment="1">
      <alignment horizontal="center" vertical="center" wrapText="1"/>
    </xf>
    <xf numFmtId="0" fontId="49" fillId="10" borderId="34" xfId="138" applyFont="1" applyFill="1" applyBorder="1" applyAlignment="1">
      <alignment horizontal="center" vertical="center"/>
    </xf>
    <xf numFmtId="0" fontId="49" fillId="10" borderId="39" xfId="138" applyFont="1" applyFill="1" applyBorder="1" applyAlignment="1">
      <alignment horizontal="center" vertical="center" wrapText="1"/>
    </xf>
    <xf numFmtId="0" fontId="47" fillId="0" borderId="4" xfId="138" applyFont="1" applyBorder="1" applyAlignment="1">
      <alignment horizontal="left" vertical="center"/>
    </xf>
    <xf numFmtId="14" fontId="47" fillId="0" borderId="4" xfId="138" applyNumberFormat="1" applyFont="1" applyBorder="1" applyAlignment="1">
      <alignment horizontal="left" vertical="center"/>
    </xf>
    <xf numFmtId="0" fontId="47" fillId="0" borderId="4" xfId="138" applyFont="1" applyBorder="1" applyAlignment="1">
      <alignment horizontal="center" vertical="center"/>
    </xf>
    <xf numFmtId="0" fontId="4" fillId="0" borderId="26" xfId="142" applyBorder="1">
      <alignment horizontal="left" vertical="center"/>
    </xf>
    <xf numFmtId="0" fontId="4" fillId="0" borderId="18" xfId="142" applyBorder="1">
      <alignment horizontal="left" vertical="center"/>
    </xf>
    <xf numFmtId="0" fontId="4" fillId="2" borderId="18" xfId="142" applyFill="1" applyBorder="1">
      <alignment horizontal="left" vertical="center"/>
    </xf>
    <xf numFmtId="0" fontId="5" fillId="2" borderId="18" xfId="143" applyFill="1" applyBorder="1">
      <alignment horizontal="left" vertical="center"/>
    </xf>
    <xf numFmtId="0" fontId="4" fillId="0" borderId="4" xfId="138" applyFont="1" applyBorder="1" applyAlignment="1">
      <alignment horizontal="left" vertical="center"/>
    </xf>
    <xf numFmtId="0" fontId="5" fillId="2" borderId="34" xfId="138" applyFont="1" applyFill="1" applyBorder="1" applyAlignment="1">
      <alignment horizontal="left" vertical="center" wrapText="1"/>
    </xf>
    <xf numFmtId="0" fontId="4" fillId="0" borderId="4" xfId="138" applyFont="1" applyBorder="1" applyAlignment="1">
      <alignment horizontal="left" vertical="center" wrapText="1"/>
    </xf>
    <xf numFmtId="0" fontId="4" fillId="0" borderId="18" xfId="142" applyBorder="1" applyAlignment="1">
      <alignment horizontal="left" vertical="center" wrapText="1"/>
    </xf>
    <xf numFmtId="0" fontId="4" fillId="2" borderId="34" xfId="138" applyFont="1" applyFill="1" applyBorder="1" applyAlignment="1">
      <alignment horizontal="left" vertical="center"/>
    </xf>
    <xf numFmtId="14" fontId="4" fillId="0" borderId="27" xfId="142" applyNumberFormat="1" applyBorder="1">
      <alignment horizontal="left" vertical="center"/>
    </xf>
    <xf numFmtId="14" fontId="4" fillId="2" borderId="18" xfId="142" applyNumberFormat="1" applyFill="1" applyBorder="1">
      <alignment horizontal="left" vertical="center"/>
    </xf>
    <xf numFmtId="14" fontId="4" fillId="2" borderId="27" xfId="138" applyNumberFormat="1" applyFont="1" applyFill="1" applyBorder="1" applyAlignment="1">
      <alignment horizontal="left" vertical="center"/>
    </xf>
    <xf numFmtId="14" fontId="5" fillId="2" borderId="18" xfId="138" applyNumberFormat="1" applyFont="1" applyFill="1" applyBorder="1" applyAlignment="1">
      <alignment horizontal="left" vertical="top" wrapText="1"/>
    </xf>
    <xf numFmtId="14" fontId="5" fillId="2" borderId="19" xfId="138" applyNumberFormat="1" applyFont="1" applyFill="1" applyBorder="1" applyAlignment="1">
      <alignment horizontal="left" vertical="center" wrapText="1"/>
    </xf>
    <xf numFmtId="14" fontId="4" fillId="12" borderId="27" xfId="142" applyNumberFormat="1" applyFill="1" applyBorder="1">
      <alignment horizontal="left" vertical="center"/>
    </xf>
    <xf numFmtId="0" fontId="4" fillId="2" borderId="28" xfId="142" applyFill="1" applyBorder="1">
      <alignment horizontal="left" vertical="center"/>
    </xf>
    <xf numFmtId="0" fontId="4" fillId="11" borderId="24" xfId="142" applyFill="1" applyBorder="1" applyAlignment="1">
      <alignment horizontal="center" vertical="center"/>
    </xf>
    <xf numFmtId="0" fontId="4" fillId="11" borderId="11" xfId="142" applyFill="1" applyBorder="1" applyAlignment="1">
      <alignment horizontal="center" vertical="center"/>
    </xf>
    <xf numFmtId="0" fontId="4" fillId="0" borderId="11" xfId="142" applyBorder="1" applyAlignment="1">
      <alignment horizontal="center" vertical="center"/>
    </xf>
    <xf numFmtId="0" fontId="53" fillId="2" borderId="11" xfId="138" applyFont="1" applyFill="1" applyBorder="1" applyAlignment="1">
      <alignment horizontal="center" vertical="center"/>
    </xf>
    <xf numFmtId="0" fontId="54" fillId="0" borderId="11" xfId="142" applyFont="1" applyBorder="1" applyAlignment="1">
      <alignment horizontal="center" vertical="center"/>
    </xf>
    <xf numFmtId="0" fontId="54" fillId="11" borderId="11" xfId="142" applyFont="1" applyFill="1" applyBorder="1" applyAlignment="1">
      <alignment horizontal="center" vertical="center"/>
    </xf>
    <xf numFmtId="0" fontId="53" fillId="0" borderId="11" xfId="138" applyFont="1" applyBorder="1" applyAlignment="1">
      <alignment horizontal="center" vertical="center"/>
    </xf>
    <xf numFmtId="0" fontId="53" fillId="11" borderId="11" xfId="138" applyFont="1" applyFill="1" applyBorder="1" applyAlignment="1">
      <alignment horizontal="center" vertical="center"/>
    </xf>
    <xf numFmtId="0" fontId="4" fillId="2" borderId="18" xfId="142" applyFill="1" applyBorder="1" applyAlignment="1">
      <alignment horizontal="center" vertical="center"/>
    </xf>
    <xf numFmtId="0" fontId="4" fillId="11" borderId="18" xfId="142" applyFill="1" applyBorder="1" applyAlignment="1">
      <alignment horizontal="center" vertical="center"/>
    </xf>
    <xf numFmtId="14" fontId="5" fillId="2" borderId="31" xfId="138" applyNumberFormat="1" applyFont="1" applyFill="1" applyBorder="1" applyAlignment="1">
      <alignment horizontal="center" vertical="center"/>
    </xf>
    <xf numFmtId="0" fontId="4" fillId="2" borderId="8" xfId="138" applyFont="1" applyFill="1" applyBorder="1" applyAlignment="1">
      <alignment horizontal="center" vertical="center" wrapText="1"/>
    </xf>
    <xf numFmtId="0" fontId="5" fillId="2" borderId="8" xfId="138" applyFont="1" applyFill="1" applyBorder="1" applyAlignment="1">
      <alignment horizontal="center" vertical="center" wrapText="1"/>
    </xf>
    <xf numFmtId="14" fontId="5" fillId="11" borderId="31" xfId="138" applyNumberFormat="1" applyFont="1" applyFill="1" applyBorder="1" applyAlignment="1">
      <alignment horizontal="center" vertical="center"/>
    </xf>
    <xf numFmtId="0" fontId="54" fillId="11" borderId="11" xfId="138" applyFont="1" applyFill="1" applyBorder="1" applyAlignment="1">
      <alignment horizontal="center" vertical="center"/>
    </xf>
    <xf numFmtId="0" fontId="4" fillId="11" borderId="0" xfId="142" applyFill="1" applyBorder="1" applyAlignment="1">
      <alignment horizontal="center" vertical="center"/>
    </xf>
    <xf numFmtId="0" fontId="4" fillId="0" borderId="0" xfId="142" applyBorder="1" applyAlignment="1">
      <alignment horizontal="center" vertical="center"/>
    </xf>
    <xf numFmtId="0" fontId="4" fillId="0" borderId="18" xfId="142" applyBorder="1" applyAlignment="1">
      <alignment horizontal="center" vertical="center"/>
    </xf>
    <xf numFmtId="0" fontId="53" fillId="0" borderId="4" xfId="138" applyFont="1" applyBorder="1" applyAlignment="1">
      <alignment horizontal="center" vertical="center"/>
    </xf>
    <xf numFmtId="14" fontId="4" fillId="11" borderId="21" xfId="142" applyNumberFormat="1" applyFill="1" applyBorder="1" applyAlignment="1">
      <alignment horizontal="center" vertical="center"/>
    </xf>
    <xf numFmtId="14" fontId="4" fillId="2" borderId="4" xfId="142" applyNumberFormat="1" applyFill="1" applyBorder="1" applyAlignment="1">
      <alignment horizontal="center" vertical="center"/>
    </xf>
    <xf numFmtId="14" fontId="53" fillId="2" borderId="4" xfId="138" applyNumberFormat="1" applyFont="1" applyFill="1" applyBorder="1" applyAlignment="1">
      <alignment horizontal="center" vertical="center"/>
    </xf>
    <xf numFmtId="14" fontId="47" fillId="0" borderId="4" xfId="138" applyNumberFormat="1" applyFont="1" applyBorder="1" applyAlignment="1">
      <alignment horizontal="center" vertical="center"/>
    </xf>
    <xf numFmtId="14" fontId="53" fillId="0" borderId="4" xfId="138" applyNumberFormat="1" applyFont="1" applyBorder="1" applyAlignment="1">
      <alignment horizontal="center" vertical="center"/>
    </xf>
    <xf numFmtId="14" fontId="53" fillId="11" borderId="4" xfId="138" applyNumberFormat="1" applyFont="1" applyFill="1" applyBorder="1" applyAlignment="1">
      <alignment horizontal="center" vertical="center"/>
    </xf>
    <xf numFmtId="14" fontId="4" fillId="2" borderId="18" xfId="142" applyNumberFormat="1" applyFill="1" applyBorder="1" applyAlignment="1">
      <alignment horizontal="center" vertical="center"/>
    </xf>
    <xf numFmtId="14" fontId="5" fillId="11" borderId="4" xfId="142" applyNumberFormat="1" applyFont="1" applyFill="1" applyBorder="1" applyAlignment="1">
      <alignment horizontal="center" vertical="center"/>
    </xf>
    <xf numFmtId="14" fontId="4" fillId="2" borderId="27" xfId="138" applyNumberFormat="1" applyFont="1" applyFill="1" applyBorder="1" applyAlignment="1">
      <alignment horizontal="center" vertical="center" wrapText="1"/>
    </xf>
    <xf numFmtId="14" fontId="4" fillId="2" borderId="27" xfId="138" applyNumberFormat="1" applyFont="1" applyFill="1" applyBorder="1" applyAlignment="1">
      <alignment horizontal="center" vertical="center"/>
    </xf>
    <xf numFmtId="14" fontId="4" fillId="11" borderId="31" xfId="142" applyNumberFormat="1" applyFill="1" applyBorder="1" applyAlignment="1">
      <alignment horizontal="center" vertical="center"/>
    </xf>
    <xf numFmtId="14" fontId="4" fillId="11" borderId="18" xfId="142" applyNumberFormat="1" applyFill="1" applyBorder="1" applyAlignment="1">
      <alignment horizontal="center" vertical="center"/>
    </xf>
    <xf numFmtId="14" fontId="5" fillId="2" borderId="4" xfId="138" applyNumberFormat="1" applyFont="1" applyFill="1" applyBorder="1" applyAlignment="1">
      <alignment horizontal="center" vertical="center" wrapText="1"/>
    </xf>
    <xf numFmtId="14" fontId="4" fillId="0" borderId="18" xfId="142" applyNumberFormat="1" applyBorder="1" applyAlignment="1">
      <alignment horizontal="center" vertical="center"/>
    </xf>
    <xf numFmtId="0" fontId="4" fillId="11" borderId="23" xfId="142" applyFill="1" applyBorder="1" applyAlignment="1">
      <alignment horizontal="center" vertical="center"/>
    </xf>
    <xf numFmtId="0" fontId="5" fillId="2" borderId="18" xfId="138" applyFont="1" applyFill="1" applyBorder="1" applyAlignment="1">
      <alignment horizontal="center" vertical="center" wrapText="1"/>
    </xf>
    <xf numFmtId="0" fontId="53" fillId="2" borderId="25" xfId="138" applyFont="1" applyFill="1" applyBorder="1" applyAlignment="1">
      <alignment horizontal="center" vertical="center"/>
    </xf>
    <xf numFmtId="0" fontId="47" fillId="0" borderId="30" xfId="138" applyFont="1" applyBorder="1" applyAlignment="1">
      <alignment horizontal="center" vertical="center"/>
    </xf>
    <xf numFmtId="0" fontId="53" fillId="0" borderId="25" xfId="138" applyFont="1" applyBorder="1" applyAlignment="1">
      <alignment horizontal="center" vertical="center"/>
    </xf>
    <xf numFmtId="0" fontId="53" fillId="11" borderId="28" xfId="138" applyFont="1" applyFill="1" applyBorder="1" applyAlignment="1">
      <alignment horizontal="center" vertical="center"/>
    </xf>
    <xf numFmtId="14" fontId="5" fillId="2" borderId="30" xfId="138" applyNumberFormat="1" applyFont="1" applyFill="1" applyBorder="1" applyAlignment="1">
      <alignment horizontal="center" vertical="center"/>
    </xf>
    <xf numFmtId="0" fontId="4" fillId="2" borderId="28" xfId="138" applyFont="1" applyFill="1" applyBorder="1" applyAlignment="1">
      <alignment horizontal="center" vertical="center" wrapText="1"/>
    </xf>
    <xf numFmtId="14" fontId="4" fillId="0" borderId="18" xfId="142" applyNumberFormat="1" applyBorder="1">
      <alignment horizontal="left" vertical="center"/>
    </xf>
    <xf numFmtId="0" fontId="53" fillId="0" borderId="0" xfId="138" applyFont="1" applyBorder="1" applyAlignment="1">
      <alignment horizontal="center" vertical="center"/>
    </xf>
    <xf numFmtId="15" fontId="4" fillId="0" borderId="18" xfId="142" applyNumberFormat="1" applyBorder="1" applyAlignment="1">
      <alignment horizontal="center" vertical="center"/>
    </xf>
    <xf numFmtId="0" fontId="47" fillId="0" borderId="0" xfId="138" applyFont="1" applyBorder="1">
      <alignment vertical="center"/>
    </xf>
    <xf numFmtId="14" fontId="4" fillId="0" borderId="0" xfId="138" applyNumberFormat="1" applyFont="1" applyAlignment="1">
      <alignment horizontal="left" vertical="center"/>
    </xf>
    <xf numFmtId="14" fontId="47" fillId="0" borderId="0" xfId="138" applyNumberFormat="1" applyFont="1" applyAlignment="1">
      <alignment horizontal="left" vertical="center"/>
    </xf>
    <xf numFmtId="0" fontId="47" fillId="0" borderId="30" xfId="139" applyNumberFormat="1" applyFont="1" applyFill="1" applyBorder="1" applyAlignment="1">
      <alignment horizontal="left" vertical="center"/>
    </xf>
    <xf numFmtId="0" fontId="53" fillId="0" borderId="4" xfId="138" applyFont="1" applyBorder="1">
      <alignment vertical="center"/>
    </xf>
    <xf numFmtId="0" fontId="58" fillId="0" borderId="25" xfId="138" applyFont="1" applyBorder="1" applyAlignment="1">
      <alignment horizontal="center" vertical="center"/>
    </xf>
    <xf numFmtId="14" fontId="49" fillId="3" borderId="37" xfId="138" applyNumberFormat="1" applyFont="1" applyFill="1" applyBorder="1" applyAlignment="1">
      <alignment horizontal="left" vertical="center"/>
    </xf>
    <xf numFmtId="0" fontId="47" fillId="0" borderId="4" xfId="139" applyNumberFormat="1" applyFont="1" applyFill="1" applyBorder="1" applyAlignment="1">
      <alignment horizontal="left" vertical="center"/>
    </xf>
  </cellXfs>
  <cellStyles count="144">
    <cellStyle name="Default" xfId="1" xr:uid="{00000000-0005-0000-0000-000000000000}"/>
    <cellStyle name="Default 2" xfId="55" xr:uid="{00000000-0005-0000-0000-000001000000}"/>
    <cellStyle name="Default 3" xfId="122" xr:uid="{00000000-0005-0000-0000-000002000000}"/>
    <cellStyle name="Normal 2" xfId="119" xr:uid="{00000000-0005-0000-0000-000003000000}"/>
    <cellStyle name="Normal 8 2" xfId="13" xr:uid="{00000000-0005-0000-0000-000004000000}"/>
    <cellStyle name="Normal_Sheet1" xfId="118" xr:uid="{00000000-0005-0000-0000-000005000000}"/>
    <cellStyle name="백분율 2" xfId="4" xr:uid="{00000000-0005-0000-0000-000006000000}"/>
    <cellStyle name="백분율 2 2" xfId="58" xr:uid="{00000000-0005-0000-0000-000007000000}"/>
    <cellStyle name="백분율 2 3" xfId="67" xr:uid="{00000000-0005-0000-0000-000008000000}"/>
    <cellStyle name="백분율 3" xfId="117" xr:uid="{00000000-0005-0000-0000-000009000000}"/>
    <cellStyle name="쉼표 [0]" xfId="2" builtinId="6"/>
    <cellStyle name="쉼표 [0] 2" xfId="56" xr:uid="{00000000-0005-0000-0000-00000B000000}"/>
    <cellStyle name="쉼표 [0] 3" xfId="66" xr:uid="{00000000-0005-0000-0000-00000C000000}"/>
    <cellStyle name="쉼표 [0] 4" xfId="112" xr:uid="{00000000-0005-0000-0000-00000D000000}"/>
    <cellStyle name="쉼표 [0] 5" xfId="123" xr:uid="{00000000-0005-0000-0000-00000E000000}"/>
    <cellStyle name="쉼표 [0] 6" xfId="132" xr:uid="{E83F95B9-7B44-4820-A225-220EC5DE79D9}"/>
    <cellStyle name="쉼표 [0] 7" xfId="135" xr:uid="{788D3313-A68A-4D32-BB40-74679AB6405C}"/>
    <cellStyle name="쉼표 [0] 8" xfId="139" xr:uid="{193D5665-B6AA-43E4-8511-D500A1AA3A60}"/>
    <cellStyle name="쉼표 2" xfId="116" xr:uid="{00000000-0005-0000-0000-00000F000000}"/>
    <cellStyle name="스타일 1" xfId="11" xr:uid="{00000000-0005-0000-0000-000010000000}"/>
    <cellStyle name="스타일 1 2" xfId="61" xr:uid="{00000000-0005-0000-0000-000011000000}"/>
    <cellStyle name="스타일 1 3" xfId="70" xr:uid="{00000000-0005-0000-0000-000012000000}"/>
    <cellStyle name="스타일 1 4" xfId="110" xr:uid="{00000000-0005-0000-0000-000013000000}"/>
    <cellStyle name="스타일 1 5" xfId="113" xr:uid="{00000000-0005-0000-0000-000014000000}"/>
    <cellStyle name="스타일 1 6" xfId="120" xr:uid="{00000000-0005-0000-0000-000015000000}"/>
    <cellStyle name="스타일 1 7" xfId="126" xr:uid="{00000000-0005-0000-0000-000016000000}"/>
    <cellStyle name="스타일 1 8" xfId="133" xr:uid="{493CC5BC-C8A9-4F6E-95B7-76F063E8E3BD}"/>
    <cellStyle name="스타일 1 9" xfId="143" xr:uid="{CF313E66-297B-4E77-8C6B-B9C8ECE9E884}"/>
    <cellStyle name="스타일 2" xfId="12" xr:uid="{00000000-0005-0000-0000-000017000000}"/>
    <cellStyle name="스타일 2 2" xfId="62" xr:uid="{00000000-0005-0000-0000-000018000000}"/>
    <cellStyle name="스타일 2 3" xfId="71" xr:uid="{00000000-0005-0000-0000-000019000000}"/>
    <cellStyle name="스타일 2 4" xfId="111" xr:uid="{00000000-0005-0000-0000-00001A000000}"/>
    <cellStyle name="스타일 2 5" xfId="114" xr:uid="{00000000-0005-0000-0000-00001B000000}"/>
    <cellStyle name="스타일 2 6" xfId="121" xr:uid="{00000000-0005-0000-0000-00001C000000}"/>
    <cellStyle name="스타일 2 7" xfId="127" xr:uid="{00000000-0005-0000-0000-00001D000000}"/>
    <cellStyle name="스타일 2 8" xfId="134" xr:uid="{16AC68D1-001D-45EE-9022-A5CFC2CD0E82}"/>
    <cellStyle name="스타일 2 9" xfId="142" xr:uid="{F21B79E7-6C80-4D05-9155-EFD9236DF2F1}"/>
    <cellStyle name="표준" xfId="0" builtinId="0"/>
    <cellStyle name="표준 12" xfId="10" xr:uid="{00000000-0005-0000-0000-00001F000000}"/>
    <cellStyle name="표준 12 2" xfId="69" xr:uid="{00000000-0005-0000-0000-000020000000}"/>
    <cellStyle name="표준 121 2" xfId="3" xr:uid="{00000000-0005-0000-0000-000021000000}"/>
    <cellStyle name="표준 121 2 2" xfId="57" xr:uid="{00000000-0005-0000-0000-000022000000}"/>
    <cellStyle name="표준 121 2 3" xfId="124" xr:uid="{00000000-0005-0000-0000-000023000000}"/>
    <cellStyle name="표준 2" xfId="15" xr:uid="{00000000-0005-0000-0000-000024000000}"/>
    <cellStyle name="표준 2 103" xfId="16" xr:uid="{00000000-0005-0000-0000-000025000000}"/>
    <cellStyle name="표준 2 103 2" xfId="63" xr:uid="{00000000-0005-0000-0000-000026000000}"/>
    <cellStyle name="표준 2 103 3" xfId="128" xr:uid="{00000000-0005-0000-0000-000027000000}"/>
    <cellStyle name="표준 2 13" xfId="5" xr:uid="{00000000-0005-0000-0000-000028000000}"/>
    <cellStyle name="표준 2 13 2" xfId="59" xr:uid="{00000000-0005-0000-0000-000029000000}"/>
    <cellStyle name="표준 2 13 3" xfId="125" xr:uid="{00000000-0005-0000-0000-00002A000000}"/>
    <cellStyle name="표준 2 2" xfId="7" xr:uid="{00000000-0005-0000-0000-00002B000000}"/>
    <cellStyle name="표준 2 23" xfId="6" xr:uid="{00000000-0005-0000-0000-00002C000000}"/>
    <cellStyle name="표준 2 3" xfId="8" xr:uid="{00000000-0005-0000-0000-00002D000000}"/>
    <cellStyle name="표준 2 4" xfId="9" xr:uid="{00000000-0005-0000-0000-00002E000000}"/>
    <cellStyle name="표준 2 4 2" xfId="60" xr:uid="{00000000-0005-0000-0000-00002F000000}"/>
    <cellStyle name="표준 2 4 3" xfId="68" xr:uid="{00000000-0005-0000-0000-000030000000}"/>
    <cellStyle name="표준 2 5" xfId="73" xr:uid="{00000000-0005-0000-0000-000031000000}"/>
    <cellStyle name="표준 3" xfId="14" xr:uid="{00000000-0005-0000-0000-000032000000}"/>
    <cellStyle name="표준 3 10" xfId="17" xr:uid="{00000000-0005-0000-0000-000033000000}"/>
    <cellStyle name="표준 3 10 2" xfId="74" xr:uid="{00000000-0005-0000-0000-000034000000}"/>
    <cellStyle name="표준 3 11" xfId="18" xr:uid="{00000000-0005-0000-0000-000035000000}"/>
    <cellStyle name="표준 3 11 2" xfId="75" xr:uid="{00000000-0005-0000-0000-000036000000}"/>
    <cellStyle name="표준 3 12" xfId="19" xr:uid="{00000000-0005-0000-0000-000037000000}"/>
    <cellStyle name="표준 3 12 2" xfId="76" xr:uid="{00000000-0005-0000-0000-000038000000}"/>
    <cellStyle name="표준 3 13" xfId="20" xr:uid="{00000000-0005-0000-0000-000039000000}"/>
    <cellStyle name="표준 3 13 2" xfId="77" xr:uid="{00000000-0005-0000-0000-00003A000000}"/>
    <cellStyle name="표준 3 14" xfId="21" xr:uid="{00000000-0005-0000-0000-00003B000000}"/>
    <cellStyle name="표준 3 14 2" xfId="78" xr:uid="{00000000-0005-0000-0000-00003C000000}"/>
    <cellStyle name="표준 3 15" xfId="22" xr:uid="{00000000-0005-0000-0000-00003D000000}"/>
    <cellStyle name="표준 3 15 2" xfId="80" xr:uid="{00000000-0005-0000-0000-00003E000000}"/>
    <cellStyle name="표준 3 16" xfId="24" xr:uid="{00000000-0005-0000-0000-00003F000000}"/>
    <cellStyle name="표준 3 16 2" xfId="82" xr:uid="{00000000-0005-0000-0000-000040000000}"/>
    <cellStyle name="표준 3 17" xfId="26" xr:uid="{00000000-0005-0000-0000-000041000000}"/>
    <cellStyle name="표준 3 17 2" xfId="84" xr:uid="{00000000-0005-0000-0000-000042000000}"/>
    <cellStyle name="표준 3 18" xfId="28" xr:uid="{00000000-0005-0000-0000-000043000000}"/>
    <cellStyle name="표준 3 18 2" xfId="86" xr:uid="{00000000-0005-0000-0000-000044000000}"/>
    <cellStyle name="표준 3 19" xfId="30" xr:uid="{00000000-0005-0000-0000-000045000000}"/>
    <cellStyle name="표준 3 19 2" xfId="88" xr:uid="{00000000-0005-0000-0000-000046000000}"/>
    <cellStyle name="표준 3 2" xfId="32" xr:uid="{00000000-0005-0000-0000-000047000000}"/>
    <cellStyle name="표준 3 2 2" xfId="64" xr:uid="{00000000-0005-0000-0000-000048000000}"/>
    <cellStyle name="표준 3 2 3" xfId="89" xr:uid="{00000000-0005-0000-0000-000049000000}"/>
    <cellStyle name="표준 3 20" xfId="23" xr:uid="{00000000-0005-0000-0000-00004A000000}"/>
    <cellStyle name="표준 3 20 2" xfId="79" xr:uid="{00000000-0005-0000-0000-00004B000000}"/>
    <cellStyle name="표준 3 21" xfId="25" xr:uid="{00000000-0005-0000-0000-00004C000000}"/>
    <cellStyle name="표준 3 21 2" xfId="81" xr:uid="{00000000-0005-0000-0000-00004D000000}"/>
    <cellStyle name="표준 3 22" xfId="27" xr:uid="{00000000-0005-0000-0000-00004E000000}"/>
    <cellStyle name="표준 3 22 2" xfId="83" xr:uid="{00000000-0005-0000-0000-00004F000000}"/>
    <cellStyle name="표준 3 23" xfId="29" xr:uid="{00000000-0005-0000-0000-000050000000}"/>
    <cellStyle name="표준 3 23 2" xfId="85" xr:uid="{00000000-0005-0000-0000-000051000000}"/>
    <cellStyle name="표준 3 24" xfId="31" xr:uid="{00000000-0005-0000-0000-000052000000}"/>
    <cellStyle name="표준 3 24 2" xfId="87" xr:uid="{00000000-0005-0000-0000-000053000000}"/>
    <cellStyle name="표준 3 25" xfId="33" xr:uid="{00000000-0005-0000-0000-000054000000}"/>
    <cellStyle name="표준 3 25 2" xfId="91" xr:uid="{00000000-0005-0000-0000-000055000000}"/>
    <cellStyle name="표준 3 26" xfId="35" xr:uid="{00000000-0005-0000-0000-000056000000}"/>
    <cellStyle name="표준 3 26 2" xfId="93" xr:uid="{00000000-0005-0000-0000-000057000000}"/>
    <cellStyle name="표준 3 27" xfId="37" xr:uid="{00000000-0005-0000-0000-000058000000}"/>
    <cellStyle name="표준 3 27 2" xfId="95" xr:uid="{00000000-0005-0000-0000-000059000000}"/>
    <cellStyle name="표준 3 28" xfId="39" xr:uid="{00000000-0005-0000-0000-00005A000000}"/>
    <cellStyle name="표준 3 28 2" xfId="97" xr:uid="{00000000-0005-0000-0000-00005B000000}"/>
    <cellStyle name="표준 3 29" xfId="41" xr:uid="{00000000-0005-0000-0000-00005C000000}"/>
    <cellStyle name="표준 3 29 2" xfId="99" xr:uid="{00000000-0005-0000-0000-00005D000000}"/>
    <cellStyle name="표준 3 3" xfId="43" xr:uid="{00000000-0005-0000-0000-00005E000000}"/>
    <cellStyle name="표준 3 3 2" xfId="100" xr:uid="{00000000-0005-0000-0000-00005F000000}"/>
    <cellStyle name="표준 3 30" xfId="34" xr:uid="{00000000-0005-0000-0000-000060000000}"/>
    <cellStyle name="표준 3 30 2" xfId="90" xr:uid="{00000000-0005-0000-0000-000061000000}"/>
    <cellStyle name="표준 3 31" xfId="36" xr:uid="{00000000-0005-0000-0000-000062000000}"/>
    <cellStyle name="표준 3 31 2" xfId="92" xr:uid="{00000000-0005-0000-0000-000063000000}"/>
    <cellStyle name="표준 3 32" xfId="38" xr:uid="{00000000-0005-0000-0000-000064000000}"/>
    <cellStyle name="표준 3 32 2" xfId="94" xr:uid="{00000000-0005-0000-0000-000065000000}"/>
    <cellStyle name="표준 3 33" xfId="40" xr:uid="{00000000-0005-0000-0000-000066000000}"/>
    <cellStyle name="표준 3 33 2" xfId="96" xr:uid="{00000000-0005-0000-0000-000067000000}"/>
    <cellStyle name="표준 3 34" xfId="42" xr:uid="{00000000-0005-0000-0000-000068000000}"/>
    <cellStyle name="표준 3 34 2" xfId="98" xr:uid="{00000000-0005-0000-0000-000069000000}"/>
    <cellStyle name="표준 3 35" xfId="44" xr:uid="{00000000-0005-0000-0000-00006A000000}"/>
    <cellStyle name="표준 3 35 2" xfId="101" xr:uid="{00000000-0005-0000-0000-00006B000000}"/>
    <cellStyle name="표준 3 36" xfId="45" xr:uid="{00000000-0005-0000-0000-00006C000000}"/>
    <cellStyle name="표준 3 36 2" xfId="102" xr:uid="{00000000-0005-0000-0000-00006D000000}"/>
    <cellStyle name="표준 3 37" xfId="72" xr:uid="{00000000-0005-0000-0000-00006E000000}"/>
    <cellStyle name="표준 3 38" xfId="141" xr:uid="{B892E194-415D-4372-B67F-AAFCEE8B5FCD}"/>
    <cellStyle name="표준 3 4" xfId="46" xr:uid="{00000000-0005-0000-0000-00006F000000}"/>
    <cellStyle name="표준 3 4 2" xfId="103" xr:uid="{00000000-0005-0000-0000-000070000000}"/>
    <cellStyle name="표준 3 5" xfId="47" xr:uid="{00000000-0005-0000-0000-000071000000}"/>
    <cellStyle name="표준 3 5 2" xfId="104" xr:uid="{00000000-0005-0000-0000-000072000000}"/>
    <cellStyle name="표준 3 6" xfId="48" xr:uid="{00000000-0005-0000-0000-000073000000}"/>
    <cellStyle name="표준 3 6 2" xfId="105" xr:uid="{00000000-0005-0000-0000-000074000000}"/>
    <cellStyle name="표준 3 7" xfId="49" xr:uid="{00000000-0005-0000-0000-000075000000}"/>
    <cellStyle name="표준 3 7 2" xfId="106" xr:uid="{00000000-0005-0000-0000-000076000000}"/>
    <cellStyle name="표준 3 8" xfId="50" xr:uid="{00000000-0005-0000-0000-000077000000}"/>
    <cellStyle name="표준 3 8 2" xfId="107" xr:uid="{00000000-0005-0000-0000-000078000000}"/>
    <cellStyle name="표준 3 9" xfId="51" xr:uid="{00000000-0005-0000-0000-000079000000}"/>
    <cellStyle name="표준 3 9 2" xfId="108" xr:uid="{00000000-0005-0000-0000-00007A000000}"/>
    <cellStyle name="표준 4" xfId="52" xr:uid="{00000000-0005-0000-0000-00007B000000}"/>
    <cellStyle name="표준 5" xfId="53" xr:uid="{00000000-0005-0000-0000-00007C000000}"/>
    <cellStyle name="표준 5 2" xfId="109" xr:uid="{00000000-0005-0000-0000-00007D000000}"/>
    <cellStyle name="표준 6" xfId="54" xr:uid="{00000000-0005-0000-0000-00007E000000}"/>
    <cellStyle name="표준 6 2" xfId="65" xr:uid="{00000000-0005-0000-0000-00007F000000}"/>
    <cellStyle name="표준 7" xfId="115" xr:uid="{00000000-0005-0000-0000-000080000000}"/>
    <cellStyle name="표준 7 2" xfId="136" xr:uid="{FF6016C4-2D01-4A24-B02D-31E2C27D9168}"/>
    <cellStyle name="표준 8" xfId="137" xr:uid="{69B417AC-119C-4347-9094-B05B733B8B05}"/>
    <cellStyle name="표준 9" xfId="138" xr:uid="{F554A3B9-458A-424C-ACD5-096146CEE934}"/>
    <cellStyle name="표준_Sheet1" xfId="131" xr:uid="{D1A37541-8F8B-4049-BD18-78F379577F30}"/>
    <cellStyle name="표준_Sheet1 2" xfId="140" xr:uid="{57C80AC9-B421-40B5-B8A2-827884EF3B86}"/>
    <cellStyle name="표준_Sheet2" xfId="129" xr:uid="{0AA63813-D0B4-447E-B073-226A3184C480}"/>
    <cellStyle name="표준_Sheet3" xfId="130" xr:uid="{B67D2970-0175-471E-98A3-00CE29AB0069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9" formatCode="yyyy/mm/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  <bottom style="thin">
          <color indexed="64"/>
        </bottom>
      </border>
    </dxf>
    <dxf>
      <font>
        <color rgb="FF0070C0"/>
      </font>
    </dxf>
  </dxfs>
  <tableStyles count="0" defaultTableStyle="TableStyleMedium9" defaultPivotStyle="PivotStyleLight16"/>
  <colors>
    <mruColors>
      <color rgb="FFC2ECC7"/>
      <color rgb="FF81D98B"/>
      <color rgb="FF00E266"/>
      <color rgb="FF008000"/>
      <color rgb="FF96FF96"/>
      <color rgb="FFFF6600"/>
      <color rgb="FFFF7C80"/>
      <color rgb="FF46FF46"/>
      <color rgb="FF5AFF5A"/>
      <color rgb="FF6EFF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1305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6292215" y="189547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1307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6727371" y="157838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1324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6727371" y="161724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1326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6727371" y="162182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616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60" name="TextBox 159" hidden="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597</xdr:row>
      <xdr:rowOff>0</xdr:rowOff>
    </xdr:from>
    <xdr:ext cx="65" cy="172227"/>
    <xdr:sp macro="" textlink="">
      <xdr:nvSpPr>
        <xdr:cNvPr id="161" name="TextBox 160" hidden="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2" name="TextBox 161" hidden="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3" name="TextBox 162" hidden="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4" name="TextBox 163" hidden="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5" name="TextBox 164" hidden="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6" name="TextBox 165" hidden="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7" name="TextBox 166" hidden="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614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616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6889296" y="4448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8" name="TextBox 187" hidden="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89" name="TextBox 188" hidden="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0" name="TextBox 189" hidden="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1" name="TextBox 190" hidden="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2" name="TextBox 191" hidden="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3" name="TextBox 192" hidden="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4" name="TextBox 193" hidden="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5" name="TextBox 194" hidden="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6" name="TextBox 215" hidden="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17" name="TextBox 216" hidden="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18" name="TextBox 217" hidden="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19" name="TextBox 218" hidden="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20" name="TextBox 219" hidden="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21" name="TextBox 220" hidden="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22" name="TextBox 221" hidden="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23" name="TextBox 222" hidden="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4" name="TextBox 243" hidden="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1297</xdr:row>
      <xdr:rowOff>0</xdr:rowOff>
    </xdr:from>
    <xdr:ext cx="65" cy="172227"/>
    <xdr:sp macro="" textlink="">
      <xdr:nvSpPr>
        <xdr:cNvPr id="245" name="TextBox 244" hidden="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/>
      </xdr:nvSpPr>
      <xdr:spPr>
        <a:xfrm>
          <a:off x="6889296" y="155324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46" name="TextBox 245" hidden="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47" name="TextBox 246" hidden="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48" name="TextBox 247" hidden="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49" name="TextBox 248" hidden="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50" name="TextBox 249" hidden="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51" name="TextBox 250" hidden="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6889296" y="159667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8" name="TextBox 327" hidden="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29" name="TextBox 328" hidden="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0" name="TextBox 329" hidden="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1" name="TextBox 330" hidden="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2" name="TextBox 331" hidden="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3" name="TextBox 332" hidden="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4" name="TextBox 333" hidden="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5" name="TextBox 334" hidden="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6" name="TextBox 355" hidden="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57" name="TextBox 356" hidden="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58" name="TextBox 357" hidden="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59" name="TextBox 358" hidden="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60" name="TextBox 359" hidden="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61" name="TextBox 360" hidden="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62" name="TextBox 361" hidden="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63" name="TextBox 362" hidden="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00" name="TextBox 299" hidden="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01" name="TextBox 300" hidden="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2" name="TextBox 301" hidden="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3" name="TextBox 302" hidden="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4" name="TextBox 303" hidden="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5" name="TextBox 304" hidden="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6" name="TextBox 305" hidden="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7" name="TextBox 306" hidden="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48A0BF53-9AA5-4A5C-8BE4-2B813ED471C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EA126B61-4A8E-4933-8C04-C46775E427E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9B6A2A0C-04B1-4C2E-818C-CD1CE6881A4A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CEDAAD90-5D77-4A49-A15B-6D72F1E8EBE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51459A6-42C2-4670-9EE5-8DAEECA7A85A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AA5612FA-22FE-4395-AC4A-83A289D971A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F56721D6-E2D9-41DC-A193-262870E888E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73CAE45-D2C4-41CC-B2A0-62059D5A1FE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219C9172-B445-4671-9522-2DF0C90E3B39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4398FCDC-E681-4AAB-85F6-E0209D137EE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C0C3B3A7-E401-48E2-B5BD-C07C93963A0E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6FE1582-7A9E-463E-9620-0783E6F95D11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993D5F18-BC75-4D28-AB11-98176BAB8DC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B1F29560-2424-4239-9F7E-B43153600F69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2D1A83CE-A5C8-4981-A3F7-B0A7D21BC09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A87B90F9-890F-411D-ACA3-14FAFFBB1AB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5665D99-A91A-4B9A-BBA6-959573766E15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3FBAFBAF-D6BF-4D32-A26B-4D3594D12DA6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12" name="TextBox 411" hidden="1">
          <a:extLst>
            <a:ext uri="{FF2B5EF4-FFF2-40B4-BE49-F238E27FC236}">
              <a16:creationId xmlns:a16="http://schemas.microsoft.com/office/drawing/2014/main" id="{6E8C37CE-5CF7-4F7D-91DB-5E679032557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13" name="TextBox 412" hidden="1">
          <a:extLst>
            <a:ext uri="{FF2B5EF4-FFF2-40B4-BE49-F238E27FC236}">
              <a16:creationId xmlns:a16="http://schemas.microsoft.com/office/drawing/2014/main" id="{B28587EE-A559-4201-A8FF-EE2383782FE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4" name="TextBox 413" hidden="1">
          <a:extLst>
            <a:ext uri="{FF2B5EF4-FFF2-40B4-BE49-F238E27FC236}">
              <a16:creationId xmlns:a16="http://schemas.microsoft.com/office/drawing/2014/main" id="{FA77CA10-D3FF-44C5-BCFE-5775F87803DF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5" name="TextBox 414" hidden="1">
          <a:extLst>
            <a:ext uri="{FF2B5EF4-FFF2-40B4-BE49-F238E27FC236}">
              <a16:creationId xmlns:a16="http://schemas.microsoft.com/office/drawing/2014/main" id="{332C5196-BB09-4C18-B8BF-0222156B7A29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6" name="TextBox 415" hidden="1">
          <a:extLst>
            <a:ext uri="{FF2B5EF4-FFF2-40B4-BE49-F238E27FC236}">
              <a16:creationId xmlns:a16="http://schemas.microsoft.com/office/drawing/2014/main" id="{05A28278-C28A-4E23-BEC9-E4CD7D115ED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7" name="TextBox 416" hidden="1">
          <a:extLst>
            <a:ext uri="{FF2B5EF4-FFF2-40B4-BE49-F238E27FC236}">
              <a16:creationId xmlns:a16="http://schemas.microsoft.com/office/drawing/2014/main" id="{A8A19CB0-B899-49A7-B071-0980B80E964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8" name="TextBox 417" hidden="1">
          <a:extLst>
            <a:ext uri="{FF2B5EF4-FFF2-40B4-BE49-F238E27FC236}">
              <a16:creationId xmlns:a16="http://schemas.microsoft.com/office/drawing/2014/main" id="{294CE5C6-A305-4422-9FC9-AD4B7F267F79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19" name="TextBox 418" hidden="1">
          <a:extLst>
            <a:ext uri="{FF2B5EF4-FFF2-40B4-BE49-F238E27FC236}">
              <a16:creationId xmlns:a16="http://schemas.microsoft.com/office/drawing/2014/main" id="{201F555A-67B4-4264-9DCE-0690BDB3507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483663AB-18E1-4C1A-80B6-9B56E7D274B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2626337C-4FD6-4849-A4A5-287E81865857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39A4E70E-D526-4D26-88EC-DE1DA3F6C63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A261C1AC-42C4-4C2D-B437-A2BDCE878188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B5DEF4CF-9781-4019-82A7-F7863A0A93D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B96C956-E779-4E2B-9D91-2565C40ACAD6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E8EF2B8D-41C7-4C0C-B22B-6FA4A06FB68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EFFDC399-1893-4E7F-8E35-94B87ACC1DB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E262E493-7010-4D99-8921-4BB030108DE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82B34C8D-891B-43F7-9C3F-FC058C56836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31E580E1-9CD7-4471-9E1E-5415D209CCA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3ED2A533-3981-4ABE-837F-C490B94D402F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77AEC8C-B557-47B8-9A72-BD3E67FFCAC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1F3B3E59-8678-483D-8987-C9A991D8201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8481406C-DCDA-42D6-A640-EE754D0945E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5210C6A2-0E9B-4D79-820F-C34075FBF705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4DBD5565-5967-49DF-9064-85B2343FDF6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D8BEE452-4C34-4DA2-A1AC-AC8E8E3621F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86EC9CD0-76FF-4F8B-B0B4-559F0F11192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41F855CD-A8C1-4532-B625-96E64F57097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40" name="TextBox 439" hidden="1">
          <a:extLst>
            <a:ext uri="{FF2B5EF4-FFF2-40B4-BE49-F238E27FC236}">
              <a16:creationId xmlns:a16="http://schemas.microsoft.com/office/drawing/2014/main" id="{468B8355-A1AD-43F8-A0E1-A21C11032AB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441" name="TextBox 440" hidden="1">
          <a:extLst>
            <a:ext uri="{FF2B5EF4-FFF2-40B4-BE49-F238E27FC236}">
              <a16:creationId xmlns:a16="http://schemas.microsoft.com/office/drawing/2014/main" id="{C87F7603-D1B5-4864-8171-6194B3E6039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2" name="TextBox 441" hidden="1">
          <a:extLst>
            <a:ext uri="{FF2B5EF4-FFF2-40B4-BE49-F238E27FC236}">
              <a16:creationId xmlns:a16="http://schemas.microsoft.com/office/drawing/2014/main" id="{2282977E-EF40-4790-B897-B4D692EC4897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3" name="TextBox 442" hidden="1">
          <a:extLst>
            <a:ext uri="{FF2B5EF4-FFF2-40B4-BE49-F238E27FC236}">
              <a16:creationId xmlns:a16="http://schemas.microsoft.com/office/drawing/2014/main" id="{17293BAE-398A-4A96-AC6E-792A6DF83BC4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4" name="TextBox 443" hidden="1">
          <a:extLst>
            <a:ext uri="{FF2B5EF4-FFF2-40B4-BE49-F238E27FC236}">
              <a16:creationId xmlns:a16="http://schemas.microsoft.com/office/drawing/2014/main" id="{C7E8C25A-AA53-4C55-9B8C-F9442F52B9E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5" name="TextBox 444" hidden="1">
          <a:extLst>
            <a:ext uri="{FF2B5EF4-FFF2-40B4-BE49-F238E27FC236}">
              <a16:creationId xmlns:a16="http://schemas.microsoft.com/office/drawing/2014/main" id="{E3FC7243-35A7-401B-B429-3DA417389546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6" name="TextBox 445" hidden="1">
          <a:extLst>
            <a:ext uri="{FF2B5EF4-FFF2-40B4-BE49-F238E27FC236}">
              <a16:creationId xmlns:a16="http://schemas.microsoft.com/office/drawing/2014/main" id="{95435285-348B-4352-8F18-2C7C0D2CFA5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7" name="TextBox 446" hidden="1">
          <a:extLst>
            <a:ext uri="{FF2B5EF4-FFF2-40B4-BE49-F238E27FC236}">
              <a16:creationId xmlns:a16="http://schemas.microsoft.com/office/drawing/2014/main" id="{41EDA58A-D273-4B07-90BF-0B8E37B23245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D14CACD6-B164-4440-A243-537AFF19066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76E1B31B-FA3D-48F7-AF6D-D53FAA690FEE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651D0D8B-3AF9-407A-A128-F8D7616DC1EF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9495158-BCBF-40F1-B96F-88A8A5F34791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D8CD9EE5-13B2-4255-B80D-10172FF73B92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EE82F6C-6B80-43F0-BF81-0F5E74661875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FEB72BD7-7806-4E8F-8016-60B151F46E46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F0DDA21-3498-42CC-9139-BA79A37DFECC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D3D7192F-981B-43A1-B56E-D53B8FE3A6EC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7A0E51FE-EAD6-4379-A288-D88084178595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21DAE7D2-8493-43E9-95F1-961C9EC2970C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15CBBD7A-8598-42E6-8098-A2EBCA1B7218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28918BDC-A2A3-42FD-82CD-59B977754956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B48596F4-3C56-4CD7-BA2F-2016C6BCFF50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C1D6431D-C8D8-4893-8B74-525E497E8082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2EDFA04B-DE8F-46D8-9B84-7223A2472F3E}"/>
            </a:ext>
          </a:extLst>
        </xdr:cNvPr>
        <xdr:cNvSpPr txBox="1"/>
      </xdr:nvSpPr>
      <xdr:spPr>
        <a:xfrm>
          <a:off x="6889296" y="14899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BCF7E9AC-DE89-48C9-8BB8-22E12AC317D4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109ACCA-17DB-4B4B-8408-3AFA4709BAE7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B885EC3F-46FB-4AF1-B913-F9FA0365C7FE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4F71BAED-963B-473E-933D-27A525AED26F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4" name="TextBox 383" hidden="1">
          <a:extLst>
            <a:ext uri="{FF2B5EF4-FFF2-40B4-BE49-F238E27FC236}">
              <a16:creationId xmlns:a16="http://schemas.microsoft.com/office/drawing/2014/main" id="{3E13D36E-9736-4520-B8D4-830C2499FBF9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385" name="TextBox 384" hidden="1">
          <a:extLst>
            <a:ext uri="{FF2B5EF4-FFF2-40B4-BE49-F238E27FC236}">
              <a16:creationId xmlns:a16="http://schemas.microsoft.com/office/drawing/2014/main" id="{83340102-497D-40B6-9299-E33DDAA2AD43}"/>
            </a:ext>
          </a:extLst>
        </xdr:cNvPr>
        <xdr:cNvSpPr txBox="1"/>
      </xdr:nvSpPr>
      <xdr:spPr>
        <a:xfrm>
          <a:off x="6889296" y="14573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86" name="TextBox 385" hidden="1">
          <a:extLst>
            <a:ext uri="{FF2B5EF4-FFF2-40B4-BE49-F238E27FC236}">
              <a16:creationId xmlns:a16="http://schemas.microsoft.com/office/drawing/2014/main" id="{C696276A-0B52-4A1D-9252-A17C8D82949A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87" name="TextBox 386" hidden="1">
          <a:extLst>
            <a:ext uri="{FF2B5EF4-FFF2-40B4-BE49-F238E27FC236}">
              <a16:creationId xmlns:a16="http://schemas.microsoft.com/office/drawing/2014/main" id="{C98349DB-E505-4A59-8101-A99E9CB0055C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88" name="TextBox 387" hidden="1">
          <a:extLst>
            <a:ext uri="{FF2B5EF4-FFF2-40B4-BE49-F238E27FC236}">
              <a16:creationId xmlns:a16="http://schemas.microsoft.com/office/drawing/2014/main" id="{7DC5F939-DD56-486B-BA42-F9BA7F8DA33A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89" name="TextBox 388" hidden="1">
          <a:extLst>
            <a:ext uri="{FF2B5EF4-FFF2-40B4-BE49-F238E27FC236}">
              <a16:creationId xmlns:a16="http://schemas.microsoft.com/office/drawing/2014/main" id="{CFFEA316-B4B3-4562-A019-D5C6C236180C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90" name="TextBox 389" hidden="1">
          <a:extLst>
            <a:ext uri="{FF2B5EF4-FFF2-40B4-BE49-F238E27FC236}">
              <a16:creationId xmlns:a16="http://schemas.microsoft.com/office/drawing/2014/main" id="{6CB13595-BF52-4E9A-886D-67BC6CB9CFAC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91" name="TextBox 390" hidden="1">
          <a:extLst>
            <a:ext uri="{FF2B5EF4-FFF2-40B4-BE49-F238E27FC236}">
              <a16:creationId xmlns:a16="http://schemas.microsoft.com/office/drawing/2014/main" id="{FAE935E4-67A0-4C37-8020-A45921A2A126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8EC8327-51A9-4B27-AD19-EBFB554210D4}"/>
            </a:ext>
          </a:extLst>
        </xdr:cNvPr>
        <xdr:cNvSpPr txBox="1"/>
      </xdr:nvSpPr>
      <xdr:spPr>
        <a:xfrm>
          <a:off x="6889296" y="14864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2428BD1D-4D2E-4D1F-ADD9-5D0B43297C80}"/>
            </a:ext>
          </a:extLst>
        </xdr:cNvPr>
        <xdr:cNvSpPr txBox="1"/>
      </xdr:nvSpPr>
      <xdr:spPr>
        <a:xfrm>
          <a:off x="6889296" y="14899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45185C58-11F1-4061-A4E1-D2AEFE54D2D6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5C826BD1-62BD-49F4-B3BE-7C9513D33C11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FF84B52-F16D-4707-8E31-956CBC435B59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C0293F07-A4A8-4327-BF07-49DDDDFC4D1F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2853FF06-2B08-4EDC-85C3-AF23EBBF7841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211424C0-64E3-4B54-8FD1-3D5C520576BD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7696181B-C2A3-4A89-B464-A770E57561F6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E0743ABC-B2B1-4296-B9B6-9F60CBF773D0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EC6F82DD-0DB2-4680-9824-5C5B6DF80075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6E29A796-7632-4679-9CDB-A50C5EF138E3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E2BB6DBB-DA99-44FC-831F-C7888CDBE906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A40FF5F9-77E4-4B11-A97C-0549C707DA6F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E8BC963A-B3C8-4EFB-901B-DED3B0BBE8C3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44377D1F-8300-46CA-8A9F-1676920EE211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5294DF10-4334-481B-8D72-1E0C96E2F823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CC52434-C77A-4652-B597-0E77FD1957A8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286E0CC3-2529-42B4-B0FD-AEFE736508B5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C2EADDC1-C768-4E68-8DAA-CDD08CE50438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616E0498-1A10-4E37-A14A-B9C02A478168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69182560-7ED6-40DC-95E6-A3A9BFCC99E6}"/>
            </a:ext>
          </a:extLst>
        </xdr:cNvPr>
        <xdr:cNvSpPr txBox="1"/>
      </xdr:nvSpPr>
      <xdr:spPr>
        <a:xfrm>
          <a:off x="7184011" y="29371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44FB8B02-0178-440B-82EA-154EB47FF553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191088A3-99B9-41EA-AD91-C718047DEE4F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17BA7813-D7DD-43B0-B8AA-EC06FAFCCB81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E255E7A7-CF51-43A9-B3FA-FA135E79EA95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23E3E5D-E973-42DC-8850-43243F360409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4C73B7F1-40A8-4461-AE29-9F9EAC7AB197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A554EFD7-7A65-40E4-B369-39E238BA3552}"/>
            </a:ext>
          </a:extLst>
        </xdr:cNvPr>
        <xdr:cNvSpPr txBox="1"/>
      </xdr:nvSpPr>
      <xdr:spPr>
        <a:xfrm>
          <a:off x="7184011" y="2975273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E76BFAE-1E94-4A88-A411-57420E19AE3B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6D8ADD68-5A4A-4AAD-B331-0E852CA3FBEF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D252E115-A840-4BEE-AA64-802DDFFCB02E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6EAEB778-0E93-43F2-8F88-D4238A0AC083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38DA93B8-24B7-42C6-B4AF-2E6D491A65B7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9A79423C-77C5-4E78-8D07-94357FAE64F3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A01A3C6C-3913-40D3-A864-C0F4CD94726E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56531F7C-A8C7-4625-8FF4-7AE3D87EF2AA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5787F47D-2D31-4297-B3C8-4C3B313CACFC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34117072-9EF2-45DC-B8E3-CB1ABC150BC1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46FBBF18-A70F-4567-B426-7FD454E7DFD4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5F9588E-E9CD-439A-BA36-2F78514568B7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AB058DA7-FAFF-49AD-AD46-36D81B635AD8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F44A5FED-7B0E-4237-84EA-106A03D26115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437426E1-63DD-4252-9CE3-3CF3DB448309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5F8D80DD-4EAB-41F1-A7D6-D4DDDC2E9699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2072FF8F-B8B9-4DB1-94B7-81ABC13C7D27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D8CA006B-D754-488C-83E2-90615F8EC887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CA290545-EE16-4308-BEEA-2BAA81647B60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5E57E6A7-5D83-493E-B960-6F64A3455B3E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1B102DCE-C5CC-43D2-BFC8-7ECC126DB49B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263F30B-5613-4E2B-9773-62E7B4DA2743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6A4496E8-9393-4F0D-9EDB-70BA4C459761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85A7AF56-577C-4E80-9CEA-DA6C28CBCBA9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577BD6EC-0DA0-410D-982A-D733D330B600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961C8FDC-1E7B-46EE-983F-AA143CF7682A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BA2C3349-9A79-4F20-952E-73B78AA46794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B2BBA07A-417B-436A-B175-78CD604C81B9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727E6AD-B0F4-4D6C-8FFA-8AFE144A3321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4D1EA6D9-468A-4A67-AE94-2BB09E7F0684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7FBA355-BCA1-470F-A228-321FD55373CD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8170D99-882E-4DCA-AD37-02F196AB4A06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7025F853-B74C-49BB-9412-46D83890F0D0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CE2F9BA-9F23-41FD-AF81-13E662F5E0CA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2A75C062-DA46-4ECA-95C9-D6588D896D96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6C1A4AA9-B26E-4787-8778-3BD5B5694971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2499C0A4-F299-49A1-B39B-FA22FDC9E2B3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189E7C1F-0E3A-4DF4-AD08-C270D1F04E77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1E336A97-6F16-4999-B2DC-12E59597DAF4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F12F3F5F-B31D-4511-8A37-A2D3F23E4972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2DB558CA-1826-4BD3-B8EA-1D6C5BA8A22F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9F2D46EF-30CE-45EC-B5C5-9ABA0980651D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FAF34399-6564-4A23-B784-FC91760D6C05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36111838-1A8C-4809-B7DC-906A9CE608C8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7082409-9392-4FF4-83A9-ADCEB114208C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EA14A638-C254-40EC-92F6-2936F80B24D3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1C72092-A935-4991-8EF4-7E6E58B053E7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AD1C397E-381D-4E8C-8672-089943408F8E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CD630F0A-9F04-4DE3-A628-B687DD8EE784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98FF0F53-5175-4CE3-883A-BB17607290E4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F752B03C-883E-48BA-B08E-DE27FFC09212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112BF53D-D9CF-4822-9D3E-42392A7E6875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3572E9-73D7-4CAB-A20D-9309591844FD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BB6CA927-CE7C-490F-BA2A-28AA879E726B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3AB17292-447C-4E8B-878E-0C76BBBDFB71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8A62841C-EE31-4DF4-B2F6-CCCE3879101B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4D2B4B9-C1F0-4705-8AED-E0A3A8F025B9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4C488273-A8F1-48E7-8438-73A83F248400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87F1ABB9-FBB3-4F00-A7E1-CA4D7B9E9793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E7E837E9-6D19-4D35-A3C8-732FF76AE37A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F6CA62A8-BDF8-4E58-8C4D-9EB29161ACB9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23498A91-FD22-4BF7-BB53-BC32D6572F8C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6B914A1-7217-4692-9B32-5CBA44D03E34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3F11412-98BD-40CB-A1DB-69250FFE1AA4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5C18980A-CE1D-46EF-89B7-407C7C692BD6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73D3B120-50D5-4CC1-AA0E-D4C1991C1E3C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ABAB344C-19D7-4A27-8E70-1383DBC115D9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B78AB7BA-0719-46B2-BCD3-7173DD5C4065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E4F3132B-2BCE-4A28-B09C-479B128C2C73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4F4669C-4C66-4D03-A3F3-12B7968CF2DD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6C5B7A5-08B1-4B9E-BAC9-D7022DD92A97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DEB1163E-6612-4E43-9D5A-732D318B293B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C3FECCEC-0DB9-40E9-B44B-847277D98C80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3BE9ABF-736D-4472-B5DC-B95703BFD753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15955F12-0F72-4C0C-8992-B5D12E447AA2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330DA0CF-C1BE-4701-A980-84A2337D699D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1306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45182BD-FF58-4B9D-8670-A43D77B0B55F}"/>
            </a:ext>
          </a:extLst>
        </xdr:cNvPr>
        <xdr:cNvSpPr txBox="1"/>
      </xdr:nvSpPr>
      <xdr:spPr>
        <a:xfrm>
          <a:off x="7184011" y="29416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FFD74077-0D82-492F-B11E-BA27D413F5C2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B3B89DE2-5CD2-4CFF-B662-2047FEEECA00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B42DFF54-A1C5-4365-B0A7-45826BD66CBA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A1F0B2C9-2D92-4CBA-A145-DEB09D37A026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E52BFD67-EEE7-4F26-B2C5-A99059B3A3E7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8213A026-C281-42F6-A379-5FBACA849E0E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39FDA34D-0454-4C14-913E-1FE8603FCD25}"/>
            </a:ext>
          </a:extLst>
        </xdr:cNvPr>
        <xdr:cNvSpPr txBox="1"/>
      </xdr:nvSpPr>
      <xdr:spPr>
        <a:xfrm>
          <a:off x="7184011" y="2979756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1325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2EB2C82-9ED3-4A1E-BF5E-BE3713E9BDC2}"/>
            </a:ext>
          </a:extLst>
        </xdr:cNvPr>
        <xdr:cNvSpPr txBox="1"/>
      </xdr:nvSpPr>
      <xdr:spPr>
        <a:xfrm>
          <a:off x="7184011" y="29842385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CFA6709A-2DDE-4583-AB4C-6B696EEF347B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EA348285-62A6-49A8-9CBE-B6FFCC70BB7F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43E7608D-5E80-49B3-BA4C-289462D569E2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0181DB7-7C31-4B5D-8D3A-BB59EF9BE0FE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745690B3-1089-4C6C-B1DF-96005CF208EC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EC90B62E-2B47-4822-9030-4970AFD6F9FE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F6DD97AF-6BF7-44B1-814F-ADA834FC19A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D0A02FD7-A990-4360-A6C5-F9659DA2808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96D8311A-27B3-481A-B081-9A7EE621CDE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ACD9DEC-AB45-48F7-9C41-9176E32D7749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905E3DFB-E1F7-4BDF-8675-469BB8700565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1411A9F1-A6F2-48C2-8EFC-43033B7522F9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E34F8122-1D6A-4C6A-8320-9029A1944A6D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32B3AEA-A428-410E-AADC-9E0A3EFAF0E4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C5DC9956-A385-4133-94D7-7432397CAC00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BAF500EA-D0B9-4355-8F59-45E733DC90E2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4D6DFA4-2BE5-480B-B23E-5CB0E2A574AB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F02C9BFA-3E35-460B-8677-B45C9214337D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80" name="TextBox 579" hidden="1">
          <a:extLst>
            <a:ext uri="{FF2B5EF4-FFF2-40B4-BE49-F238E27FC236}">
              <a16:creationId xmlns:a16="http://schemas.microsoft.com/office/drawing/2014/main" id="{A64F6842-A071-4BBC-9B9C-021EF899C18E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81" name="TextBox 580" hidden="1">
          <a:extLst>
            <a:ext uri="{FF2B5EF4-FFF2-40B4-BE49-F238E27FC236}">
              <a16:creationId xmlns:a16="http://schemas.microsoft.com/office/drawing/2014/main" id="{A8EA1697-2F4A-46E3-A7CB-44AC14F1EA86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2" name="TextBox 581" hidden="1">
          <a:extLst>
            <a:ext uri="{FF2B5EF4-FFF2-40B4-BE49-F238E27FC236}">
              <a16:creationId xmlns:a16="http://schemas.microsoft.com/office/drawing/2014/main" id="{8C157D16-87E9-4A49-9735-C4BE522992CB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3" name="TextBox 582" hidden="1">
          <a:extLst>
            <a:ext uri="{FF2B5EF4-FFF2-40B4-BE49-F238E27FC236}">
              <a16:creationId xmlns:a16="http://schemas.microsoft.com/office/drawing/2014/main" id="{BE104C99-9F78-4C26-B41B-3F4AC845D373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4" name="TextBox 583" hidden="1">
          <a:extLst>
            <a:ext uri="{FF2B5EF4-FFF2-40B4-BE49-F238E27FC236}">
              <a16:creationId xmlns:a16="http://schemas.microsoft.com/office/drawing/2014/main" id="{5C62BCD8-6C66-4CF4-BE07-6F2D2B8975E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5" name="TextBox 584" hidden="1">
          <a:extLst>
            <a:ext uri="{FF2B5EF4-FFF2-40B4-BE49-F238E27FC236}">
              <a16:creationId xmlns:a16="http://schemas.microsoft.com/office/drawing/2014/main" id="{D257B568-E819-4132-8577-F6DE84400BB6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6" name="TextBox 585" hidden="1">
          <a:extLst>
            <a:ext uri="{FF2B5EF4-FFF2-40B4-BE49-F238E27FC236}">
              <a16:creationId xmlns:a16="http://schemas.microsoft.com/office/drawing/2014/main" id="{55DDE479-4E06-47A4-8921-A65B6E3572F9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7" name="TextBox 586" hidden="1">
          <a:extLst>
            <a:ext uri="{FF2B5EF4-FFF2-40B4-BE49-F238E27FC236}">
              <a16:creationId xmlns:a16="http://schemas.microsoft.com/office/drawing/2014/main" id="{58FA799C-12CD-4CD5-92C5-E8C56F11A081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F8CBD1B6-EB1D-4182-BB65-862FB2A0010C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AC62063F-BBCB-41FD-89C1-8E23588AA230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38F5B30F-43C9-4240-B701-54F93455F839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6DA08B07-E857-41FB-B1E2-99695CC3176F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9DA40931-686A-4EB0-B1A6-234F71A498FD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C7E44BBD-8C39-4CF5-B16D-F91355A47AF7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55A38D91-0F82-4BF5-AD38-AE7234D78B9A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D29969A4-1434-4742-9033-9986388901A9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2DA00467-3314-49EC-8AD2-30D535D04CB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A6FF9A84-B199-43E5-AD96-891BFE6FA89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D8DFAE63-8830-4AED-A37F-7EF22F4BD119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B50B0B93-6F67-4899-B119-91549861619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C09E31D-C486-4E35-8325-144402AADE4C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48B9207E-C4B7-436E-A3EC-55B07DAFA51D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F11D7B4C-16D0-4C83-8F37-A3CBD60E071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985B8D-8E18-43E8-85A6-C4ADA52F5E6D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F629B6C-BC49-459A-982C-C8CCB6E5B8C0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ADD64FFC-4EFF-4F7F-A148-B0A44DB64C89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DF4612BF-A973-4A6A-A9D3-9166B104934F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A7104A5F-BBCC-4176-A848-3DE63EB73055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8" name="TextBox 607" hidden="1">
          <a:extLst>
            <a:ext uri="{FF2B5EF4-FFF2-40B4-BE49-F238E27FC236}">
              <a16:creationId xmlns:a16="http://schemas.microsoft.com/office/drawing/2014/main" id="{274E50AE-681E-48F1-BD3A-A52F5E12CCA5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09" name="TextBox 608" hidden="1">
          <a:extLst>
            <a:ext uri="{FF2B5EF4-FFF2-40B4-BE49-F238E27FC236}">
              <a16:creationId xmlns:a16="http://schemas.microsoft.com/office/drawing/2014/main" id="{9E7FE952-2CDF-4C8D-87DF-3BF83E8E7551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0" name="TextBox 609" hidden="1">
          <a:extLst>
            <a:ext uri="{FF2B5EF4-FFF2-40B4-BE49-F238E27FC236}">
              <a16:creationId xmlns:a16="http://schemas.microsoft.com/office/drawing/2014/main" id="{113BFD09-6AAA-4FB6-96CB-09C8913CCAAA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1" name="TextBox 610" hidden="1">
          <a:extLst>
            <a:ext uri="{FF2B5EF4-FFF2-40B4-BE49-F238E27FC236}">
              <a16:creationId xmlns:a16="http://schemas.microsoft.com/office/drawing/2014/main" id="{8D1C2817-A5D4-497A-9352-260E7EE3A11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2" name="TextBox 611" hidden="1">
          <a:extLst>
            <a:ext uri="{FF2B5EF4-FFF2-40B4-BE49-F238E27FC236}">
              <a16:creationId xmlns:a16="http://schemas.microsoft.com/office/drawing/2014/main" id="{4A40B9F1-E390-4A20-9777-FBEE5E2F111D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3" name="TextBox 612" hidden="1">
          <a:extLst>
            <a:ext uri="{FF2B5EF4-FFF2-40B4-BE49-F238E27FC236}">
              <a16:creationId xmlns:a16="http://schemas.microsoft.com/office/drawing/2014/main" id="{7C59B3A1-5836-4034-AB4D-26364E142443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4" name="TextBox 613" hidden="1">
          <a:extLst>
            <a:ext uri="{FF2B5EF4-FFF2-40B4-BE49-F238E27FC236}">
              <a16:creationId xmlns:a16="http://schemas.microsoft.com/office/drawing/2014/main" id="{69DD228F-26A7-4369-9287-41FBCCB751B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5" name="TextBox 614" hidden="1">
          <a:extLst>
            <a:ext uri="{FF2B5EF4-FFF2-40B4-BE49-F238E27FC236}">
              <a16:creationId xmlns:a16="http://schemas.microsoft.com/office/drawing/2014/main" id="{3BE09307-F87C-4967-8F96-BC1EBD9ACD6E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3E416735-EDCE-4995-B0D1-DCBA92AD24BC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93D35535-019A-4E86-ACF6-83E502B4B234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27D0DDBF-B8CA-463D-AF82-14AD0F849AE6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98B6769-4B33-45E1-9C32-8188DFB9B81B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5CDC576E-C3B6-48A9-BD0D-5E583810AF90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6BE4B5EF-F0A3-455C-8FA7-7AF7B8380437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4F9130BD-0579-4A1D-98FF-9BE7D2AC6397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786ACC6B-6333-4A80-963F-76E25AEB2191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DC0AC5D4-DD8E-4E62-926E-9EFBD4338029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DF10CF53-6FA6-4DE8-8A16-6040FAC75891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127C552F-60D2-4EDA-94C5-4A8A9CBE486A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A8885178-DDDB-48B2-9D0D-00A4B27E7CDF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92C67BC-F673-4B03-8815-43FE170EDE5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9BD3E042-3660-4391-9D96-91A8CAC3658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F569FB39-749C-47E8-AA5E-471C0BC5763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7A8ECB88-51F0-45A5-A870-2D4AFBD7D999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776BC03B-7612-49DB-957C-CED7B4EC3D49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67F6976F-C14F-4934-B3CF-09049998AF4A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35D720F0-8216-408D-8AED-E3D57EE9B10B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817E9AEE-AE00-4F5D-881A-C55918CE9846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6" name="TextBox 635" hidden="1">
          <a:extLst>
            <a:ext uri="{FF2B5EF4-FFF2-40B4-BE49-F238E27FC236}">
              <a16:creationId xmlns:a16="http://schemas.microsoft.com/office/drawing/2014/main" id="{BF495859-CC27-49CC-BF82-70BB40888E57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1296</xdr:row>
      <xdr:rowOff>0</xdr:rowOff>
    </xdr:from>
    <xdr:ext cx="65" cy="172227"/>
    <xdr:sp macro="" textlink="">
      <xdr:nvSpPr>
        <xdr:cNvPr id="637" name="TextBox 636" hidden="1">
          <a:extLst>
            <a:ext uri="{FF2B5EF4-FFF2-40B4-BE49-F238E27FC236}">
              <a16:creationId xmlns:a16="http://schemas.microsoft.com/office/drawing/2014/main" id="{4851D2DA-83E2-4EEF-9CB4-A60DEB2241B6}"/>
            </a:ext>
          </a:extLst>
        </xdr:cNvPr>
        <xdr:cNvSpPr txBox="1"/>
      </xdr:nvSpPr>
      <xdr:spPr>
        <a:xfrm>
          <a:off x="7184011" y="29192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38" name="TextBox 637" hidden="1">
          <a:extLst>
            <a:ext uri="{FF2B5EF4-FFF2-40B4-BE49-F238E27FC236}">
              <a16:creationId xmlns:a16="http://schemas.microsoft.com/office/drawing/2014/main" id="{25F778EE-C6F5-4BD0-8E5D-8C7E0A0C038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39" name="TextBox 638" hidden="1">
          <a:extLst>
            <a:ext uri="{FF2B5EF4-FFF2-40B4-BE49-F238E27FC236}">
              <a16:creationId xmlns:a16="http://schemas.microsoft.com/office/drawing/2014/main" id="{0CB087C0-E87B-4F5C-AF97-F82D74479844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40" name="TextBox 639" hidden="1">
          <a:extLst>
            <a:ext uri="{FF2B5EF4-FFF2-40B4-BE49-F238E27FC236}">
              <a16:creationId xmlns:a16="http://schemas.microsoft.com/office/drawing/2014/main" id="{85167E58-568F-4227-B4F5-A3D2C9B5468A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41" name="TextBox 640" hidden="1">
          <a:extLst>
            <a:ext uri="{FF2B5EF4-FFF2-40B4-BE49-F238E27FC236}">
              <a16:creationId xmlns:a16="http://schemas.microsoft.com/office/drawing/2014/main" id="{F703CEE9-DE5D-4E74-9025-7519232AA88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42" name="TextBox 641" hidden="1">
          <a:extLst>
            <a:ext uri="{FF2B5EF4-FFF2-40B4-BE49-F238E27FC236}">
              <a16:creationId xmlns:a16="http://schemas.microsoft.com/office/drawing/2014/main" id="{1E3BB486-F36A-4CCF-84F4-CD47C2663AD8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43" name="TextBox 642" hidden="1">
          <a:extLst>
            <a:ext uri="{FF2B5EF4-FFF2-40B4-BE49-F238E27FC236}">
              <a16:creationId xmlns:a16="http://schemas.microsoft.com/office/drawing/2014/main" id="{8E97CE48-96B2-422B-81BC-023E1A5ED322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1313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CC06BEE-B172-468C-B2DF-77AE1584A950}"/>
            </a:ext>
          </a:extLst>
        </xdr:cNvPr>
        <xdr:cNvSpPr txBox="1"/>
      </xdr:nvSpPr>
      <xdr:spPr>
        <a:xfrm>
          <a:off x="7184011" y="2957344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1315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4922034-DDFB-43E2-9A25-BFA432520211}"/>
            </a:ext>
          </a:extLst>
        </xdr:cNvPr>
        <xdr:cNvSpPr txBox="1"/>
      </xdr:nvSpPr>
      <xdr:spPr>
        <a:xfrm>
          <a:off x="7184011" y="296182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B374CE17-9241-4CA4-ADEC-345525AFF851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8D1516B5-C53D-4A9F-ACA2-338EB6E24BA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C5EE5678-AC37-458E-AFB8-AEC74147A5A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E8966517-66AD-4030-8CEE-4950E6BACE0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F98F76FD-7F5D-4E81-887C-868C5A20EC88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4F9BFE2E-DA3B-438C-A0BF-E19B2ED67AAC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DB338B7-57F2-4B2A-9E42-944977136F96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2EA367A5-4025-41ED-8585-D833310F1D2C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B28C4A41-01DD-40F0-9BD8-A1D36364160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DA5BE420-3F0C-457C-8565-9A6FB4F213F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12966F9F-6C8E-4A6C-B24D-9C29BBAA2008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328C7D0-D051-4219-B040-D2795FE9870B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FDEAA101-5FC0-4150-BD0A-52050608FB2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E001EB16-3723-4C02-86A6-5DBADBF0C80A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A8FB9E62-5C0B-4979-A2C0-2CB6E67D48A0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6BC2E965-E36F-4927-87C3-6EA41B5BA41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2C30CE4-6061-481B-81FC-CD7DBA99675C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C16B879-D07B-4C04-87D7-3ADED97D3F5B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4" name="TextBox 663" hidden="1">
          <a:extLst>
            <a:ext uri="{FF2B5EF4-FFF2-40B4-BE49-F238E27FC236}">
              <a16:creationId xmlns:a16="http://schemas.microsoft.com/office/drawing/2014/main" id="{310BF07F-D3CC-4089-99C4-F8C9C3CAA2D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65" name="TextBox 664" hidden="1">
          <a:extLst>
            <a:ext uri="{FF2B5EF4-FFF2-40B4-BE49-F238E27FC236}">
              <a16:creationId xmlns:a16="http://schemas.microsoft.com/office/drawing/2014/main" id="{5E4A27A8-1407-476A-A220-3FBDE4C79A46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66" name="TextBox 665" hidden="1">
          <a:extLst>
            <a:ext uri="{FF2B5EF4-FFF2-40B4-BE49-F238E27FC236}">
              <a16:creationId xmlns:a16="http://schemas.microsoft.com/office/drawing/2014/main" id="{4183C47F-5650-4080-B8B6-B51211E43AE6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67" name="TextBox 666" hidden="1">
          <a:extLst>
            <a:ext uri="{FF2B5EF4-FFF2-40B4-BE49-F238E27FC236}">
              <a16:creationId xmlns:a16="http://schemas.microsoft.com/office/drawing/2014/main" id="{54A3A4C0-9052-44C8-8086-8812CC4CA2B3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68" name="TextBox 667" hidden="1">
          <a:extLst>
            <a:ext uri="{FF2B5EF4-FFF2-40B4-BE49-F238E27FC236}">
              <a16:creationId xmlns:a16="http://schemas.microsoft.com/office/drawing/2014/main" id="{2B27A1C4-736D-4B0C-B8B9-E0160CA4C586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69" name="TextBox 668" hidden="1">
          <a:extLst>
            <a:ext uri="{FF2B5EF4-FFF2-40B4-BE49-F238E27FC236}">
              <a16:creationId xmlns:a16="http://schemas.microsoft.com/office/drawing/2014/main" id="{FC755479-2194-41C5-A6CA-4199B504991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70" name="TextBox 669" hidden="1">
          <a:extLst>
            <a:ext uri="{FF2B5EF4-FFF2-40B4-BE49-F238E27FC236}">
              <a16:creationId xmlns:a16="http://schemas.microsoft.com/office/drawing/2014/main" id="{7336B6A0-BC6E-476D-9B02-D2E2009BBD7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71" name="TextBox 670" hidden="1">
          <a:extLst>
            <a:ext uri="{FF2B5EF4-FFF2-40B4-BE49-F238E27FC236}">
              <a16:creationId xmlns:a16="http://schemas.microsoft.com/office/drawing/2014/main" id="{B2CC79E2-7EC7-4DA9-8361-08C25850024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10319DA-A141-4DD2-930F-F3AEB4CA939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AB0128EF-AB66-41FD-A670-AF6EDF173AE6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13640BA3-95CB-4591-A1E6-8BF98B8F646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FC106BF6-0A56-4F4C-9709-BBB78D89CB4C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7FE84235-8DFB-42CB-9E79-FAAB39E7F3EC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3E5036C-3C6D-4C64-870A-93BF388E4F0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10923D86-FF90-4E0E-991E-2A8C4F7ED73B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E201F38-299A-44EB-A23D-6B560C28A095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51E909D-937A-4313-AA12-21A72365221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3DA852A8-F9F0-4C7F-B301-AC559FF547FD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AE7DF79-1E7A-4149-A8FB-1487CBDCF2D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4B03BD40-F652-4611-A10B-D20350E8E22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6AD96F00-5214-45AD-8A80-F2980F0C767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D531A52B-08D0-4EF6-A1B4-0EB133F61FB6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918C4069-F47F-4356-ABB8-521A9FA7A78B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E83E0392-B9AD-447C-8361-6EB466AD10AE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D9968DBA-90AE-4A4C-800C-D4D745C8AE36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ED0E9663-2C83-4AC4-A82B-9B43F518E803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2481801-83CC-4A60-A770-D81D3555E711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C93D782-D99E-4053-8482-854E2A763521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92" name="TextBox 691" hidden="1">
          <a:extLst>
            <a:ext uri="{FF2B5EF4-FFF2-40B4-BE49-F238E27FC236}">
              <a16:creationId xmlns:a16="http://schemas.microsoft.com/office/drawing/2014/main" id="{8B2F90CD-2DF1-400B-83F2-CA4EE8793E6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693" name="TextBox 692" hidden="1">
          <a:extLst>
            <a:ext uri="{FF2B5EF4-FFF2-40B4-BE49-F238E27FC236}">
              <a16:creationId xmlns:a16="http://schemas.microsoft.com/office/drawing/2014/main" id="{DC35B646-FD08-4822-BB7B-E5760798A3CE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4" name="TextBox 693" hidden="1">
          <a:extLst>
            <a:ext uri="{FF2B5EF4-FFF2-40B4-BE49-F238E27FC236}">
              <a16:creationId xmlns:a16="http://schemas.microsoft.com/office/drawing/2014/main" id="{F5E03C46-768F-4C55-B90A-A5EB363F931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5" name="TextBox 694" hidden="1">
          <a:extLst>
            <a:ext uri="{FF2B5EF4-FFF2-40B4-BE49-F238E27FC236}">
              <a16:creationId xmlns:a16="http://schemas.microsoft.com/office/drawing/2014/main" id="{AC047B50-038F-434A-A87F-FE3E62D6ADD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6" name="TextBox 695" hidden="1">
          <a:extLst>
            <a:ext uri="{FF2B5EF4-FFF2-40B4-BE49-F238E27FC236}">
              <a16:creationId xmlns:a16="http://schemas.microsoft.com/office/drawing/2014/main" id="{B1413940-9EB2-4C92-A23E-A3367F68A3A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7" name="TextBox 696" hidden="1">
          <a:extLst>
            <a:ext uri="{FF2B5EF4-FFF2-40B4-BE49-F238E27FC236}">
              <a16:creationId xmlns:a16="http://schemas.microsoft.com/office/drawing/2014/main" id="{59163EB7-3328-4386-B745-B8454A4FAAD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8" name="TextBox 697" hidden="1">
          <a:extLst>
            <a:ext uri="{FF2B5EF4-FFF2-40B4-BE49-F238E27FC236}">
              <a16:creationId xmlns:a16="http://schemas.microsoft.com/office/drawing/2014/main" id="{18207F56-F9DB-49ED-A185-A8A682749AA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699" name="TextBox 698" hidden="1">
          <a:extLst>
            <a:ext uri="{FF2B5EF4-FFF2-40B4-BE49-F238E27FC236}">
              <a16:creationId xmlns:a16="http://schemas.microsoft.com/office/drawing/2014/main" id="{84C67DBA-9DAC-4419-BA41-B3DD1B87A00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DC8867DE-7FEA-49AA-AAC2-C9D4BF45AFB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32C5ED61-1656-4843-8027-CE11DDAF9A6B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2E16D216-30A7-431A-9F30-59493E1CDB3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FA67EA4D-51AE-4BF7-8414-9CCEE7AC3635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BA3DD5EB-1DEC-4F5B-9722-643F6B913F9B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63F5F773-FE91-4F6B-B86B-B449E0ACE389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789B94A2-097A-49BB-9FE9-608D2A4A0FE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FEEC43BE-25EC-40AA-93F2-A0284D0B4F8B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E3013DE2-FA1C-4711-9853-6C7D6AD60009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D06AD9CD-2C12-4507-BB3E-86931EC9052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B3FA90E7-A9C9-4280-9DB6-BF54DE0F097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45D04D9B-5C79-4393-8E54-99206B36B16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7FFE2ADC-8F13-4FFC-838E-FD01A3DEC7C5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710715A-7DD3-416D-A5D5-2E581770495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B7FE9A8B-A030-4E67-B7E8-812BE43C0CF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909AC759-02E0-4485-8E74-986BEE2E0CC9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E18D7DD1-CF9F-4F61-A04B-B26F2F792A8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EAFBB335-686A-4076-B58E-42AFD88D1DEB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EB4C5B6C-7C38-4039-B957-7AFAA19AB9F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3150769D-DF9B-4F72-A478-E9505EE64F16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20" name="TextBox 719" hidden="1">
          <a:extLst>
            <a:ext uri="{FF2B5EF4-FFF2-40B4-BE49-F238E27FC236}">
              <a16:creationId xmlns:a16="http://schemas.microsoft.com/office/drawing/2014/main" id="{8DB70137-26AB-42AB-B5A5-F73D45A5D32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21" name="TextBox 720" hidden="1">
          <a:extLst>
            <a:ext uri="{FF2B5EF4-FFF2-40B4-BE49-F238E27FC236}">
              <a16:creationId xmlns:a16="http://schemas.microsoft.com/office/drawing/2014/main" id="{B09FE943-BB60-468A-B97E-0A73857E5680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2" name="TextBox 721" hidden="1">
          <a:extLst>
            <a:ext uri="{FF2B5EF4-FFF2-40B4-BE49-F238E27FC236}">
              <a16:creationId xmlns:a16="http://schemas.microsoft.com/office/drawing/2014/main" id="{6B89ECA8-CE15-495E-A124-250F3A311058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3" name="TextBox 722" hidden="1">
          <a:extLst>
            <a:ext uri="{FF2B5EF4-FFF2-40B4-BE49-F238E27FC236}">
              <a16:creationId xmlns:a16="http://schemas.microsoft.com/office/drawing/2014/main" id="{927DEAE0-DCC3-4C6B-BE36-E0E8BA1E54E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4" name="TextBox 723" hidden="1">
          <a:extLst>
            <a:ext uri="{FF2B5EF4-FFF2-40B4-BE49-F238E27FC236}">
              <a16:creationId xmlns:a16="http://schemas.microsoft.com/office/drawing/2014/main" id="{9CEBCE83-069B-4200-A1F3-6C4F8CBA916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5" name="TextBox 724" hidden="1">
          <a:extLst>
            <a:ext uri="{FF2B5EF4-FFF2-40B4-BE49-F238E27FC236}">
              <a16:creationId xmlns:a16="http://schemas.microsoft.com/office/drawing/2014/main" id="{43948CE2-2306-4F13-B292-A522ABE01CF8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6" name="TextBox 725" hidden="1">
          <a:extLst>
            <a:ext uri="{FF2B5EF4-FFF2-40B4-BE49-F238E27FC236}">
              <a16:creationId xmlns:a16="http://schemas.microsoft.com/office/drawing/2014/main" id="{07577511-1270-4C3A-81C1-8141B5068BB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7" name="TextBox 726" hidden="1">
          <a:extLst>
            <a:ext uri="{FF2B5EF4-FFF2-40B4-BE49-F238E27FC236}">
              <a16:creationId xmlns:a16="http://schemas.microsoft.com/office/drawing/2014/main" id="{97DAFCBD-733F-49BC-A856-0A305DABF98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667E4726-1F51-4CB8-94DD-CAD3CFEE0EBB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B0E784A-A306-47FE-8A9C-60F3A42178CB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534EB560-E7CD-40B5-A08E-BACC66F0B1C5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83C3A0F3-EDCD-4D59-9227-CBBFD46F5B1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996285DF-EB3B-42DE-933C-D1C5B5B33DA0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92037EC-E4D7-467B-8661-A18823AD2F6D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B4A3C13E-96B1-4C23-B0CF-69CF7A7B657D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958C071B-EC91-41D9-A36F-8EFFE9371E22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D3863B9D-A29F-4311-BDC9-EFC48945EC39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A4825496-5D08-4484-BB6D-BF6BA9C8B35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77276961-8D68-4FD4-B00F-F5D48F0D3E4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C98ED588-8F9E-42D1-ADD9-647EBF5B275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DADA66F7-B745-44F9-8D22-171A375E6600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AD12085B-01A8-4478-A943-2782F6DCE3F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E74EDCA2-D901-4B59-B4CC-552682C2728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C1DBDA45-9E16-48C0-BD40-6A734C7ADDCE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A73E2B13-83C5-400F-AFE0-713A3D340D30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2F042B96-0F97-4E0B-9D81-125CB4EF977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672A8A3-98F3-45E6-BA21-038BE88F7CD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22A7B36-D98D-45DC-B67B-6AAB5646296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8" name="TextBox 747" hidden="1">
          <a:extLst>
            <a:ext uri="{FF2B5EF4-FFF2-40B4-BE49-F238E27FC236}">
              <a16:creationId xmlns:a16="http://schemas.microsoft.com/office/drawing/2014/main" id="{35C4A851-66EF-4F1D-98AA-BC55CF923A2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49" name="TextBox 748" hidden="1">
          <a:extLst>
            <a:ext uri="{FF2B5EF4-FFF2-40B4-BE49-F238E27FC236}">
              <a16:creationId xmlns:a16="http://schemas.microsoft.com/office/drawing/2014/main" id="{064B4E45-0598-4D85-9AF3-DCD4EA00D15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0" name="TextBox 749" hidden="1">
          <a:extLst>
            <a:ext uri="{FF2B5EF4-FFF2-40B4-BE49-F238E27FC236}">
              <a16:creationId xmlns:a16="http://schemas.microsoft.com/office/drawing/2014/main" id="{0066E2B3-8C58-4718-AEB1-B411F6D327B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1" name="TextBox 750" hidden="1">
          <a:extLst>
            <a:ext uri="{FF2B5EF4-FFF2-40B4-BE49-F238E27FC236}">
              <a16:creationId xmlns:a16="http://schemas.microsoft.com/office/drawing/2014/main" id="{D7D0A024-2731-48C2-B192-CBBE003EBD1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2" name="TextBox 751" hidden="1">
          <a:extLst>
            <a:ext uri="{FF2B5EF4-FFF2-40B4-BE49-F238E27FC236}">
              <a16:creationId xmlns:a16="http://schemas.microsoft.com/office/drawing/2014/main" id="{7D3C58C8-8F41-4CC5-98DD-1DFFD025D5B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3" name="TextBox 752" hidden="1">
          <a:extLst>
            <a:ext uri="{FF2B5EF4-FFF2-40B4-BE49-F238E27FC236}">
              <a16:creationId xmlns:a16="http://schemas.microsoft.com/office/drawing/2014/main" id="{8B6BD140-952A-45FE-8A72-36E607D9B3A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4" name="TextBox 753" hidden="1">
          <a:extLst>
            <a:ext uri="{FF2B5EF4-FFF2-40B4-BE49-F238E27FC236}">
              <a16:creationId xmlns:a16="http://schemas.microsoft.com/office/drawing/2014/main" id="{EC034B75-ADE8-49D8-B10E-E94F2BE7E43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5" name="TextBox 754" hidden="1">
          <a:extLst>
            <a:ext uri="{FF2B5EF4-FFF2-40B4-BE49-F238E27FC236}">
              <a16:creationId xmlns:a16="http://schemas.microsoft.com/office/drawing/2014/main" id="{DE39A041-B11D-42C4-845D-95EAB08F73F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AF7BE9C-A6A5-46E9-B172-8ACBF731D8D5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FDB17F7F-1B63-40E2-A505-9323BDDE637B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66A212E5-7B49-4AD9-B3BB-37DD5C9E055D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656E9C01-0D57-4350-B6E4-FD07DBA7BE43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7990E6F9-D3C8-4971-8CB5-19C8F8BD0301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83B7CC5C-A643-4792-843B-A8D510BD69A3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87511475-2829-4760-9B60-0A9DFF9BE173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E1734FD5-4078-4E0C-92B0-321B9F5E29F1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7FF7ACDD-AFA8-4A35-8971-2268786044B5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C9CE028-D54E-426B-AC5D-77A74F4CD1E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4809430E-D060-4999-9094-33E41E913D58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95C98635-DDD6-4FB6-81E8-D6759687439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24BA31DD-1C8F-49E8-B345-3CAF5B6FB8CD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507FA32C-F98C-4B1E-8A4D-14A96BBA67C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4671A332-1545-4544-A7D7-1CDFBC70E23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12C5DF45-0B2E-4F9F-8ACF-4426E37D3778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257BC593-1D00-44D7-A3D6-53E01907558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C7BF980-2F77-4C9B-994B-A7650EA4F298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4F586FAF-89AB-4686-AF9F-C433013D7D3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B69FB91B-5CD5-4CC4-AF0A-E993115B4190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6" name="TextBox 775" hidden="1">
          <a:extLst>
            <a:ext uri="{FF2B5EF4-FFF2-40B4-BE49-F238E27FC236}">
              <a16:creationId xmlns:a16="http://schemas.microsoft.com/office/drawing/2014/main" id="{A5EAEEF9-556C-4D73-9CB0-E3BF70A26892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77" name="TextBox 776" hidden="1">
          <a:extLst>
            <a:ext uri="{FF2B5EF4-FFF2-40B4-BE49-F238E27FC236}">
              <a16:creationId xmlns:a16="http://schemas.microsoft.com/office/drawing/2014/main" id="{5FEEF914-3111-4B26-9F3E-637E7007043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78" name="TextBox 777" hidden="1">
          <a:extLst>
            <a:ext uri="{FF2B5EF4-FFF2-40B4-BE49-F238E27FC236}">
              <a16:creationId xmlns:a16="http://schemas.microsoft.com/office/drawing/2014/main" id="{294266BC-E934-4BB2-A64D-954278E0ECB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79" name="TextBox 778" hidden="1">
          <a:extLst>
            <a:ext uri="{FF2B5EF4-FFF2-40B4-BE49-F238E27FC236}">
              <a16:creationId xmlns:a16="http://schemas.microsoft.com/office/drawing/2014/main" id="{2E2C0039-EB67-497A-BF89-0077CEF379EC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80" name="TextBox 779" hidden="1">
          <a:extLst>
            <a:ext uri="{FF2B5EF4-FFF2-40B4-BE49-F238E27FC236}">
              <a16:creationId xmlns:a16="http://schemas.microsoft.com/office/drawing/2014/main" id="{A129BF86-9BB7-43F3-9722-D49DA1C90E6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81" name="TextBox 780" hidden="1">
          <a:extLst>
            <a:ext uri="{FF2B5EF4-FFF2-40B4-BE49-F238E27FC236}">
              <a16:creationId xmlns:a16="http://schemas.microsoft.com/office/drawing/2014/main" id="{8B36D034-3FD0-4076-8ACA-1A78954520EF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82" name="TextBox 781" hidden="1">
          <a:extLst>
            <a:ext uri="{FF2B5EF4-FFF2-40B4-BE49-F238E27FC236}">
              <a16:creationId xmlns:a16="http://schemas.microsoft.com/office/drawing/2014/main" id="{4D793FBE-73BE-42AC-BAF2-860B118CF91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83" name="TextBox 782" hidden="1">
          <a:extLst>
            <a:ext uri="{FF2B5EF4-FFF2-40B4-BE49-F238E27FC236}">
              <a16:creationId xmlns:a16="http://schemas.microsoft.com/office/drawing/2014/main" id="{DF5AF606-14DD-45B4-86D7-42839E74D392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2047B14E-64E9-4663-912D-286382042AF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E9C76B8F-4DBE-4479-9708-F3C3679E0FF7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9676819D-1486-4B0C-A6DC-B64C4E418458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B9C7670-CE62-47A1-92C8-5C9E43A1FFB2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5CE5F11-A460-4909-BF98-BF6BCECBF49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E9893599-B135-4541-8187-C3F0F1C96F0E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CA97DAE-A491-46D7-902C-D923B03ADA64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243C686B-CDCE-45C0-8131-EE352308E93A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9EF6B5F8-29A4-4436-93F0-4E7FC057EA19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2F1ABE12-EC35-4F3A-B287-065A63A1D8B5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071FF79-D25F-41A1-BED9-A3ACCB0538F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B76D11CB-61E0-4AEE-9A56-54E8675DCB3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66379CCB-AC53-4438-8C98-7F86E95317F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862A2B4A-C61A-4DBA-9464-9BFF41515C0A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3F065CDD-B990-4581-81FE-3D76A832D3DC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9DBA6DEC-A93A-47B9-ACBC-320379D95628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2451F7A-C20E-44D7-ADFE-69B8035F0E1F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71A0C9FE-A786-46CC-8DE2-022F5C1D069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87CC21D9-78F5-4593-BD7B-10915AF8613D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581F3EA-07A7-44A7-AB8A-0DEFB2F89877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4" name="TextBox 803" hidden="1">
          <a:extLst>
            <a:ext uri="{FF2B5EF4-FFF2-40B4-BE49-F238E27FC236}">
              <a16:creationId xmlns:a16="http://schemas.microsoft.com/office/drawing/2014/main" id="{58C08172-A04C-40FA-B61F-9BFD81C2FF35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1295</xdr:row>
      <xdr:rowOff>0</xdr:rowOff>
    </xdr:from>
    <xdr:ext cx="65" cy="172227"/>
    <xdr:sp macro="" textlink="">
      <xdr:nvSpPr>
        <xdr:cNvPr id="805" name="TextBox 804" hidden="1">
          <a:extLst>
            <a:ext uri="{FF2B5EF4-FFF2-40B4-BE49-F238E27FC236}">
              <a16:creationId xmlns:a16="http://schemas.microsoft.com/office/drawing/2014/main" id="{002492F7-338A-41F9-BD43-A51F6D30F8EC}"/>
            </a:ext>
          </a:extLst>
        </xdr:cNvPr>
        <xdr:cNvSpPr txBox="1"/>
      </xdr:nvSpPr>
      <xdr:spPr>
        <a:xfrm>
          <a:off x="7184011" y="29170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06" name="TextBox 805" hidden="1">
          <a:extLst>
            <a:ext uri="{FF2B5EF4-FFF2-40B4-BE49-F238E27FC236}">
              <a16:creationId xmlns:a16="http://schemas.microsoft.com/office/drawing/2014/main" id="{FDAA39F6-B57F-46A6-AC5D-B718257983F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07" name="TextBox 806" hidden="1">
          <a:extLst>
            <a:ext uri="{FF2B5EF4-FFF2-40B4-BE49-F238E27FC236}">
              <a16:creationId xmlns:a16="http://schemas.microsoft.com/office/drawing/2014/main" id="{CC95EEBF-0D14-41D7-982A-3A4CEA2EBE35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08" name="TextBox 807" hidden="1">
          <a:extLst>
            <a:ext uri="{FF2B5EF4-FFF2-40B4-BE49-F238E27FC236}">
              <a16:creationId xmlns:a16="http://schemas.microsoft.com/office/drawing/2014/main" id="{85405704-19B2-417F-AEA2-905E0F41EF7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09" name="TextBox 808" hidden="1">
          <a:extLst>
            <a:ext uri="{FF2B5EF4-FFF2-40B4-BE49-F238E27FC236}">
              <a16:creationId xmlns:a16="http://schemas.microsoft.com/office/drawing/2014/main" id="{F6F5A8B8-290C-4DEB-BCF1-D260233A9CA1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10" name="TextBox 809" hidden="1">
          <a:extLst>
            <a:ext uri="{FF2B5EF4-FFF2-40B4-BE49-F238E27FC236}">
              <a16:creationId xmlns:a16="http://schemas.microsoft.com/office/drawing/2014/main" id="{0C8CE91E-A95C-422B-88AD-9569D712F417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11" name="TextBox 810" hidden="1">
          <a:extLst>
            <a:ext uri="{FF2B5EF4-FFF2-40B4-BE49-F238E27FC236}">
              <a16:creationId xmlns:a16="http://schemas.microsoft.com/office/drawing/2014/main" id="{9906741C-0C14-4A90-9AC8-64AAFA53739E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F7FE3FE7-C5DB-4924-9413-F210B8FE1E64}"/>
            </a:ext>
          </a:extLst>
        </xdr:cNvPr>
        <xdr:cNvSpPr txBox="1"/>
      </xdr:nvSpPr>
      <xdr:spPr>
        <a:xfrm>
          <a:off x="7184011" y="295510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1314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573E299A-CFCB-4384-95CC-AD9A4B24037B}"/>
            </a:ext>
          </a:extLst>
        </xdr:cNvPr>
        <xdr:cNvSpPr txBox="1"/>
      </xdr:nvSpPr>
      <xdr:spPr>
        <a:xfrm>
          <a:off x="7184011" y="2959585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A60E1FD-6319-4837-B99A-14E17FB1F7E6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77146526-2DA7-4CBE-B3AB-09D8849A66F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B12973A5-AE65-483F-AC24-D317CAED8D38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A46A14A-530C-4FC4-BB16-07607B8ADA7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79BCE67-9136-4D97-BC5A-5106288D7DE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4F0EC593-3390-4770-A221-CF753F5CD928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213AE747-8FD5-4D0E-BFFB-4BB6856EEB3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E7C65B68-A4CD-4ACD-9734-CCEC8540299E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5D8D5889-3732-432B-B6DC-B1B6FFD9B1B5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7EFC5724-AC21-45D5-BA31-6C47D77B4BE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5BED8607-BD64-4F4E-BBA1-6172250FBD5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4F222B26-6DB0-4059-BBD1-96756CBF814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B12D8666-13C2-489C-A446-920CFDAF545F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5E6BA89B-A916-44B4-BBEA-AEB0C879D1E7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CBBC3597-19E9-480F-9BD5-9F146A6DAE5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F42B715-6A48-4880-9B4C-49D63E0B4F2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A29040ED-0FD9-46A9-9565-35AB5364B30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C530EC26-4DDF-4670-85BE-966CF3C9407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60" name="TextBox 859" hidden="1">
          <a:extLst>
            <a:ext uri="{FF2B5EF4-FFF2-40B4-BE49-F238E27FC236}">
              <a16:creationId xmlns:a16="http://schemas.microsoft.com/office/drawing/2014/main" id="{628BE1E0-4ED9-45B8-A5B1-D9C7DEF3A1DC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61" name="TextBox 860" hidden="1">
          <a:extLst>
            <a:ext uri="{FF2B5EF4-FFF2-40B4-BE49-F238E27FC236}">
              <a16:creationId xmlns:a16="http://schemas.microsoft.com/office/drawing/2014/main" id="{042A5C79-69B6-453B-A483-2DF9B0473C3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2" name="TextBox 861" hidden="1">
          <a:extLst>
            <a:ext uri="{FF2B5EF4-FFF2-40B4-BE49-F238E27FC236}">
              <a16:creationId xmlns:a16="http://schemas.microsoft.com/office/drawing/2014/main" id="{750C41E8-3B3E-4AE8-B1B2-14A43DD80CB1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3" name="TextBox 862" hidden="1">
          <a:extLst>
            <a:ext uri="{FF2B5EF4-FFF2-40B4-BE49-F238E27FC236}">
              <a16:creationId xmlns:a16="http://schemas.microsoft.com/office/drawing/2014/main" id="{CB923E09-3A0A-4912-A54B-74A2A7E7A974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4" name="TextBox 863" hidden="1">
          <a:extLst>
            <a:ext uri="{FF2B5EF4-FFF2-40B4-BE49-F238E27FC236}">
              <a16:creationId xmlns:a16="http://schemas.microsoft.com/office/drawing/2014/main" id="{3C7C563C-DDF8-4BC1-841B-20A752C2BDF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5" name="TextBox 864" hidden="1">
          <a:extLst>
            <a:ext uri="{FF2B5EF4-FFF2-40B4-BE49-F238E27FC236}">
              <a16:creationId xmlns:a16="http://schemas.microsoft.com/office/drawing/2014/main" id="{521FA9C2-B600-4FDE-B6FE-0DB60DD23A9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6" name="TextBox 865" hidden="1">
          <a:extLst>
            <a:ext uri="{FF2B5EF4-FFF2-40B4-BE49-F238E27FC236}">
              <a16:creationId xmlns:a16="http://schemas.microsoft.com/office/drawing/2014/main" id="{ECED9A08-7422-4F34-8188-8D6FAA690CD4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7" name="TextBox 866" hidden="1">
          <a:extLst>
            <a:ext uri="{FF2B5EF4-FFF2-40B4-BE49-F238E27FC236}">
              <a16:creationId xmlns:a16="http://schemas.microsoft.com/office/drawing/2014/main" id="{01E38BC4-AE5F-48D6-9164-C3793C85594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DBCC5BB1-006C-4A9C-8E68-FF7F80BC5A8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FDB8C83F-F28D-46D7-8BFE-2D6E705621C7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71C8ED9E-CA79-44EE-A64F-BB5E755881D5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E253E87-F1F4-4DB8-AC71-D14B7BB389F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85B7BECF-A5D2-46ED-AA16-08F08CD463F9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47396C9D-0764-47B3-98EB-90B73E62DD9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B30EE8D7-027D-4A02-A906-9B3746F03A8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A993FF39-5160-4252-B7B6-FA5261651C9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83D83B54-9A7C-4C95-913A-E0A4F7B9771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74D4C628-C4AA-40EA-B16F-89DA2FCF7D6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754F11B4-E0B6-4B9A-AEA5-00FA690D9B2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15A1C44B-469D-4A9B-AFDC-EBC51E1CBB74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D7AECC04-B0DA-4CDD-BCA5-882E94A032A6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98F8384F-9270-4D79-9AA2-B453CD5AA86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CB74924-4AB5-446C-9D6C-31188694801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744AAB49-08EF-4B6D-BE99-4BA5CB241417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4F397F8F-EEA6-473D-8232-2C265E4949C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30D1426A-1787-4A82-B783-4BDA5568D63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BF0FC5ED-36A4-4C7F-A145-90476382004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1D0092E2-2A43-4F09-9D7F-4C212E8FEB85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8" name="TextBox 887" hidden="1">
          <a:extLst>
            <a:ext uri="{FF2B5EF4-FFF2-40B4-BE49-F238E27FC236}">
              <a16:creationId xmlns:a16="http://schemas.microsoft.com/office/drawing/2014/main" id="{DF32B7AA-E2ED-475A-B848-8972EEC1525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89" name="TextBox 888" hidden="1">
          <a:extLst>
            <a:ext uri="{FF2B5EF4-FFF2-40B4-BE49-F238E27FC236}">
              <a16:creationId xmlns:a16="http://schemas.microsoft.com/office/drawing/2014/main" id="{2C475515-020B-404A-89B3-BDB3273DAC0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0" name="TextBox 889" hidden="1">
          <a:extLst>
            <a:ext uri="{FF2B5EF4-FFF2-40B4-BE49-F238E27FC236}">
              <a16:creationId xmlns:a16="http://schemas.microsoft.com/office/drawing/2014/main" id="{5018C409-2636-44B8-9643-261BD2DB8B9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1" name="TextBox 890" hidden="1">
          <a:extLst>
            <a:ext uri="{FF2B5EF4-FFF2-40B4-BE49-F238E27FC236}">
              <a16:creationId xmlns:a16="http://schemas.microsoft.com/office/drawing/2014/main" id="{17BC4E76-D172-4668-B832-464BA97A06E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2" name="TextBox 891" hidden="1">
          <a:extLst>
            <a:ext uri="{FF2B5EF4-FFF2-40B4-BE49-F238E27FC236}">
              <a16:creationId xmlns:a16="http://schemas.microsoft.com/office/drawing/2014/main" id="{83B91BA4-2513-4B04-8671-AF350D0CDDC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3" name="TextBox 892" hidden="1">
          <a:extLst>
            <a:ext uri="{FF2B5EF4-FFF2-40B4-BE49-F238E27FC236}">
              <a16:creationId xmlns:a16="http://schemas.microsoft.com/office/drawing/2014/main" id="{D67E3A21-D40D-4623-A0D9-427C2092EE78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4" name="TextBox 893" hidden="1">
          <a:extLst>
            <a:ext uri="{FF2B5EF4-FFF2-40B4-BE49-F238E27FC236}">
              <a16:creationId xmlns:a16="http://schemas.microsoft.com/office/drawing/2014/main" id="{D1E2196B-5E43-49AD-9518-EC3E2D2B86CC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5" name="TextBox 894" hidden="1">
          <a:extLst>
            <a:ext uri="{FF2B5EF4-FFF2-40B4-BE49-F238E27FC236}">
              <a16:creationId xmlns:a16="http://schemas.microsoft.com/office/drawing/2014/main" id="{8846F449-D7AF-48FD-A8DB-35D82B1539B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90F3CA75-14BA-48F9-A721-D619C4008A60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E6CFF50-0730-4D7C-B47B-D57808CD7708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D837902F-FD04-4F4A-BD9B-6C9358FCB26C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A8B6A7E0-355F-4315-BD64-EA087057241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DD88DBF6-45DF-4977-9517-F9CBFB52A820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68AA3ADE-2AD0-44C7-8A0B-40508175BBB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CE3CD630-3704-43A9-9388-93D10B40CAD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82001B7D-AEA6-40F2-BCFC-EF9758C4DC3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EDE6289A-A9A2-4DAF-9780-817CF2EC76C5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854F5DCB-EB4D-44AA-A9F6-8EE7913F4597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5EAD8A83-CA61-496E-A304-BCD95099B179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74DC0EB8-1B0A-45DB-90B1-FEFB9A00A80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1D6FFF0B-C876-485B-8BD6-3B614A94C88C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4088458D-C042-4EEB-AF52-7715E92C5BC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A35930A-792D-41BC-85DD-2DB4FECAE5AA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14B58457-4188-4953-A291-0610344A40C6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884C140E-4805-4908-B6DB-8FECB815AA61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32AAF00F-0D5D-4E34-9715-50FA122A69B8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4A04915-8AF1-4433-A642-3F60B78A5E64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43F41D90-71B2-4807-BDFA-100A200C365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6" name="TextBox 915" hidden="1">
          <a:extLst>
            <a:ext uri="{FF2B5EF4-FFF2-40B4-BE49-F238E27FC236}">
              <a16:creationId xmlns:a16="http://schemas.microsoft.com/office/drawing/2014/main" id="{BFF05806-B64E-417B-900D-F43AA5207B0D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17" name="TextBox 916" hidden="1">
          <a:extLst>
            <a:ext uri="{FF2B5EF4-FFF2-40B4-BE49-F238E27FC236}">
              <a16:creationId xmlns:a16="http://schemas.microsoft.com/office/drawing/2014/main" id="{17664130-10B2-4CDF-97C3-B0408567057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18" name="TextBox 917" hidden="1">
          <a:extLst>
            <a:ext uri="{FF2B5EF4-FFF2-40B4-BE49-F238E27FC236}">
              <a16:creationId xmlns:a16="http://schemas.microsoft.com/office/drawing/2014/main" id="{462FFA2B-D7AE-44BE-9991-269253EEB8A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19" name="TextBox 918" hidden="1">
          <a:extLst>
            <a:ext uri="{FF2B5EF4-FFF2-40B4-BE49-F238E27FC236}">
              <a16:creationId xmlns:a16="http://schemas.microsoft.com/office/drawing/2014/main" id="{E4D33ABC-343E-42BD-9C29-54FEB4B3DDB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20" name="TextBox 919" hidden="1">
          <a:extLst>
            <a:ext uri="{FF2B5EF4-FFF2-40B4-BE49-F238E27FC236}">
              <a16:creationId xmlns:a16="http://schemas.microsoft.com/office/drawing/2014/main" id="{566A5862-B1C1-4123-BA5A-895CEACF0BA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21" name="TextBox 920" hidden="1">
          <a:extLst>
            <a:ext uri="{FF2B5EF4-FFF2-40B4-BE49-F238E27FC236}">
              <a16:creationId xmlns:a16="http://schemas.microsoft.com/office/drawing/2014/main" id="{24964A64-5FFD-4B2F-9B8A-2DE302D4CDE6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22" name="TextBox 921" hidden="1">
          <a:extLst>
            <a:ext uri="{FF2B5EF4-FFF2-40B4-BE49-F238E27FC236}">
              <a16:creationId xmlns:a16="http://schemas.microsoft.com/office/drawing/2014/main" id="{86499EBF-E40F-4F43-8FA1-B4B9C0EE9B0B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23" name="TextBox 922" hidden="1">
          <a:extLst>
            <a:ext uri="{FF2B5EF4-FFF2-40B4-BE49-F238E27FC236}">
              <a16:creationId xmlns:a16="http://schemas.microsoft.com/office/drawing/2014/main" id="{7A8A8A69-1A7A-42D9-8570-4D3BF3781E89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EA2898A-2813-4C34-8D0F-A87F025F8611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8B71002F-C670-45CB-9993-09217A1976AC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B885C8C5-3623-49CE-87DA-86EF86FBB1D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CC4E9033-2AA0-4FC0-ACCF-1908D5EA10DC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9A449C8-902B-476C-B1B4-569E736DD04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1580B38-0315-4EBA-B183-38B960A30A56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C923BC54-5D19-4553-8958-547CFF9A6CD9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5D324135-52E6-4766-A8E7-5C3CCE5549CC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27BCF2B7-6927-420E-8F80-D94DF8620A91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8B9C54D4-1347-44E6-A83B-2D15F5DC6C26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C5B647FE-4AAD-432F-8230-CB9D9ED4CE0E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7BA488F-6556-49F0-8EA7-FF2AF8A418FE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6760CB60-B177-4C2D-9089-9DB47E01838F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0DA78F59-0232-4F3D-B09E-E4A2F5D997AC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8D0A160D-D389-47B0-86D6-2C79B1322EF2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15B08D72-F4D1-4BA4-811B-17A51ECA298D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F63E1BF5-8A2C-40BB-9DEC-93DD76D436C7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9A1AE884-219D-4F4A-958D-5CC2B8CBE7DF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1A24E875-C2ED-41D8-A7F6-FF4346190D9B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FEA4400B-FE3F-40D2-9258-D51DFC249A5E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1000" name="TextBox 999" hidden="1">
          <a:extLst>
            <a:ext uri="{FF2B5EF4-FFF2-40B4-BE49-F238E27FC236}">
              <a16:creationId xmlns:a16="http://schemas.microsoft.com/office/drawing/2014/main" id="{DD1F8783-7E98-4D75-865B-70079E8C3883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1304</xdr:row>
      <xdr:rowOff>0</xdr:rowOff>
    </xdr:from>
    <xdr:ext cx="65" cy="172227"/>
    <xdr:sp macro="" textlink="">
      <xdr:nvSpPr>
        <xdr:cNvPr id="1001" name="TextBox 1000" hidden="1">
          <a:extLst>
            <a:ext uri="{FF2B5EF4-FFF2-40B4-BE49-F238E27FC236}">
              <a16:creationId xmlns:a16="http://schemas.microsoft.com/office/drawing/2014/main" id="{33F3B71B-75AC-492A-AE97-2D953A5ABE22}"/>
            </a:ext>
          </a:extLst>
        </xdr:cNvPr>
        <xdr:cNvSpPr txBox="1"/>
      </xdr:nvSpPr>
      <xdr:spPr>
        <a:xfrm>
          <a:off x="6889296" y="15486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2" name="TextBox 1001" hidden="1">
          <a:extLst>
            <a:ext uri="{FF2B5EF4-FFF2-40B4-BE49-F238E27FC236}">
              <a16:creationId xmlns:a16="http://schemas.microsoft.com/office/drawing/2014/main" id="{811BC6E2-98C2-4850-ADE9-A0AF19916B7C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3" name="TextBox 1002" hidden="1">
          <a:extLst>
            <a:ext uri="{FF2B5EF4-FFF2-40B4-BE49-F238E27FC236}">
              <a16:creationId xmlns:a16="http://schemas.microsoft.com/office/drawing/2014/main" id="{4A2C2067-3838-4C46-9B5C-DCF8457CE51D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4" name="TextBox 1003" hidden="1">
          <a:extLst>
            <a:ext uri="{FF2B5EF4-FFF2-40B4-BE49-F238E27FC236}">
              <a16:creationId xmlns:a16="http://schemas.microsoft.com/office/drawing/2014/main" id="{7089C03C-0768-4B46-94D0-83CF7BBD69FE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5" name="TextBox 1004" hidden="1">
          <a:extLst>
            <a:ext uri="{FF2B5EF4-FFF2-40B4-BE49-F238E27FC236}">
              <a16:creationId xmlns:a16="http://schemas.microsoft.com/office/drawing/2014/main" id="{90EBDE9B-95D9-4652-B267-2797DA444C03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6" name="TextBox 1005" hidden="1">
          <a:extLst>
            <a:ext uri="{FF2B5EF4-FFF2-40B4-BE49-F238E27FC236}">
              <a16:creationId xmlns:a16="http://schemas.microsoft.com/office/drawing/2014/main" id="{FBB721A9-0970-4ECA-8210-34AAA60D930C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7" name="TextBox 1006" hidden="1">
          <a:extLst>
            <a:ext uri="{FF2B5EF4-FFF2-40B4-BE49-F238E27FC236}">
              <a16:creationId xmlns:a16="http://schemas.microsoft.com/office/drawing/2014/main" id="{F192D8EC-36C8-47E3-9781-2C070E287686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2C7C9F7F-1A95-4837-BFD5-9D1A445CCBF4}"/>
            </a:ext>
          </a:extLst>
        </xdr:cNvPr>
        <xdr:cNvSpPr txBox="1"/>
      </xdr:nvSpPr>
      <xdr:spPr>
        <a:xfrm>
          <a:off x="6889296" y="15875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4</xdr:col>
      <xdr:colOff>3060246</xdr:colOff>
      <xdr:row>1323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CEE80A9F-6F93-416E-A9F9-AFB9F2385DB1}"/>
            </a:ext>
          </a:extLst>
        </xdr:cNvPr>
        <xdr:cNvSpPr txBox="1"/>
      </xdr:nvSpPr>
      <xdr:spPr>
        <a:xfrm>
          <a:off x="6889296" y="15921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no\popka\CIVIL%20rev0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zis\amerada%20hess\P%20R%20O%20J%20E%20C%20T\KoDeCo\KoDeCo%20KE%2040\KE%2040%20Detail%20Engineering\MECH\D%20S\Rev%20A\Chemical%20Injection%20Pump%20(P-408%20A-B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anang%20Kw\Local%20Settings\Temporary%20Internet%20Files\OLK94\PBP%20-%20Paket%20Engineering%20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yoso\project$\Data-Lama\Data%20Lama\DATA%20YAYU'\Project\BASF\no%20link%20files\DC%20civ%20BASF%20unvalu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i_f\bio-nusa\Revisi-2\Bionusa-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yoso\project$\Retno-PROPOSAL\Oil%20&amp;%20Gas\caltex\caltex-4-jan\caltex-civil-4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no\popka\Retno-PROPOSAL\Chemical%20&amp;%20P\popka\CIVI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INEERING-SVR\Project\PTRE%20PROJECT\PROJECT%20IN%20PROGRESS%202011\(08-2305)%20TOTAL\2%20-%20Revamping\3%20-%20MDR\Revamping\B-BPN-001-MDR_01.Rev.0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h\electrical\ELECTRIC\FEED\G-CABSCH\CBL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yoso\project$\Data-Lama\Data%20Lama\DATA%20YAYU'\Project\Amoco\civil\BQ-Civi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yoso\project$\DATA%20YAYU'\DATABASE\Architectural\Architectural%20Data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yoso\project$\Data-Lama\Data%20Lama\DATA%20YAYU'\Project\Balongan\DB\DC%20Civil%20Balongan%20unvalu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Data%20D\Proposal_Project\2009-2010\Proposal\7%20Bioethanol%20Sago%20tracon\Sampoerna_1st%20stage_Electr%20re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posal-Dieng\Proposal\Pricing\Form-05A%20&amp;%2005B%20Service%20and%20Other%20Cost%20-%20SGS%20PLTP%20Die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Tower%20Data\KEC%20India\Sitedelivery\6m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hri\proposal\Dumai\M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02\J9175%20FEED%20-%20Kerisi\05%20Design%20Documents\Process\calculations\Equipment%20Sizing\Kerisi-CPP\43MBF-050\84507-4743-OJ-002%20MP%20Flare%20KO%20Drum%20Rev%20A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anang%20Kw/Local%20Settings/Temporary%20Internet%20Files/OLK94/PBP%20-%20Paket%20Engineering%20Mode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/CHECKOUT/DATA/USE_DTA12141_53_/GRT_DDCL(Including%20PP)_Latest_d-090000018613d8d9_48c1-m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%20D/Proposal_Project/2009-2010/Proposal/7%20Bioethanol%20Sago%20tracon/Sampoerna_1st%20stage_Electr%20rev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roposal-Dieng/Proposal/Pricing/Form-05A%20&amp;%2005B%20Service%20and%20Other%20Cost%20-%20SGS%20PLTP%20Die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Summary DC"/>
      <sheetName val="Summary Civil"/>
      <sheetName val="Breakdown Cost"/>
      <sheetName val="Labor"/>
      <sheetName val="Equipment"/>
      <sheetName val="Mob-Demob"/>
      <sheetName val="Tools&amp;Consum"/>
      <sheetName val="Work Rate Analysis"/>
      <sheetName val="Mat. Unit Analysis"/>
      <sheetName val="Basic Price"/>
      <sheetName val="공정율 기초 Data"/>
      <sheetName val="#REF"/>
    </sheetNames>
    <sheetDataSet>
      <sheetData sheetId="0" refreshError="1"/>
      <sheetData sheetId="1" refreshError="1"/>
      <sheetData sheetId="2"/>
      <sheetData sheetId="3"/>
      <sheetData sheetId="4"/>
      <sheetData sheetId="5" refreshError="1">
        <row r="54">
          <cell r="V54">
            <v>9809.5049388115676</v>
          </cell>
        </row>
        <row r="55">
          <cell r="V55">
            <v>100.44069504877343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5"/>
      <sheetName val="page 6"/>
      <sheetName val="Vw insulation pipe"/>
      <sheetName val="예가표"/>
      <sheetName val="Breakdown"/>
      <sheetName val="N.B Forecast"/>
      <sheetName val="Validation Lists"/>
      <sheetName val="NEWDRAW"/>
      <sheetName val="Inc DHI"/>
      <sheetName val="Out DHI"/>
      <sheetName val="Transmittal Register"/>
      <sheetName val="Code"/>
      <sheetName val="Register"/>
      <sheetName val="DDCL(DHI)"/>
      <sheetName val="Summary HK"/>
      <sheetName val="Summary DHI"/>
      <sheetName val="Changing"/>
      <sheetName val="Sheet2"/>
      <sheetName val="drm 5"/>
      <sheetName val="Sheet2 (2)"/>
      <sheetName val="BP Labor"/>
      <sheetName val="예산M12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. Engineering"/>
      <sheetName val="2.6. ManPower Loading"/>
      <sheetName val="3. Monthly rate"/>
      <sheetName val="4.1. Summary"/>
      <sheetName val="4.2. Engineering"/>
      <sheetName val="4.7. Site Office - Operation"/>
      <sheetName val="4.8. Site Off - Travellling"/>
      <sheetName val="4.10. Software &amp; Computer"/>
      <sheetName val="ITEM-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"/>
      <sheetName val="MP2"/>
      <sheetName val="eqp't2"/>
      <sheetName val="mtrl"/>
      <sheetName val="Sheet1"/>
      <sheetName val="MP"/>
      <sheetName val="EQP "/>
      <sheetName val="3. Monthly rate"/>
      <sheetName val="#3E1_G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eptic"/>
      <sheetName val="Fence"/>
      <sheetName val="Exterior"/>
      <sheetName val="Musholla"/>
      <sheetName val="Bike"/>
      <sheetName val="Canteen"/>
      <sheetName val="Gardu"/>
      <sheetName val="Guard"/>
      <sheetName val="Fact"/>
      <sheetName val="Prep"/>
      <sheetName val="arch"/>
      <sheetName val="Civil"/>
      <sheetName val="MP"/>
      <sheetName val="EQP "/>
      <sheetName val="Matr'l"/>
      <sheetName val="Basic Price "/>
      <sheetName val="unitrate"/>
      <sheetName val="prod.2"/>
      <sheetName val="rate"/>
      <sheetName val="analisis"/>
      <sheetName val="RFP007"/>
      <sheetName val="RFP006"/>
      <sheetName val="RFP005"/>
      <sheetName val="RFP009"/>
      <sheetName val="csdim"/>
      <sheetName val="cdsload"/>
      <sheetName val="chsload"/>
      <sheetName val="CLAMP"/>
      <sheetName val="cvsload"/>
      <sheetName val="pi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2">
          <cell r="K62">
            <v>1072170</v>
          </cell>
        </row>
        <row r="63">
          <cell r="K63">
            <v>1072170</v>
          </cell>
        </row>
        <row r="93">
          <cell r="K93">
            <v>21920000</v>
          </cell>
        </row>
      </sheetData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caltex"/>
      <sheetName val="sum-form-retno"/>
      <sheetName val="Summary DC"/>
      <sheetName val="break-dwn-total"/>
      <sheetName val="labor"/>
      <sheetName val="sch-inong"/>
      <sheetName val="new-schedule"/>
      <sheetName val="eqp-rek"/>
      <sheetName val="Mob-Demob"/>
      <sheetName val="Tools&amp;Consum"/>
      <sheetName val="Work Rate Analysis"/>
      <sheetName val="Mat. Unit Analysis"/>
      <sheetName val="prod-Rek"/>
      <sheetName val="sum-prod-eqp"/>
      <sheetName val="prod-inong"/>
      <sheetName val="VENDOR"/>
      <sheetName val="Temporary"/>
      <sheetName val="mat-list"/>
      <sheetName val="general work"/>
      <sheetName val="TAB-PILE"/>
      <sheetName val="Basic Price"/>
      <sheetName val="카메라"/>
      <sheetName val="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Z17">
            <v>143750</v>
          </cell>
        </row>
        <row r="18">
          <cell r="Z18">
            <v>103750</v>
          </cell>
        </row>
        <row r="19">
          <cell r="Z19">
            <v>96000</v>
          </cell>
        </row>
        <row r="20">
          <cell r="Z20">
            <v>96000</v>
          </cell>
        </row>
        <row r="22">
          <cell r="Z22">
            <v>32750</v>
          </cell>
        </row>
        <row r="23">
          <cell r="Z23">
            <v>32750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DC"/>
      <sheetName val="Summary Civil"/>
      <sheetName val="Breakdown Cost"/>
      <sheetName val="Breakdown Cost (mats)"/>
      <sheetName val="Labor"/>
      <sheetName val="Equipment"/>
      <sheetName val="Mob-Demob"/>
      <sheetName val="Tools&amp;Consum"/>
      <sheetName val="Work Rate Analysis"/>
      <sheetName val="Mat. Unit Analysis"/>
      <sheetName val="Basic Price"/>
      <sheetName val="eqp-rek"/>
      <sheetName val="ANALYSER"/>
      <sheetName val="FWBS7000,8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2">
          <cell r="V52">
            <v>267.33224456470811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able"/>
      <sheetName val="Config"/>
      <sheetName val="Conversions"/>
      <sheetName val="견적환율"/>
    </sheetNames>
    <sheetDataSet>
      <sheetData sheetId="0" refreshError="1"/>
      <sheetData sheetId="1">
        <row r="54">
          <cell r="C54" t="str">
            <v>ID</v>
          </cell>
          <cell r="D54" t="str">
            <v>ALL</v>
          </cell>
          <cell r="F54" t="str">
            <v>ALL</v>
          </cell>
        </row>
        <row r="55">
          <cell r="D55" t="str">
            <v>BKP</v>
          </cell>
          <cell r="F55" t="str">
            <v>SOME</v>
          </cell>
        </row>
        <row r="56">
          <cell r="D56" t="str">
            <v>BPN</v>
          </cell>
          <cell r="F56" t="str">
            <v>LQP</v>
          </cell>
        </row>
        <row r="57">
          <cell r="D57" t="str">
            <v>HDL</v>
          </cell>
          <cell r="F57" t="str">
            <v>PP</v>
          </cell>
        </row>
        <row r="58">
          <cell r="D58" t="str">
            <v>PCK</v>
          </cell>
          <cell r="F58" t="str">
            <v>MWPBA</v>
          </cell>
        </row>
        <row r="59">
          <cell r="D59" t="str">
            <v>SMK</v>
          </cell>
          <cell r="F59" t="str">
            <v>MWPBB</v>
          </cell>
        </row>
        <row r="60">
          <cell r="D60" t="str">
            <v>SNB</v>
          </cell>
          <cell r="F60" t="str">
            <v>MWPBC</v>
          </cell>
        </row>
        <row r="61">
          <cell r="D61" t="str">
            <v>SNP</v>
          </cell>
          <cell r="F61" t="str">
            <v>MWPBE</v>
          </cell>
        </row>
        <row r="62">
          <cell r="D62" t="str">
            <v>SPU</v>
          </cell>
          <cell r="F62" t="str">
            <v>MWPBF</v>
          </cell>
        </row>
        <row r="63">
          <cell r="D63" t="str">
            <v>TNR</v>
          </cell>
          <cell r="F63" t="str">
            <v>MWPBG</v>
          </cell>
        </row>
        <row r="64">
          <cell r="D64" t="str">
            <v>TTN</v>
          </cell>
          <cell r="F64" t="str">
            <v>MWPBH</v>
          </cell>
        </row>
        <row r="65">
          <cell r="F65" t="str">
            <v>MWPBJ</v>
          </cell>
        </row>
        <row r="66">
          <cell r="F66" t="str">
            <v>MWPBK</v>
          </cell>
        </row>
        <row r="67">
          <cell r="F67" t="str">
            <v>MWPBL</v>
          </cell>
        </row>
        <row r="68">
          <cell r="F68" t="str">
            <v>MWPBN</v>
          </cell>
        </row>
        <row r="69">
          <cell r="F69" t="str">
            <v>PPA</v>
          </cell>
        </row>
        <row r="70">
          <cell r="F70" t="str">
            <v>MWPA</v>
          </cell>
        </row>
        <row r="71">
          <cell r="F71" t="str">
            <v>MWPB</v>
          </cell>
        </row>
        <row r="72">
          <cell r="F72" t="str">
            <v>MWPC</v>
          </cell>
        </row>
        <row r="73">
          <cell r="F73" t="str">
            <v>SWPG</v>
          </cell>
        </row>
        <row r="74">
          <cell r="F74" t="str">
            <v>SWPK</v>
          </cell>
        </row>
        <row r="75">
          <cell r="F75" t="str">
            <v>SWPE</v>
          </cell>
        </row>
        <row r="76">
          <cell r="F76" t="str">
            <v>SWPF</v>
          </cell>
        </row>
        <row r="77">
          <cell r="F77" t="str">
            <v>PCKTP</v>
          </cell>
        </row>
        <row r="78">
          <cell r="F78" t="str">
            <v>CAMP</v>
          </cell>
        </row>
        <row r="79">
          <cell r="F79" t="str">
            <v>TPA</v>
          </cell>
        </row>
        <row r="80">
          <cell r="F80" t="str">
            <v>TLA</v>
          </cell>
        </row>
        <row r="81">
          <cell r="F81" t="str">
            <v>SNPTP</v>
          </cell>
        </row>
        <row r="82">
          <cell r="F82" t="str">
            <v>CSU</v>
          </cell>
        </row>
        <row r="83">
          <cell r="F83" t="str">
            <v>SBM</v>
          </cell>
        </row>
        <row r="84">
          <cell r="F84" t="str">
            <v>BASE</v>
          </cell>
        </row>
        <row r="85">
          <cell r="F85" t="str">
            <v>CPA</v>
          </cell>
        </row>
        <row r="86">
          <cell r="F86" t="str">
            <v>HGL</v>
          </cell>
        </row>
        <row r="87">
          <cell r="F87" t="str">
            <v>EOR</v>
          </cell>
        </row>
        <row r="88">
          <cell r="F88" t="str">
            <v>IV</v>
          </cell>
        </row>
        <row r="89">
          <cell r="F89" t="str">
            <v>M1</v>
          </cell>
        </row>
        <row r="90">
          <cell r="F90" t="str">
            <v>M1HA</v>
          </cell>
        </row>
        <row r="91">
          <cell r="F91" t="str">
            <v>M1HAA</v>
          </cell>
        </row>
        <row r="92">
          <cell r="F92" t="str">
            <v>M1HAB</v>
          </cell>
        </row>
        <row r="93">
          <cell r="F93" t="str">
            <v>M1HCB</v>
          </cell>
        </row>
        <row r="94">
          <cell r="F94" t="str">
            <v>M1HD</v>
          </cell>
        </row>
        <row r="95">
          <cell r="F95" t="str">
            <v>M1HDA</v>
          </cell>
        </row>
        <row r="96">
          <cell r="F96" t="str">
            <v>M1HE</v>
          </cell>
        </row>
        <row r="97">
          <cell r="F97" t="str">
            <v>M1HEA</v>
          </cell>
        </row>
        <row r="98">
          <cell r="F98" t="str">
            <v>M1HEB</v>
          </cell>
        </row>
        <row r="99">
          <cell r="F99" t="str">
            <v>M1HG</v>
          </cell>
        </row>
        <row r="100">
          <cell r="F100" t="str">
            <v>M1HGA</v>
          </cell>
        </row>
        <row r="101">
          <cell r="F101" t="str">
            <v>M1HGB</v>
          </cell>
        </row>
        <row r="102">
          <cell r="F102" t="str">
            <v>M1HGC</v>
          </cell>
        </row>
        <row r="103">
          <cell r="F103" t="str">
            <v>M1HGD</v>
          </cell>
        </row>
        <row r="104">
          <cell r="F104" t="str">
            <v>M1HJ</v>
          </cell>
        </row>
        <row r="105">
          <cell r="F105" t="str">
            <v>M1HK</v>
          </cell>
        </row>
        <row r="106">
          <cell r="F106" t="str">
            <v>M1HKA</v>
          </cell>
        </row>
        <row r="107">
          <cell r="F107" t="str">
            <v>M1HV</v>
          </cell>
        </row>
        <row r="108">
          <cell r="F108" t="str">
            <v>M1HVA</v>
          </cell>
        </row>
        <row r="109">
          <cell r="F109" t="str">
            <v>M1HVB</v>
          </cell>
        </row>
        <row r="110">
          <cell r="F110" t="str">
            <v>M1HVC</v>
          </cell>
        </row>
        <row r="111">
          <cell r="F111" t="str">
            <v>M1HX</v>
          </cell>
        </row>
        <row r="112">
          <cell r="F112" t="str">
            <v>M1HXA</v>
          </cell>
        </row>
        <row r="113">
          <cell r="F113" t="str">
            <v>M1HZ</v>
          </cell>
        </row>
        <row r="114">
          <cell r="F114" t="str">
            <v>M1HZA</v>
          </cell>
        </row>
        <row r="115">
          <cell r="F115" t="str">
            <v>M1HZB</v>
          </cell>
        </row>
        <row r="116">
          <cell r="F116" t="str">
            <v>M1HZC</v>
          </cell>
        </row>
        <row r="117">
          <cell r="F117" t="str">
            <v>M1HZD</v>
          </cell>
        </row>
        <row r="118">
          <cell r="F118" t="str">
            <v>M2</v>
          </cell>
        </row>
        <row r="119">
          <cell r="F119" t="str">
            <v>M2HB</v>
          </cell>
        </row>
        <row r="120">
          <cell r="F120" t="str">
            <v>M2HBA</v>
          </cell>
        </row>
        <row r="121">
          <cell r="F121" t="str">
            <v>M2HF</v>
          </cell>
        </row>
        <row r="122">
          <cell r="F122" t="str">
            <v>M2HH</v>
          </cell>
        </row>
        <row r="123">
          <cell r="F123" t="str">
            <v>M2HHA</v>
          </cell>
        </row>
        <row r="124">
          <cell r="F124" t="str">
            <v>M2HI</v>
          </cell>
        </row>
        <row r="125">
          <cell r="F125" t="str">
            <v>M2HM</v>
          </cell>
        </row>
        <row r="126">
          <cell r="F126" t="str">
            <v>M2HP</v>
          </cell>
        </row>
        <row r="127">
          <cell r="F127" t="str">
            <v>M2HPA</v>
          </cell>
        </row>
        <row r="128">
          <cell r="F128" t="str">
            <v>M2HQ</v>
          </cell>
        </row>
        <row r="129">
          <cell r="F129" t="str">
            <v>M2HQA</v>
          </cell>
        </row>
        <row r="130">
          <cell r="F130" t="str">
            <v>M2HR</v>
          </cell>
        </row>
        <row r="131">
          <cell r="F131" t="str">
            <v>M2HRA</v>
          </cell>
        </row>
        <row r="132">
          <cell r="F132" t="str">
            <v>M2HRB</v>
          </cell>
        </row>
        <row r="133">
          <cell r="F133" t="str">
            <v>M2HS</v>
          </cell>
        </row>
        <row r="134">
          <cell r="F134" t="str">
            <v>M2HSA</v>
          </cell>
        </row>
        <row r="135">
          <cell r="F135" t="str">
            <v>M3</v>
          </cell>
        </row>
        <row r="136">
          <cell r="F136" t="str">
            <v>M3HC</v>
          </cell>
        </row>
        <row r="137">
          <cell r="F137" t="str">
            <v>M3HCA</v>
          </cell>
        </row>
        <row r="138">
          <cell r="F138" t="str">
            <v>M3HCB</v>
          </cell>
        </row>
        <row r="139">
          <cell r="F139" t="str">
            <v>M3HFA</v>
          </cell>
        </row>
        <row r="140">
          <cell r="F140" t="str">
            <v>M3HHB</v>
          </cell>
        </row>
        <row r="141">
          <cell r="F141" t="str">
            <v>M3HHC</v>
          </cell>
        </row>
        <row r="142">
          <cell r="F142" t="str">
            <v>M3HL</v>
          </cell>
        </row>
        <row r="143">
          <cell r="F143" t="str">
            <v>M3HLA</v>
          </cell>
        </row>
        <row r="144">
          <cell r="F144" t="str">
            <v>M3HLB</v>
          </cell>
        </row>
        <row r="145">
          <cell r="F145" t="str">
            <v>M3HN</v>
          </cell>
        </row>
        <row r="146">
          <cell r="F146" t="str">
            <v>M3HO</v>
          </cell>
        </row>
        <row r="147">
          <cell r="F147" t="str">
            <v>M3HOA</v>
          </cell>
        </row>
        <row r="148">
          <cell r="F148" t="str">
            <v>M3HT</v>
          </cell>
        </row>
        <row r="149">
          <cell r="F149" t="str">
            <v>M3HTB</v>
          </cell>
        </row>
        <row r="150">
          <cell r="F150" t="str">
            <v>M3HTC</v>
          </cell>
        </row>
        <row r="151">
          <cell r="F151" t="str">
            <v>M3HU</v>
          </cell>
        </row>
        <row r="152">
          <cell r="F152" t="str">
            <v>M3HW</v>
          </cell>
        </row>
        <row r="153">
          <cell r="F153" t="str">
            <v>M3HY</v>
          </cell>
        </row>
        <row r="154">
          <cell r="F154" t="str">
            <v>M3HYA</v>
          </cell>
        </row>
        <row r="155">
          <cell r="F155" t="str">
            <v>M3HYB</v>
          </cell>
        </row>
        <row r="156">
          <cell r="F156" t="str">
            <v>HDLTP</v>
          </cell>
        </row>
        <row r="157">
          <cell r="F157" t="str">
            <v>CPU1</v>
          </cell>
        </row>
        <row r="158">
          <cell r="F158" t="str">
            <v>CPU2</v>
          </cell>
        </row>
        <row r="159">
          <cell r="F159" t="str">
            <v>GTS1</v>
          </cell>
        </row>
        <row r="160">
          <cell r="F160" t="str">
            <v>GTS2</v>
          </cell>
        </row>
        <row r="161">
          <cell r="F161" t="str">
            <v>GTS2X</v>
          </cell>
        </row>
        <row r="162">
          <cell r="F162" t="str">
            <v>GTS3</v>
          </cell>
        </row>
        <row r="163">
          <cell r="F163" t="str">
            <v>GTS4</v>
          </cell>
        </row>
        <row r="164">
          <cell r="F164" t="str">
            <v>NCB</v>
          </cell>
        </row>
        <row r="165">
          <cell r="F165" t="str">
            <v>OWT</v>
          </cell>
        </row>
        <row r="166">
          <cell r="F166" t="str">
            <v>PK41</v>
          </cell>
        </row>
        <row r="167">
          <cell r="F167" t="str">
            <v>PK52</v>
          </cell>
        </row>
        <row r="168">
          <cell r="F168" t="str">
            <v>PK64</v>
          </cell>
        </row>
        <row r="169">
          <cell r="F169" t="str">
            <v>STP1</v>
          </cell>
        </row>
        <row r="170">
          <cell r="F170" t="str">
            <v>STP2</v>
          </cell>
        </row>
        <row r="171">
          <cell r="F171" t="str">
            <v>STP3</v>
          </cell>
        </row>
        <row r="172">
          <cell r="F172" t="str">
            <v>TCP</v>
          </cell>
        </row>
        <row r="173">
          <cell r="F173" t="str">
            <v>TTNTP</v>
          </cell>
        </row>
        <row r="174">
          <cell r="F174" t="str">
            <v>TRF</v>
          </cell>
        </row>
        <row r="175">
          <cell r="F175" t="str">
            <v>GTSA</v>
          </cell>
        </row>
        <row r="176">
          <cell r="F176" t="str">
            <v>GTSAA</v>
          </cell>
        </row>
        <row r="177">
          <cell r="F177" t="str">
            <v>GTSAC</v>
          </cell>
        </row>
        <row r="178">
          <cell r="F178" t="str">
            <v>GTSAX</v>
          </cell>
        </row>
        <row r="179">
          <cell r="F179" t="str">
            <v>GTSB</v>
          </cell>
        </row>
        <row r="180">
          <cell r="F180" t="str">
            <v>GTSBX</v>
          </cell>
        </row>
        <row r="181">
          <cell r="F181" t="str">
            <v>GTSC</v>
          </cell>
        </row>
        <row r="182">
          <cell r="F182" t="str">
            <v>GTSD</v>
          </cell>
        </row>
        <row r="183">
          <cell r="F183" t="str">
            <v>GTSDX</v>
          </cell>
        </row>
        <row r="184">
          <cell r="F184" t="str">
            <v>GTSE</v>
          </cell>
        </row>
        <row r="185">
          <cell r="F185" t="str">
            <v>GTSF</v>
          </cell>
        </row>
        <row r="186">
          <cell r="F186" t="str">
            <v>GTSFX</v>
          </cell>
        </row>
        <row r="187">
          <cell r="F187" t="str">
            <v>GTSG</v>
          </cell>
        </row>
        <row r="188">
          <cell r="F188" t="str">
            <v>GTSGX</v>
          </cell>
        </row>
        <row r="189">
          <cell r="F189" t="str">
            <v>GTSH</v>
          </cell>
        </row>
        <row r="190">
          <cell r="F190" t="str">
            <v>GTSJ</v>
          </cell>
        </row>
        <row r="191">
          <cell r="F191" t="str">
            <v>GTSR</v>
          </cell>
        </row>
        <row r="192">
          <cell r="F192" t="str">
            <v>GTSS</v>
          </cell>
        </row>
        <row r="193">
          <cell r="F193" t="str">
            <v>GTST</v>
          </cell>
        </row>
        <row r="194">
          <cell r="F194" t="str">
            <v>GTSX</v>
          </cell>
        </row>
        <row r="195">
          <cell r="F195" t="str">
            <v>SUP</v>
          </cell>
        </row>
        <row r="196">
          <cell r="F196" t="str">
            <v>SMP</v>
          </cell>
        </row>
        <row r="197">
          <cell r="F197" t="str">
            <v>SCP</v>
          </cell>
        </row>
        <row r="198">
          <cell r="F198" t="str">
            <v>TMP</v>
          </cell>
        </row>
        <row r="199">
          <cell r="F199" t="str">
            <v>TMP2</v>
          </cell>
        </row>
        <row r="200">
          <cell r="F200" t="str">
            <v>TMX</v>
          </cell>
        </row>
        <row r="201">
          <cell r="F201" t="str">
            <v>FWP</v>
          </cell>
        </row>
        <row r="202">
          <cell r="F202" t="str">
            <v>GTSI</v>
          </cell>
        </row>
        <row r="203">
          <cell r="F203" t="str">
            <v>GTSIX</v>
          </cell>
        </row>
        <row r="204">
          <cell r="F204" t="str">
            <v>GTSK</v>
          </cell>
        </row>
        <row r="205">
          <cell r="F205" t="str">
            <v>GTSKX</v>
          </cell>
        </row>
        <row r="206">
          <cell r="F206" t="str">
            <v>GTSL</v>
          </cell>
        </row>
        <row r="207">
          <cell r="F207" t="str">
            <v>GTSLX</v>
          </cell>
        </row>
        <row r="208">
          <cell r="F208" t="str">
            <v>GTSM</v>
          </cell>
        </row>
        <row r="209">
          <cell r="F209" t="str">
            <v>GTSMX</v>
          </cell>
        </row>
        <row r="210">
          <cell r="F210" t="str">
            <v>GTSN</v>
          </cell>
        </row>
        <row r="211">
          <cell r="F211" t="str">
            <v>GTSNX</v>
          </cell>
        </row>
        <row r="212">
          <cell r="F212" t="str">
            <v>GTSP</v>
          </cell>
        </row>
        <row r="213">
          <cell r="F213" t="str">
            <v>GTSQ</v>
          </cell>
        </row>
        <row r="214">
          <cell r="F214" t="str">
            <v>GTSY</v>
          </cell>
        </row>
        <row r="215">
          <cell r="F215" t="str">
            <v>GTSM</v>
          </cell>
        </row>
        <row r="216">
          <cell r="F216" t="str">
            <v>NCP</v>
          </cell>
        </row>
        <row r="217">
          <cell r="F217" t="str">
            <v>NCR</v>
          </cell>
        </row>
        <row r="218">
          <cell r="F218" t="str">
            <v>NMP</v>
          </cell>
        </row>
        <row r="219">
          <cell r="F219" t="str">
            <v>NMP2</v>
          </cell>
        </row>
        <row r="220">
          <cell r="F220" t="str">
            <v>NPU</v>
          </cell>
        </row>
        <row r="221">
          <cell r="F221" t="str">
            <v>OFFST</v>
          </cell>
        </row>
        <row r="222">
          <cell r="F222" t="str">
            <v>OWT</v>
          </cell>
        </row>
        <row r="223">
          <cell r="F223" t="str">
            <v>TNRTP</v>
          </cell>
        </row>
        <row r="224">
          <cell r="F224" t="str">
            <v>SNPS</v>
          </cell>
        </row>
        <row r="225">
          <cell r="F225" t="str">
            <v>MWPN</v>
          </cell>
        </row>
        <row r="226">
          <cell r="F226" t="str">
            <v>MWPS</v>
          </cell>
        </row>
        <row r="227">
          <cell r="F227" t="str">
            <v>WPN2</v>
          </cell>
        </row>
        <row r="228">
          <cell r="F228" t="str">
            <v>STU</v>
          </cell>
        </row>
        <row r="229">
          <cell r="F229" t="str">
            <v>WSTU</v>
          </cell>
        </row>
        <row r="230">
          <cell r="F230" t="str">
            <v>EMAN</v>
          </cell>
        </row>
        <row r="231">
          <cell r="F231" t="str">
            <v>SMKTP</v>
          </cell>
        </row>
        <row r="232">
          <cell r="F232" t="str">
            <v>BATAK</v>
          </cell>
        </row>
        <row r="233">
          <cell r="F233" t="str">
            <v>BUGIS</v>
          </cell>
        </row>
        <row r="234">
          <cell r="F234" t="str">
            <v>BUKIT</v>
          </cell>
        </row>
        <row r="235">
          <cell r="F235" t="str">
            <v>KARAN</v>
          </cell>
        </row>
        <row r="236">
          <cell r="F236" t="str">
            <v>OFF-1</v>
          </cell>
        </row>
        <row r="237">
          <cell r="F237" t="str">
            <v>OFF-2</v>
          </cell>
        </row>
        <row r="238">
          <cell r="F238" t="str">
            <v>OFF-3</v>
          </cell>
        </row>
        <row r="239">
          <cell r="F239" t="str">
            <v>SEPIN</v>
          </cell>
        </row>
        <row r="240">
          <cell r="F240" t="str">
            <v>UTARA</v>
          </cell>
        </row>
        <row r="241">
          <cell r="F241" t="str">
            <v>VILAB</v>
          </cell>
        </row>
      </sheetData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LIST"/>
      <sheetName val="CBLLIST"/>
      <sheetName val="BQ 9june08(print)"/>
      <sheetName val="EXPAT 17"/>
      <sheetName val="FLUOR 26"/>
      <sheetName val="NONS 67"/>
      <sheetName val="SO 8"/>
      <sheetName val="STAFF 136"/>
      <sheetName val="Sheet2"/>
      <sheetName val="ASUNSUB1"/>
      <sheetName val="AS1MODD"/>
      <sheetName val="COPPER ACCESS"/>
      <sheetName val="Vehicle"/>
      <sheetName val="AssumptionValue"/>
      <sheetName val="PConsCS"/>
      <sheetName val="dia-in"/>
      <sheetName val="Kota Batak (Plan VS Actual)"/>
      <sheetName val="Eng_Hrs"/>
      <sheetName val="ExcRate"/>
      <sheetName val="Step"/>
      <sheetName val="51-PSV8008L"/>
      <sheetName val="MH RATE"/>
      <sheetName val="MOTOR DATA"/>
      <sheetName val="database-emp"/>
      <sheetName val="GammaEquivalents"/>
      <sheetName val="List of SSR"/>
      <sheetName val="DUTCH CONE"/>
      <sheetName val="Isolasi Luar Dalam"/>
      <sheetName val="Isolasi Luar"/>
      <sheetName val="Break_down"/>
      <sheetName val="GEN"/>
      <sheetName val="Data Base"/>
      <sheetName val="BoQ"/>
      <sheetName val="Coupling"/>
      <sheetName val="Labor"/>
      <sheetName val="NAME"/>
      <sheetName val="eqp-rek"/>
      <sheetName val="Indeks"/>
      <sheetName val="BoQ C4"/>
      <sheetName val="PDMP"/>
      <sheetName val="PCE"/>
      <sheetName val="PRODUK"/>
      <sheetName val="TOOL-ME"/>
      <sheetName val="SILICATE"/>
      <sheetName val="EMS"/>
      <sheetName val="적용환율"/>
      <sheetName val="CBLLIST.XLS"/>
      <sheetName val="TestEquSch OK"/>
      <sheetName val="LIST1"/>
      <sheetName val="Daf-Rek"/>
      <sheetName val="Database"/>
      <sheetName val="SUMMARY"/>
      <sheetName val="Matr'l"/>
    </sheetNames>
    <definedNames>
      <definedName name="ExtractData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FAC"/>
      <sheetName val="DOCUMENT"/>
      <sheetName val="CO2-STRIPPER"/>
      <sheetName val="PUMP"/>
      <sheetName val="BLOWER"/>
      <sheetName val="SUMMARY"/>
      <sheetName val="Brkdn"/>
      <sheetName val="MP"/>
      <sheetName val="Labor Rate"/>
      <sheetName val="EQP'T"/>
      <sheetName val="Equipment"/>
      <sheetName val="Matr'l"/>
      <sheetName val="Basic Price "/>
      <sheetName val="BQ-Civil"/>
      <sheetName val="NEWDRAW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Labor"/>
      <sheetName val="BP mtrl"/>
      <sheetName val="BP eqp't"/>
      <sheetName val="BP tools &amp; cons."/>
      <sheetName val="Analisa"/>
      <sheetName val="An-per-work"/>
      <sheetName val="Resume per-work "/>
      <sheetName val="desc. per work"/>
      <sheetName val="page 6"/>
      <sheetName val="pakg-1"/>
    </sheetNames>
    <sheetDataSet>
      <sheetData sheetId="0" refreshError="1">
        <row r="8">
          <cell r="F8">
            <v>6000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ks"/>
      <sheetName val="Mob-Demob "/>
      <sheetName val="Matr'l"/>
      <sheetName val="Equipment"/>
      <sheetName val="Material"/>
      <sheetName val="Labor Rate"/>
      <sheetName val="MP"/>
      <sheetName val="MPpl"/>
      <sheetName val="Brkdown Civil"/>
      <sheetName val="Brkdown PL"/>
      <sheetName val="Summ"/>
      <sheetName val="Sumfacility"/>
      <sheetName val="Rev.1 "/>
      <sheetName val="pakg-1"/>
      <sheetName val="BM"/>
    </sheetNames>
    <sheetDataSet>
      <sheetData sheetId="0">
        <row r="7">
          <cell r="D7">
            <v>200</v>
          </cell>
        </row>
      </sheetData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List"/>
      <sheetName val="Man Power Plan"/>
      <sheetName val="Sampoerna_1st stage_Electr rev1"/>
    </sheetNames>
    <sheetDataSet>
      <sheetData sheetId="0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ks"/>
      <sheetName val="SUMMARY"/>
      <sheetName val="Form-05A Services"/>
      <sheetName val="Breakdown-ProjMgtServ"/>
      <sheetName val="MP1-ProjMgtSvc"/>
      <sheetName val="Breakdown-EngSvc"/>
      <sheetName val="MP2-EngSvc"/>
      <sheetName val="Breakdown-ProcSvc"/>
      <sheetName val="MP3-ProcSvc"/>
      <sheetName val="Breakdown-ConstrSvc"/>
      <sheetName val="MP4_ConstrSvc"/>
      <sheetName val="Breakdown-CommSvc"/>
      <sheetName val="MP5_CommSvc"/>
      <sheetName val="Form-05B Other Cost"/>
      <sheetName val="Other Cost"/>
      <sheetName val="Service to Owner"/>
      <sheetName val="Insurance"/>
      <sheetName val="ICT-HO"/>
      <sheetName val="ICT-FO"/>
      <sheetName val="Sewa Ruang Meeting"/>
      <sheetName val="Genset"/>
      <sheetName val="QC"/>
      <sheetName val="HSE "/>
      <sheetName val="Pre-comm Material"/>
      <sheetName val="Vendor service man"/>
      <sheetName val="QC Tools"/>
      <sheetName val="QC Certificate &amp; NDT"/>
      <sheetName val="QC Migas Cost"/>
      <sheetName val="MT2-EngSvc"/>
      <sheetName val="Form-05A &amp; 05B Service and Othe"/>
    </sheetNames>
    <sheetDataSet>
      <sheetData sheetId="0">
        <row r="1">
          <cell r="B1">
            <v>173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6ME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BQ Material"/>
      <sheetName val="POWER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A1"/>
      <sheetName val="GAS SIZE 300 mic  (2)"/>
      <sheetName val="GAS SIZE 600 mic (2)"/>
      <sheetName val="liq relief 300 mic (3)"/>
      <sheetName val="A2"/>
      <sheetName val="liq relief 300 mic"/>
      <sheetName val="GAS SIZE 300 mic "/>
      <sheetName val="B"/>
      <sheetName val="gas size vert 300."/>
      <sheetName val="gas size vert 600. "/>
      <sheetName val="C"/>
      <sheetName val="vessel weight"/>
      <sheetName val="D"/>
      <sheetName val="HVAC"/>
      <sheetName val="Inds &amp; For"/>
      <sheetName val="H.Satuan"/>
      <sheetName val="Index"/>
      <sheetName val="Cover"/>
      <sheetName val="w't table"/>
      <sheetName val="Setup"/>
      <sheetName val="cable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. Engineering"/>
      <sheetName val="2.6. ManPower Loading"/>
      <sheetName val="3. Monthly rate"/>
      <sheetName val="4.1. Summary"/>
      <sheetName val="4.2. Engineering"/>
      <sheetName val="4.7. Site Office - Operation"/>
      <sheetName val="4.8. Site Off - Travellling"/>
      <sheetName val="4.10. Software &amp; Compu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출현황"/>
      <sheetName val="info"/>
      <sheetName val="DDCL(DHI)"/>
      <sheetName val="Summary"/>
      <sheetName val="Sheet1"/>
      <sheetName val="DDCL(Including PP) 2017-11-19"/>
    </sheetNames>
    <definedNames>
      <definedName name="CIRCREF" refersTo="#REF!" sheetId="5"/>
      <definedName name="FDAS" refersTo="#REF!" sheetId="5"/>
      <definedName name="ref" refersTo="#REF!" sheetId="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 t="str">
            <v>Discipline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List"/>
      <sheetName val="Man Power Plan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ks"/>
      <sheetName val="SUMMARY"/>
      <sheetName val="Form-05A Services"/>
      <sheetName val="Breakdown-ProjMgtServ"/>
      <sheetName val="MP1-ProjMgtSvc"/>
      <sheetName val="Breakdown-EngSvc"/>
      <sheetName val="MP2-EngSvc"/>
      <sheetName val="Breakdown-ProcSvc"/>
      <sheetName val="MP3-ProcSvc"/>
      <sheetName val="Breakdown-ConstrSvc"/>
      <sheetName val="MP4_ConstrSvc"/>
      <sheetName val="Breakdown-CommSvc"/>
      <sheetName val="MP5_CommSvc"/>
      <sheetName val="Form-05B Other Cost"/>
      <sheetName val="Other Cost"/>
      <sheetName val="Service to Owner"/>
      <sheetName val="Insurance"/>
      <sheetName val="ICT-HO"/>
      <sheetName val="ICT-FO"/>
      <sheetName val="Sewa Ruang Meeting"/>
      <sheetName val="Genset"/>
      <sheetName val="QC"/>
      <sheetName val="HSE "/>
      <sheetName val="Pre-comm Material"/>
      <sheetName val="Vendor service man"/>
      <sheetName val="QC Tools"/>
      <sheetName val="QC Certificate &amp; NDT"/>
      <sheetName val="QC Migas Cost"/>
      <sheetName val="MT2-EngSvc"/>
    </sheetNames>
    <sheetDataSet>
      <sheetData sheetId="0">
        <row r="1">
          <cell r="B1">
            <v>173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D8937-EF7B-452A-9375-FAACD25F6AD4}" name="표2" displayName="표2" ref="A3:J1745" totalsRowShown="0" dataDxfId="0" tableBorderDxfId="11" dataCellStyle="표준 9">
  <autoFilter ref="A3:J1745" xr:uid="{39BD8937-EF7B-452A-9375-FAACD25F6AD4}"/>
  <tableColumns count="10">
    <tableColumn id="1" xr3:uid="{4C02FF77-354D-4D65-BDC2-33793511901C}" name="No." dataDxfId="10" dataCellStyle="표준 9"/>
    <tableColumn id="2" xr3:uid="{363A183B-A5C1-4349-8448-02F50F8FE938}" name="DT No." dataDxfId="9" dataCellStyle="표준 9"/>
    <tableColumn id="3" xr3:uid="{48C9DC78-CA60-4BB7-8F76-E179EC724843}" name="DWG No." dataDxfId="8" dataCellStyle="표준 9"/>
    <tableColumn id="4" xr3:uid="{6B508232-17B7-4FCA-9F37-10E8D8545E71}" name="Document Title" dataDxfId="7" dataCellStyle="표준 9"/>
    <tableColumn id="5" xr3:uid="{B36A71E8-6B85-4F51-9A47-43BC75A2A059}" name="Rev." dataDxfId="6" dataCellStyle="표준 9"/>
    <tableColumn id="6" xr3:uid="{F223331C-1664-420A-A5E6-4856033E7496}" name="Date" dataDxfId="5" dataCellStyle="표준 9"/>
    <tableColumn id="7" xr3:uid="{8355A7FC-5BB2-4953-8487-AD4ACE629C21}" name="Review_x000a_Period" dataDxfId="4" dataCellStyle="쉼표 [0] 8"/>
    <tableColumn id="8" xr3:uid="{671CF905-6986-4098-AA81-011CD4C79A34}" name="Comment_x000a_Status" dataDxfId="3" dataCellStyle="표준 9"/>
    <tableColumn id="9" xr3:uid="{330B59F3-D190-4C35-AFBC-C848364ACD64}" name="Date2" dataDxfId="2" dataCellStyle="표준 9"/>
    <tableColumn id="10" xr3:uid="{D5F63198-0A14-437F-8489-1E96D913CB11}" name="Open/Close" dataDxfId="1" dataCellStyle="표준 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zoomScale="115" zoomScaleNormal="115" workbookViewId="0">
      <selection activeCell="B15" sqref="B15"/>
    </sheetView>
  </sheetViews>
  <sheetFormatPr defaultColWidth="9" defaultRowHeight="12.5" x14ac:dyDescent="0.45"/>
  <cols>
    <col min="1" max="1" width="19.58203125" style="29" customWidth="1"/>
    <col min="2" max="2" width="8.58203125" style="29" customWidth="1"/>
    <col min="3" max="16" width="9.9140625" style="29" customWidth="1"/>
    <col min="17" max="16384" width="9" style="30"/>
  </cols>
  <sheetData>
    <row r="1" spans="1:16" ht="13" x14ac:dyDescent="0.45">
      <c r="C1" s="31" t="s">
        <v>0</v>
      </c>
    </row>
    <row r="2" spans="1:16" ht="16.5" customHeight="1" x14ac:dyDescent="0.45">
      <c r="A2" s="90"/>
      <c r="B2" s="91"/>
      <c r="C2" s="94" t="s">
        <v>1</v>
      </c>
      <c r="D2" s="94"/>
      <c r="E2" s="95" t="s">
        <v>2</v>
      </c>
      <c r="F2" s="95"/>
      <c r="G2" s="95"/>
      <c r="H2" s="95"/>
      <c r="I2" s="95"/>
      <c r="J2" s="95"/>
      <c r="K2" s="96" t="s">
        <v>3</v>
      </c>
      <c r="L2" s="96"/>
      <c r="M2" s="96"/>
      <c r="N2" s="84" t="s">
        <v>4</v>
      </c>
      <c r="O2" s="85"/>
      <c r="P2" s="86"/>
    </row>
    <row r="3" spans="1:16" ht="12.75" customHeight="1" x14ac:dyDescent="0.45">
      <c r="A3" s="90"/>
      <c r="B3" s="91"/>
      <c r="C3" s="94"/>
      <c r="D3" s="94"/>
      <c r="E3" s="96" t="s">
        <v>5</v>
      </c>
      <c r="F3" s="96"/>
      <c r="G3" s="96" t="s">
        <v>6</v>
      </c>
      <c r="H3" s="96"/>
      <c r="I3" s="96" t="s">
        <v>7</v>
      </c>
      <c r="J3" s="96"/>
      <c r="K3" s="96"/>
      <c r="L3" s="96"/>
      <c r="M3" s="96"/>
      <c r="N3" s="87"/>
      <c r="O3" s="88"/>
      <c r="P3" s="89"/>
    </row>
    <row r="4" spans="1:16" ht="13" x14ac:dyDescent="0.45">
      <c r="A4" s="92"/>
      <c r="B4" s="93"/>
      <c r="C4" s="32" t="s">
        <v>5</v>
      </c>
      <c r="D4" s="32" t="s">
        <v>6</v>
      </c>
      <c r="E4" s="33" t="s">
        <v>8</v>
      </c>
      <c r="F4" s="33" t="s">
        <v>9</v>
      </c>
      <c r="G4" s="33" t="s">
        <v>8</v>
      </c>
      <c r="H4" s="33" t="s">
        <v>9</v>
      </c>
      <c r="I4" s="33" t="s">
        <v>8</v>
      </c>
      <c r="J4" s="33" t="s">
        <v>9</v>
      </c>
      <c r="K4" s="33" t="s">
        <v>5</v>
      </c>
      <c r="L4" s="33" t="s">
        <v>6</v>
      </c>
      <c r="M4" s="33" t="s">
        <v>7</v>
      </c>
      <c r="N4" s="39"/>
      <c r="O4" s="40"/>
      <c r="P4" s="40"/>
    </row>
    <row r="5" spans="1:16" ht="13" x14ac:dyDescent="0.45">
      <c r="A5" s="34" t="s">
        <v>10</v>
      </c>
      <c r="B5" s="34" t="s">
        <v>11</v>
      </c>
      <c r="C5" s="34" t="e">
        <f>COUNTIFS(#REF!,B5,#REF!,"=FI")</f>
        <v>#REF!</v>
      </c>
      <c r="D5" s="34" t="e">
        <f>COUNTIFS(#REF!,B5,#REF!,"=FA")</f>
        <v>#REF!</v>
      </c>
      <c r="E5" s="34" t="e">
        <f>C5</f>
        <v>#REF!</v>
      </c>
      <c r="F5" s="34" t="e">
        <f>COUNTIFS(#REF!,B5,#REF!,"=FI",#REF!,"=A")</f>
        <v>#REF!</v>
      </c>
      <c r="G5" s="34" t="e">
        <f>D5:D16</f>
        <v>#REF!</v>
      </c>
      <c r="H5" s="34" t="e">
        <f>COUNTIFS(#REF!,B5,#REF!,"=FA",#REF!,"=A")</f>
        <v>#REF!</v>
      </c>
      <c r="I5" s="34" t="e">
        <f>SUM(E5+G5)</f>
        <v>#REF!</v>
      </c>
      <c r="J5" s="34"/>
      <c r="K5" s="34"/>
      <c r="L5" s="34"/>
      <c r="M5" s="34"/>
      <c r="N5" s="41"/>
      <c r="O5" s="42"/>
      <c r="P5" s="43"/>
    </row>
    <row r="6" spans="1:16" ht="13" x14ac:dyDescent="0.45">
      <c r="A6" s="34" t="s">
        <v>12</v>
      </c>
      <c r="B6" s="34" t="s">
        <v>13</v>
      </c>
      <c r="C6" s="34" t="e">
        <f>COUNTIFS(#REF!,B6,#REF!,"=FI")</f>
        <v>#REF!</v>
      </c>
      <c r="D6" s="34" t="e">
        <f>COUNTIFS(#REF!,B6,#REF!,"=FA")</f>
        <v>#REF!</v>
      </c>
      <c r="E6" s="34" t="e">
        <f t="shared" ref="E6:E16" si="0">C6</f>
        <v>#REF!</v>
      </c>
      <c r="F6" s="34" t="e">
        <f>COUNTIFS(#REF!,B6,#REF!,"=FI",#REF!,"=A")</f>
        <v>#REF!</v>
      </c>
      <c r="G6" s="34" t="e">
        <f t="shared" ref="G6:G16" si="1">D6:D17</f>
        <v>#REF!</v>
      </c>
      <c r="H6" s="34" t="e">
        <f>COUNTIFS(#REF!,B6,#REF!,"=FA",#REF!,"=A")</f>
        <v>#REF!</v>
      </c>
      <c r="I6" s="34" t="e">
        <f t="shared" ref="I6:I16" si="2">SUM(E6+G6)</f>
        <v>#REF!</v>
      </c>
      <c r="J6" s="34"/>
      <c r="K6" s="34"/>
      <c r="L6" s="34"/>
      <c r="M6" s="34"/>
      <c r="N6" s="41"/>
      <c r="O6" s="42"/>
      <c r="P6" s="43"/>
    </row>
    <row r="7" spans="1:16" ht="13" x14ac:dyDescent="0.45">
      <c r="A7" s="35" t="s">
        <v>14</v>
      </c>
      <c r="B7" s="34" t="s">
        <v>15</v>
      </c>
      <c r="C7" s="34" t="e">
        <f>COUNTIFS(#REF!,B7,#REF!,"=FI")</f>
        <v>#REF!</v>
      </c>
      <c r="D7" s="34" t="e">
        <f>COUNTIFS(#REF!,B7,#REF!,"=FA")</f>
        <v>#REF!</v>
      </c>
      <c r="E7" s="34" t="e">
        <f t="shared" si="0"/>
        <v>#REF!</v>
      </c>
      <c r="F7" s="34" t="e">
        <f>COUNTIFS(#REF!,B7,#REF!,"=FI",#REF!,"=A")</f>
        <v>#REF!</v>
      </c>
      <c r="G7" s="34" t="e">
        <f t="shared" si="1"/>
        <v>#REF!</v>
      </c>
      <c r="H7" s="34" t="e">
        <f>COUNTIFS(#REF!,B7,#REF!,"=FA",#REF!,"=A")</f>
        <v>#REF!</v>
      </c>
      <c r="I7" s="34" t="e">
        <f t="shared" si="2"/>
        <v>#REF!</v>
      </c>
      <c r="J7" s="35"/>
      <c r="K7" s="35"/>
      <c r="L7" s="35"/>
      <c r="M7" s="35"/>
      <c r="N7" s="41"/>
      <c r="O7" s="42"/>
      <c r="P7" s="43"/>
    </row>
    <row r="8" spans="1:16" ht="13" x14ac:dyDescent="0.45">
      <c r="A8" s="36" t="s">
        <v>16</v>
      </c>
      <c r="B8" s="34" t="s">
        <v>17</v>
      </c>
      <c r="C8" s="34" t="e">
        <f>COUNTIFS(#REF!,B8,#REF!,"=FI")</f>
        <v>#REF!</v>
      </c>
      <c r="D8" s="34" t="e">
        <f>COUNTIFS(#REF!,B8,#REF!,"=FA")</f>
        <v>#REF!</v>
      </c>
      <c r="E8" s="34" t="e">
        <f t="shared" si="0"/>
        <v>#REF!</v>
      </c>
      <c r="F8" s="34" t="e">
        <f>COUNTIFS(#REF!,B8,#REF!,"=FI",#REF!,"=A")</f>
        <v>#REF!</v>
      </c>
      <c r="G8" s="34" t="e">
        <f t="shared" si="1"/>
        <v>#REF!</v>
      </c>
      <c r="H8" s="34" t="e">
        <f>COUNTIFS(#REF!,B8,#REF!,"=FA",#REF!,"=A")</f>
        <v>#REF!</v>
      </c>
      <c r="I8" s="34" t="e">
        <f t="shared" si="2"/>
        <v>#REF!</v>
      </c>
      <c r="J8" s="35"/>
      <c r="K8" s="35"/>
      <c r="L8" s="35"/>
      <c r="M8" s="35"/>
      <c r="N8" s="41"/>
      <c r="O8" s="42"/>
      <c r="P8" s="43"/>
    </row>
    <row r="9" spans="1:16" ht="13" x14ac:dyDescent="0.45">
      <c r="A9" s="34" t="s">
        <v>18</v>
      </c>
      <c r="B9" s="34" t="s">
        <v>19</v>
      </c>
      <c r="C9" s="34" t="e">
        <f>COUNTIFS(#REF!,B9,#REF!,"=FI")</f>
        <v>#REF!</v>
      </c>
      <c r="D9" s="34" t="e">
        <f>COUNTIFS(#REF!,B9,#REF!,"=FA")</f>
        <v>#REF!</v>
      </c>
      <c r="E9" s="34" t="e">
        <f t="shared" si="0"/>
        <v>#REF!</v>
      </c>
      <c r="F9" s="34" t="e">
        <f>COUNTIFS(#REF!,B9,#REF!,"=FI",#REF!,"=A")</f>
        <v>#REF!</v>
      </c>
      <c r="G9" s="34" t="e">
        <f t="shared" si="1"/>
        <v>#REF!</v>
      </c>
      <c r="H9" s="34" t="e">
        <f>COUNTIFS(#REF!,B9,#REF!,"=FA",#REF!,"=A")</f>
        <v>#REF!</v>
      </c>
      <c r="I9" s="34" t="e">
        <f t="shared" si="2"/>
        <v>#REF!</v>
      </c>
      <c r="J9" s="35"/>
      <c r="K9" s="35"/>
      <c r="L9" s="35"/>
      <c r="M9" s="35"/>
      <c r="N9" s="41"/>
      <c r="O9" s="42"/>
      <c r="P9" s="42"/>
    </row>
    <row r="10" spans="1:16" ht="13" x14ac:dyDescent="0.45">
      <c r="A10" s="34" t="s">
        <v>20</v>
      </c>
      <c r="B10" s="34" t="s">
        <v>21</v>
      </c>
      <c r="C10" s="34" t="e">
        <f>COUNTIFS(#REF!,B10,#REF!,"=FI")</f>
        <v>#REF!</v>
      </c>
      <c r="D10" s="34" t="e">
        <f>COUNTIFS(#REF!,B10,#REF!,"=FA")</f>
        <v>#REF!</v>
      </c>
      <c r="E10" s="34" t="e">
        <f t="shared" si="0"/>
        <v>#REF!</v>
      </c>
      <c r="F10" s="34" t="e">
        <f>COUNTIFS(#REF!,B10,#REF!,"=FI",#REF!,"=A")</f>
        <v>#REF!</v>
      </c>
      <c r="G10" s="34" t="e">
        <f t="shared" si="1"/>
        <v>#REF!</v>
      </c>
      <c r="H10" s="34" t="e">
        <f>COUNTIFS(#REF!,B10,#REF!,"=FA",#REF!,"=A")</f>
        <v>#REF!</v>
      </c>
      <c r="I10" s="34" t="e">
        <f t="shared" si="2"/>
        <v>#REF!</v>
      </c>
      <c r="J10" s="35"/>
      <c r="K10" s="35"/>
      <c r="L10" s="35"/>
      <c r="M10" s="35"/>
      <c r="N10" s="41"/>
      <c r="O10" s="42"/>
      <c r="P10" s="42"/>
    </row>
    <row r="11" spans="1:16" ht="13" x14ac:dyDescent="0.45">
      <c r="A11" s="34" t="s">
        <v>22</v>
      </c>
      <c r="B11" s="34" t="s">
        <v>23</v>
      </c>
      <c r="C11" s="34" t="e">
        <f>COUNTIFS(#REF!,B11,#REF!,"=FI")</f>
        <v>#REF!</v>
      </c>
      <c r="D11" s="34" t="e">
        <f>COUNTIFS(#REF!,B11,#REF!,"=FA")</f>
        <v>#REF!</v>
      </c>
      <c r="E11" s="34" t="e">
        <f t="shared" si="0"/>
        <v>#REF!</v>
      </c>
      <c r="F11" s="34" t="e">
        <f>COUNTIFS(#REF!,B11,#REF!,"=FI",#REF!,"=A")</f>
        <v>#REF!</v>
      </c>
      <c r="G11" s="34" t="e">
        <f t="shared" si="1"/>
        <v>#REF!</v>
      </c>
      <c r="H11" s="34" t="e">
        <f>COUNTIFS(#REF!,B11,#REF!,"=FA",#REF!,"=A")</f>
        <v>#REF!</v>
      </c>
      <c r="I11" s="34" t="e">
        <f t="shared" si="2"/>
        <v>#REF!</v>
      </c>
      <c r="J11" s="35"/>
      <c r="K11" s="35"/>
      <c r="L11" s="35"/>
      <c r="M11" s="35"/>
      <c r="N11" s="41"/>
      <c r="O11" s="42"/>
      <c r="P11" s="42"/>
    </row>
    <row r="12" spans="1:16" ht="13" x14ac:dyDescent="0.45">
      <c r="A12" s="36" t="s">
        <v>24</v>
      </c>
      <c r="B12" s="34" t="s">
        <v>25</v>
      </c>
      <c r="C12" s="34" t="e">
        <f>COUNTIFS(#REF!,B12,#REF!,"=FI")</f>
        <v>#REF!</v>
      </c>
      <c r="D12" s="34" t="e">
        <f>COUNTIFS(#REF!,B12,#REF!,"=FA")</f>
        <v>#REF!</v>
      </c>
      <c r="E12" s="34" t="e">
        <f t="shared" si="0"/>
        <v>#REF!</v>
      </c>
      <c r="F12" s="34" t="e">
        <f>COUNTIFS(#REF!,B12,#REF!,"=FI",#REF!,"=A")</f>
        <v>#REF!</v>
      </c>
      <c r="G12" s="34" t="e">
        <f t="shared" si="1"/>
        <v>#REF!</v>
      </c>
      <c r="H12" s="34" t="e">
        <f>COUNTIFS(#REF!,B12,#REF!,"=FA",#REF!,"=A")</f>
        <v>#REF!</v>
      </c>
      <c r="I12" s="34" t="e">
        <f t="shared" si="2"/>
        <v>#REF!</v>
      </c>
      <c r="J12" s="35"/>
      <c r="K12" s="35"/>
      <c r="L12" s="35"/>
      <c r="M12" s="35"/>
      <c r="N12" s="41"/>
      <c r="O12" s="42"/>
      <c r="P12" s="42"/>
    </row>
    <row r="13" spans="1:16" ht="13" x14ac:dyDescent="0.45">
      <c r="A13" s="36" t="s">
        <v>26</v>
      </c>
      <c r="B13" s="34" t="s">
        <v>27</v>
      </c>
      <c r="C13" s="34" t="e">
        <f>COUNTIFS(#REF!,B13,#REF!,"=FI")</f>
        <v>#REF!</v>
      </c>
      <c r="D13" s="34" t="e">
        <f>COUNTIFS(#REF!,B13,#REF!,"=FA")</f>
        <v>#REF!</v>
      </c>
      <c r="E13" s="34" t="e">
        <f t="shared" si="0"/>
        <v>#REF!</v>
      </c>
      <c r="F13" s="34" t="e">
        <f>COUNTIFS(#REF!,B13,#REF!,"=FI",#REF!,"=A")</f>
        <v>#REF!</v>
      </c>
      <c r="G13" s="34" t="e">
        <f t="shared" si="1"/>
        <v>#REF!</v>
      </c>
      <c r="H13" s="34" t="e">
        <f>COUNTIFS(#REF!,B13,#REF!,"=FA",#REF!,"=A")</f>
        <v>#REF!</v>
      </c>
      <c r="I13" s="34" t="e">
        <f t="shared" si="2"/>
        <v>#REF!</v>
      </c>
      <c r="J13" s="35"/>
      <c r="K13" s="35"/>
      <c r="L13" s="35"/>
      <c r="M13" s="35"/>
      <c r="N13" s="41"/>
      <c r="O13" s="42"/>
      <c r="P13" s="42"/>
    </row>
    <row r="14" spans="1:16" ht="13" x14ac:dyDescent="0.45">
      <c r="A14" s="36" t="s">
        <v>28</v>
      </c>
      <c r="B14" s="34" t="s">
        <v>29</v>
      </c>
      <c r="C14" s="34" t="e">
        <f>COUNTIFS(#REF!,B14,#REF!,"=FI")</f>
        <v>#REF!</v>
      </c>
      <c r="D14" s="34" t="e">
        <f>COUNTIFS(#REF!,B14,#REF!,"=FA")</f>
        <v>#REF!</v>
      </c>
      <c r="E14" s="34" t="e">
        <f t="shared" si="0"/>
        <v>#REF!</v>
      </c>
      <c r="F14" s="34" t="e">
        <f>COUNTIFS(#REF!,B14,#REF!,"=FI",#REF!,"=A")</f>
        <v>#REF!</v>
      </c>
      <c r="G14" s="34" t="e">
        <f t="shared" si="1"/>
        <v>#REF!</v>
      </c>
      <c r="H14" s="34" t="e">
        <f>COUNTIFS(#REF!,B14,#REF!,"=FA",#REF!,"=A")</f>
        <v>#REF!</v>
      </c>
      <c r="I14" s="34" t="e">
        <f t="shared" si="2"/>
        <v>#REF!</v>
      </c>
      <c r="J14" s="35"/>
      <c r="K14" s="35"/>
      <c r="L14" s="35"/>
      <c r="M14" s="35"/>
      <c r="N14" s="41"/>
      <c r="O14" s="42"/>
      <c r="P14" s="42"/>
    </row>
    <row r="15" spans="1:16" ht="13" x14ac:dyDescent="0.45">
      <c r="A15" s="36" t="s">
        <v>30</v>
      </c>
      <c r="B15" s="34" t="s">
        <v>31</v>
      </c>
      <c r="C15" s="34" t="e">
        <f>COUNTIFS(#REF!,B15,#REF!,"=FI")</f>
        <v>#REF!</v>
      </c>
      <c r="D15" s="34" t="e">
        <f>COUNTIFS(#REF!,B15,#REF!,"=FA")</f>
        <v>#REF!</v>
      </c>
      <c r="E15" s="34" t="e">
        <f t="shared" si="0"/>
        <v>#REF!</v>
      </c>
      <c r="F15" s="34" t="e">
        <f>COUNTIFS(#REF!,B15,#REF!,"=FI",#REF!,"=A")</f>
        <v>#REF!</v>
      </c>
      <c r="G15" s="34" t="e">
        <f t="shared" si="1"/>
        <v>#REF!</v>
      </c>
      <c r="H15" s="34" t="e">
        <f>COUNTIFS(#REF!,B15,#REF!,"=FA",#REF!,"=A")</f>
        <v>#REF!</v>
      </c>
      <c r="I15" s="34" t="e">
        <f t="shared" si="2"/>
        <v>#REF!</v>
      </c>
      <c r="J15" s="35"/>
      <c r="K15" s="35"/>
      <c r="L15" s="35"/>
      <c r="M15" s="35"/>
      <c r="N15" s="41"/>
      <c r="O15" s="42"/>
      <c r="P15" s="42"/>
    </row>
    <row r="16" spans="1:16" ht="13" x14ac:dyDescent="0.45">
      <c r="A16" s="36" t="s">
        <v>32</v>
      </c>
      <c r="B16" s="34" t="s">
        <v>33</v>
      </c>
      <c r="C16" s="34" t="e">
        <f>COUNTIFS(#REF!,B16,#REF!,"=FI")</f>
        <v>#REF!</v>
      </c>
      <c r="D16" s="34" t="e">
        <f>COUNTIFS(#REF!,B16,#REF!,"=FA")</f>
        <v>#REF!</v>
      </c>
      <c r="E16" s="34" t="e">
        <f t="shared" si="0"/>
        <v>#REF!</v>
      </c>
      <c r="F16" s="34" t="e">
        <f>COUNTIFS(#REF!,B16,#REF!,"=FI",#REF!,"=A")</f>
        <v>#REF!</v>
      </c>
      <c r="G16" s="34" t="e">
        <f t="shared" si="1"/>
        <v>#REF!</v>
      </c>
      <c r="H16" s="34" t="e">
        <f>COUNTIFS(#REF!,B16,#REF!,"=FA",#REF!,"=A")</f>
        <v>#REF!</v>
      </c>
      <c r="I16" s="34" t="e">
        <f t="shared" si="2"/>
        <v>#REF!</v>
      </c>
      <c r="J16" s="35"/>
      <c r="K16" s="35"/>
      <c r="L16" s="35"/>
      <c r="M16" s="35"/>
      <c r="N16" s="41"/>
      <c r="O16" s="42"/>
      <c r="P16" s="42"/>
    </row>
    <row r="17" spans="1:16" ht="13" x14ac:dyDescent="0.45">
      <c r="A17" s="37" t="s">
        <v>34</v>
      </c>
      <c r="B17" s="37"/>
      <c r="C17" s="37" t="e">
        <f t="shared" ref="C17:J17" si="3">SUM(C5:C16)</f>
        <v>#REF!</v>
      </c>
      <c r="D17" s="37" t="e">
        <f t="shared" si="3"/>
        <v>#REF!</v>
      </c>
      <c r="E17" s="37" t="e">
        <f t="shared" si="3"/>
        <v>#REF!</v>
      </c>
      <c r="F17" s="37" t="e">
        <f t="shared" si="3"/>
        <v>#REF!</v>
      </c>
      <c r="G17" s="37" t="e">
        <f t="shared" si="3"/>
        <v>#REF!</v>
      </c>
      <c r="H17" s="37" t="e">
        <f t="shared" si="3"/>
        <v>#REF!</v>
      </c>
      <c r="I17" s="37" t="e">
        <f t="shared" si="3"/>
        <v>#REF!</v>
      </c>
      <c r="J17" s="37">
        <f t="shared" si="3"/>
        <v>0</v>
      </c>
      <c r="K17" s="44"/>
      <c r="L17" s="44"/>
      <c r="M17" s="44"/>
      <c r="N17" s="44"/>
      <c r="O17" s="44"/>
      <c r="P17" s="44"/>
    </row>
    <row r="19" spans="1:16" ht="13" x14ac:dyDescent="0.45">
      <c r="A19" s="38"/>
      <c r="B19" s="38"/>
    </row>
  </sheetData>
  <mergeCells count="8">
    <mergeCell ref="N2:P3"/>
    <mergeCell ref="A2:B4"/>
    <mergeCell ref="C2:D3"/>
    <mergeCell ref="E2:J2"/>
    <mergeCell ref="E3:F3"/>
    <mergeCell ref="G3:H3"/>
    <mergeCell ref="I3:J3"/>
    <mergeCell ref="K2:M3"/>
  </mergeCells>
  <phoneticPr fontId="24" type="noConversion"/>
  <conditionalFormatting sqref="N5:N1048576">
    <cfRule type="containsText" dxfId="12" priority="4" operator="containsText" text="FI">
      <formula>NOT(ISERROR(SEARCH("FI",N5)))</formula>
    </cfRule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S1493"/>
  <sheetViews>
    <sheetView tabSelected="1" view="pageBreakPreview" zoomScaleNormal="40" zoomScaleSheetLayoutView="100" workbookViewId="0">
      <pane ySplit="5" topLeftCell="A69" activePane="bottomLeft" state="frozen"/>
      <selection pane="bottomLeft" activeCell="S72" sqref="S72"/>
    </sheetView>
  </sheetViews>
  <sheetFormatPr defaultColWidth="10" defaultRowHeight="16" outlineLevelCol="1" x14ac:dyDescent="0.45"/>
  <cols>
    <col min="1" max="1" width="5.9140625" style="10" customWidth="1"/>
    <col min="2" max="2" width="7.1640625" style="10" customWidth="1"/>
    <col min="3" max="3" width="28.1640625" style="11" customWidth="1"/>
    <col min="4" max="4" width="12.6640625" style="10" hidden="1" customWidth="1" outlineLevel="1"/>
    <col min="5" max="5" width="89.58203125" style="12" customWidth="1" collapsed="1"/>
    <col min="6" max="6" width="5.58203125" style="10" customWidth="1"/>
    <col min="7" max="9" width="11.08203125" style="46" customWidth="1"/>
    <col min="10" max="10" width="26.9140625" style="45" customWidth="1"/>
    <col min="11" max="11" width="6.58203125" style="45" customWidth="1"/>
    <col min="12" max="12" width="8.58203125" style="45" customWidth="1"/>
    <col min="13" max="13" width="11.08203125" style="46" customWidth="1"/>
    <col min="14" max="14" width="36.08203125" style="45" customWidth="1"/>
    <col min="15" max="15" width="6.58203125" style="45" customWidth="1"/>
    <col min="16" max="16" width="8.1640625" style="45" customWidth="1"/>
    <col min="17" max="17" width="24.08203125" style="45" customWidth="1"/>
    <col min="18" max="19" width="11.08203125" style="46" customWidth="1"/>
    <col min="20" max="16384" width="10" style="9"/>
  </cols>
  <sheetData>
    <row r="1" spans="1:19" ht="31.5" customHeight="1" x14ac:dyDescent="0.45">
      <c r="A1" s="13" t="s">
        <v>35</v>
      </c>
      <c r="B1" s="14"/>
      <c r="C1" s="13"/>
      <c r="D1" s="14"/>
      <c r="E1" s="15"/>
      <c r="F1" s="16"/>
      <c r="G1" s="25"/>
      <c r="H1" s="23"/>
      <c r="I1" s="23"/>
      <c r="J1" s="24"/>
      <c r="K1" s="24"/>
      <c r="L1" s="16"/>
      <c r="M1" s="25"/>
      <c r="N1" s="16"/>
      <c r="O1" s="16"/>
      <c r="P1" s="16"/>
      <c r="Q1" s="16"/>
      <c r="R1" s="25"/>
      <c r="S1" s="23"/>
    </row>
    <row r="2" spans="1:19" ht="12.75" customHeight="1" x14ac:dyDescent="0.45">
      <c r="A2" s="99" t="s">
        <v>36</v>
      </c>
      <c r="B2" s="97" t="s">
        <v>37</v>
      </c>
      <c r="C2" s="101" t="s">
        <v>38</v>
      </c>
      <c r="D2" s="97" t="s">
        <v>39</v>
      </c>
      <c r="E2" s="97" t="s">
        <v>40</v>
      </c>
      <c r="F2" s="97" t="s">
        <v>41</v>
      </c>
      <c r="G2" s="98" t="s">
        <v>42</v>
      </c>
      <c r="H2" s="98" t="s">
        <v>43</v>
      </c>
      <c r="I2" s="100" t="s">
        <v>44</v>
      </c>
      <c r="J2" s="100"/>
      <c r="K2" s="100"/>
      <c r="L2" s="100"/>
      <c r="M2" s="99" t="s">
        <v>45</v>
      </c>
      <c r="N2" s="99"/>
      <c r="O2" s="99"/>
      <c r="P2" s="99"/>
      <c r="Q2" s="99"/>
      <c r="R2" s="98" t="s">
        <v>5033</v>
      </c>
      <c r="S2" s="98" t="s">
        <v>5034</v>
      </c>
    </row>
    <row r="3" spans="1:19" x14ac:dyDescent="0.45">
      <c r="A3" s="99"/>
      <c r="B3" s="97"/>
      <c r="C3" s="101"/>
      <c r="D3" s="97"/>
      <c r="E3" s="97"/>
      <c r="F3" s="97"/>
      <c r="G3" s="98"/>
      <c r="H3" s="98"/>
      <c r="I3" s="100"/>
      <c r="J3" s="100"/>
      <c r="K3" s="100"/>
      <c r="L3" s="100"/>
      <c r="M3" s="99"/>
      <c r="N3" s="99"/>
      <c r="O3" s="99"/>
      <c r="P3" s="99"/>
      <c r="Q3" s="99"/>
      <c r="R3" s="98"/>
      <c r="S3" s="98"/>
    </row>
    <row r="4" spans="1:19" ht="32" x14ac:dyDescent="0.45">
      <c r="A4" s="99"/>
      <c r="B4" s="18" t="s">
        <v>46</v>
      </c>
      <c r="C4" s="101"/>
      <c r="D4" s="97"/>
      <c r="E4" s="97"/>
      <c r="F4" s="17" t="s">
        <v>47</v>
      </c>
      <c r="G4" s="27" t="s">
        <v>6</v>
      </c>
      <c r="H4" s="27" t="s">
        <v>7</v>
      </c>
      <c r="I4" s="26" t="s">
        <v>48</v>
      </c>
      <c r="J4" s="18" t="s">
        <v>49</v>
      </c>
      <c r="K4" s="18" t="s">
        <v>50</v>
      </c>
      <c r="L4" s="18" t="s">
        <v>51</v>
      </c>
      <c r="M4" s="27" t="s">
        <v>52</v>
      </c>
      <c r="N4" s="17" t="s">
        <v>53</v>
      </c>
      <c r="O4" s="18" t="s">
        <v>54</v>
      </c>
      <c r="P4" s="18" t="s">
        <v>55</v>
      </c>
      <c r="Q4" s="18" t="s">
        <v>56</v>
      </c>
      <c r="R4" s="27" t="s">
        <v>6</v>
      </c>
      <c r="S4" s="27" t="s">
        <v>7</v>
      </c>
    </row>
    <row r="5" spans="1:19" x14ac:dyDescent="0.45">
      <c r="A5" s="19"/>
      <c r="B5" s="20"/>
      <c r="C5" s="21"/>
      <c r="D5" s="20"/>
      <c r="E5" s="22"/>
      <c r="F5" s="20"/>
      <c r="G5" s="28"/>
      <c r="H5" s="28"/>
      <c r="I5" s="28"/>
      <c r="J5" s="20"/>
      <c r="K5" s="20"/>
      <c r="L5" s="20"/>
      <c r="M5" s="28"/>
      <c r="N5" s="20"/>
      <c r="O5" s="20"/>
      <c r="P5" s="20"/>
      <c r="Q5" s="20"/>
      <c r="R5" s="28"/>
      <c r="S5" s="28"/>
    </row>
    <row r="6" spans="1:19" ht="18" customHeight="1" x14ac:dyDescent="0.45">
      <c r="A6" s="64">
        <v>1</v>
      </c>
      <c r="B6" s="49" t="s">
        <v>57</v>
      </c>
      <c r="C6" s="65" t="s">
        <v>58</v>
      </c>
      <c r="D6" s="66" t="s">
        <v>59</v>
      </c>
      <c r="E6" s="65" t="s">
        <v>60</v>
      </c>
      <c r="F6" s="66" t="s">
        <v>6</v>
      </c>
      <c r="G6" s="67">
        <v>42745</v>
      </c>
      <c r="H6" s="67">
        <v>42835</v>
      </c>
      <c r="I6" s="67">
        <v>42843</v>
      </c>
      <c r="J6" s="66" t="s">
        <v>61</v>
      </c>
      <c r="K6" s="66" t="s">
        <v>7</v>
      </c>
      <c r="L6" s="66" t="s">
        <v>62</v>
      </c>
      <c r="M6" s="67" t="s">
        <v>63</v>
      </c>
      <c r="N6" s="66" t="s">
        <v>64</v>
      </c>
      <c r="O6" s="66" t="s">
        <v>7</v>
      </c>
      <c r="P6" s="66" t="s">
        <v>62</v>
      </c>
      <c r="Q6" s="66" t="s">
        <v>65</v>
      </c>
      <c r="R6" s="67" cm="1">
        <f t="array" aca="1" ref="R6" ca="1">_xlfn.CHOOSECOLS(_xlfn.CHOOSEROWS(_xlfn._xlws.FILTER(표2[],표2[DWG No.]=C6,""),1),6)</f>
        <v>42745</v>
      </c>
      <c r="S6" s="67" cm="1">
        <f t="array" aca="1" ref="S6" ca="1">_xlfn.CHOOSECOLS(_xlfn.CHOOSEROWS(_xlfn._xlws.FILTER(표2[],(표2[DWG No.]=C6)*(ISNUMBER(표2[Rev.])),""),1),6)</f>
        <v>42843</v>
      </c>
    </row>
    <row r="7" spans="1:19" ht="18" customHeight="1" x14ac:dyDescent="0.45">
      <c r="A7" s="64">
        <v>2</v>
      </c>
      <c r="B7" s="49" t="s">
        <v>57</v>
      </c>
      <c r="C7" s="65" t="s">
        <v>66</v>
      </c>
      <c r="D7" s="66" t="s">
        <v>67</v>
      </c>
      <c r="E7" s="65" t="s">
        <v>68</v>
      </c>
      <c r="F7" s="66" t="s">
        <v>6</v>
      </c>
      <c r="G7" s="67">
        <v>42745</v>
      </c>
      <c r="H7" s="67">
        <v>42835</v>
      </c>
      <c r="I7" s="67">
        <v>42843</v>
      </c>
      <c r="J7" s="66" t="s">
        <v>61</v>
      </c>
      <c r="K7" s="66" t="s">
        <v>7</v>
      </c>
      <c r="L7" s="66" t="s">
        <v>62</v>
      </c>
      <c r="M7" s="67" t="s">
        <v>69</v>
      </c>
      <c r="N7" s="66" t="s">
        <v>64</v>
      </c>
      <c r="O7" s="66" t="s">
        <v>7</v>
      </c>
      <c r="P7" s="66" t="s">
        <v>62</v>
      </c>
      <c r="Q7" s="66" t="s">
        <v>65</v>
      </c>
      <c r="R7" s="67" cm="1">
        <f t="array" aca="1" ref="R7" ca="1">_xlfn.CHOOSECOLS(_xlfn.CHOOSEROWS(_xlfn._xlws.FILTER(표2[],표2[DWG No.]=C7,""),1),6)</f>
        <v>42745</v>
      </c>
      <c r="S7" s="67" cm="1">
        <f t="array" aca="1" ref="S7" ca="1">_xlfn.CHOOSECOLS(_xlfn.CHOOSEROWS(_xlfn._xlws.FILTER(표2[],(표2[DWG No.]=C7)*(ISNUMBER(표2[Rev.])),""),1),6)</f>
        <v>42843</v>
      </c>
    </row>
    <row r="8" spans="1:19" ht="18" customHeight="1" x14ac:dyDescent="0.45">
      <c r="A8" s="64">
        <v>3</v>
      </c>
      <c r="B8" s="49" t="s">
        <v>57</v>
      </c>
      <c r="C8" s="65" t="s">
        <v>70</v>
      </c>
      <c r="D8" s="66" t="s">
        <v>71</v>
      </c>
      <c r="E8" s="65" t="s">
        <v>72</v>
      </c>
      <c r="F8" s="66" t="s">
        <v>6</v>
      </c>
      <c r="G8" s="67">
        <v>42804</v>
      </c>
      <c r="H8" s="67">
        <v>42896</v>
      </c>
      <c r="I8" s="67">
        <v>42998</v>
      </c>
      <c r="J8" s="66" t="s">
        <v>73</v>
      </c>
      <c r="K8" s="66" t="s">
        <v>7</v>
      </c>
      <c r="L8" s="66" t="s">
        <v>62</v>
      </c>
      <c r="M8" s="67" t="s">
        <v>74</v>
      </c>
      <c r="N8" s="66" t="s">
        <v>75</v>
      </c>
      <c r="O8" s="66" t="s">
        <v>7</v>
      </c>
      <c r="P8" s="66" t="s">
        <v>62</v>
      </c>
      <c r="Q8" s="66" t="s">
        <v>5003</v>
      </c>
      <c r="R8" s="67" cm="1">
        <f t="array" aca="1" ref="R8" ca="1">_xlfn.CHOOSECOLS(_xlfn.CHOOSEROWS(_xlfn._xlws.FILTER(표2[],표2[DWG No.]=C8,""),1),6)</f>
        <v>42816</v>
      </c>
      <c r="S8" s="67" cm="1">
        <f t="array" aca="1" ref="S8" ca="1">_xlfn.CHOOSECOLS(_xlfn.CHOOSEROWS(_xlfn._xlws.FILTER(표2[],(표2[DWG No.]=C8)*(ISNUMBER(표2[Rev.])),""),1),6)</f>
        <v>42998</v>
      </c>
    </row>
    <row r="9" spans="1:19" ht="18" customHeight="1" x14ac:dyDescent="0.45">
      <c r="A9" s="64">
        <v>4</v>
      </c>
      <c r="B9" s="49" t="s">
        <v>57</v>
      </c>
      <c r="C9" s="65" t="s">
        <v>76</v>
      </c>
      <c r="D9" s="66" t="s">
        <v>77</v>
      </c>
      <c r="E9" s="65" t="s">
        <v>78</v>
      </c>
      <c r="F9" s="66" t="s">
        <v>5</v>
      </c>
      <c r="G9" s="67">
        <v>42906</v>
      </c>
      <c r="H9" s="67">
        <v>42998</v>
      </c>
      <c r="I9" s="67">
        <v>42947</v>
      </c>
      <c r="J9" s="66" t="s">
        <v>79</v>
      </c>
      <c r="K9" s="66" t="s">
        <v>7</v>
      </c>
      <c r="L9" s="66" t="s">
        <v>62</v>
      </c>
      <c r="M9" s="67" t="s">
        <v>80</v>
      </c>
      <c r="N9" s="66" t="s">
        <v>81</v>
      </c>
      <c r="O9" s="66" t="s">
        <v>7</v>
      </c>
      <c r="P9" s="66" t="s">
        <v>62</v>
      </c>
      <c r="Q9" s="66" t="s">
        <v>5002</v>
      </c>
      <c r="R9" s="67" cm="1">
        <f t="array" aca="1" ref="R9" ca="1">_xlfn.CHOOSECOLS(_xlfn.CHOOSEROWS(_xlfn._xlws.FILTER(표2[],표2[DWG No.]=C9,""),1),6)</f>
        <v>42922</v>
      </c>
      <c r="S9" s="67" cm="1">
        <f t="array" aca="1" ref="S9" ca="1">_xlfn.CHOOSECOLS(_xlfn.CHOOSEROWS(_xlfn._xlws.FILTER(표2[],(표2[DWG No.]=C9)*(ISNUMBER(표2[Rev.])),""),1),6)</f>
        <v>42947</v>
      </c>
    </row>
    <row r="10" spans="1:19" ht="18" customHeight="1" x14ac:dyDescent="0.45">
      <c r="A10" s="64">
        <v>5</v>
      </c>
      <c r="B10" s="49" t="s">
        <v>57</v>
      </c>
      <c r="C10" s="65" t="s">
        <v>82</v>
      </c>
      <c r="D10" s="66" t="s">
        <v>83</v>
      </c>
      <c r="E10" s="65" t="s">
        <v>84</v>
      </c>
      <c r="F10" s="66" t="s">
        <v>5</v>
      </c>
      <c r="G10" s="67">
        <v>42906</v>
      </c>
      <c r="H10" s="67">
        <v>42998</v>
      </c>
      <c r="I10" s="67">
        <v>42947</v>
      </c>
      <c r="J10" s="66" t="s">
        <v>79</v>
      </c>
      <c r="K10" s="66" t="s">
        <v>7</v>
      </c>
      <c r="L10" s="66" t="s">
        <v>62</v>
      </c>
      <c r="M10" s="67" t="s">
        <v>80</v>
      </c>
      <c r="N10" s="66" t="s">
        <v>81</v>
      </c>
      <c r="O10" s="66" t="s">
        <v>7</v>
      </c>
      <c r="P10" s="66" t="s">
        <v>62</v>
      </c>
      <c r="Q10" s="66" t="s">
        <v>5002</v>
      </c>
      <c r="R10" s="67" cm="1">
        <f t="array" aca="1" ref="R10" ca="1">_xlfn.CHOOSECOLS(_xlfn.CHOOSEROWS(_xlfn._xlws.FILTER(표2[],표2[DWG No.]=C10,""),1),6)</f>
        <v>42922</v>
      </c>
      <c r="S10" s="67" cm="1">
        <f t="array" aca="1" ref="S10" ca="1">_xlfn.CHOOSECOLS(_xlfn.CHOOSEROWS(_xlfn._xlws.FILTER(표2[],(표2[DWG No.]=C10)*(ISNUMBER(표2[Rev.])),""),1),6)</f>
        <v>42947</v>
      </c>
    </row>
    <row r="11" spans="1:19" ht="18" customHeight="1" x14ac:dyDescent="0.45">
      <c r="A11" s="64">
        <v>6</v>
      </c>
      <c r="B11" s="49" t="s">
        <v>57</v>
      </c>
      <c r="C11" s="65" t="s">
        <v>85</v>
      </c>
      <c r="D11" s="66" t="s">
        <v>86</v>
      </c>
      <c r="E11" s="65" t="s">
        <v>87</v>
      </c>
      <c r="F11" s="66" t="s">
        <v>5</v>
      </c>
      <c r="G11" s="67">
        <v>42906</v>
      </c>
      <c r="H11" s="67">
        <v>42998</v>
      </c>
      <c r="I11" s="67">
        <v>43034</v>
      </c>
      <c r="J11" s="66" t="s">
        <v>88</v>
      </c>
      <c r="K11" s="66" t="s">
        <v>7</v>
      </c>
      <c r="L11" s="66" t="s">
        <v>89</v>
      </c>
      <c r="M11" s="67" t="s">
        <v>90</v>
      </c>
      <c r="N11" s="66" t="s">
        <v>91</v>
      </c>
      <c r="O11" s="66" t="s">
        <v>7</v>
      </c>
      <c r="P11" s="66" t="s">
        <v>89</v>
      </c>
      <c r="Q11" s="66" t="s">
        <v>5003</v>
      </c>
      <c r="R11" s="67" cm="1">
        <f t="array" aca="1" ref="R11" ca="1">_xlfn.CHOOSECOLS(_xlfn.CHOOSEROWS(_xlfn._xlws.FILTER(표2[],표2[DWG No.]=C11,""),1),6)</f>
        <v>42922</v>
      </c>
      <c r="S11" s="67" cm="1">
        <f t="array" aca="1" ref="S11" ca="1">_xlfn.CHOOSECOLS(_xlfn.CHOOSEROWS(_xlfn._xlws.FILTER(표2[],(표2[DWG No.]=C11)*(ISNUMBER(표2[Rev.])),""),1),6)</f>
        <v>42984</v>
      </c>
    </row>
    <row r="12" spans="1:19" ht="18" customHeight="1" x14ac:dyDescent="0.45">
      <c r="A12" s="64">
        <v>7</v>
      </c>
      <c r="B12" s="49" t="s">
        <v>57</v>
      </c>
      <c r="C12" s="65" t="s">
        <v>92</v>
      </c>
      <c r="D12" s="66" t="s">
        <v>93</v>
      </c>
      <c r="E12" s="65" t="s">
        <v>2624</v>
      </c>
      <c r="F12" s="66" t="s">
        <v>5</v>
      </c>
      <c r="G12" s="67">
        <v>42906</v>
      </c>
      <c r="H12" s="67">
        <v>42998</v>
      </c>
      <c r="I12" s="67">
        <v>43034</v>
      </c>
      <c r="J12" s="66" t="s">
        <v>88</v>
      </c>
      <c r="K12" s="66" t="s">
        <v>7</v>
      </c>
      <c r="L12" s="66" t="s">
        <v>89</v>
      </c>
      <c r="M12" s="67" t="s">
        <v>90</v>
      </c>
      <c r="N12" s="66" t="s">
        <v>94</v>
      </c>
      <c r="O12" s="66" t="s">
        <v>7</v>
      </c>
      <c r="P12" s="66" t="s">
        <v>89</v>
      </c>
      <c r="Q12" s="66" t="s">
        <v>5002</v>
      </c>
      <c r="R12" s="67" cm="1">
        <f t="array" aca="1" ref="R12" ca="1">_xlfn.CHOOSECOLS(_xlfn.CHOOSEROWS(_xlfn._xlws.FILTER(표2[],표2[DWG No.]=C12,""),1),6)</f>
        <v>42922</v>
      </c>
      <c r="S12" s="67" cm="1">
        <f t="array" aca="1" ref="S12" ca="1">_xlfn.CHOOSECOLS(_xlfn.CHOOSEROWS(_xlfn._xlws.FILTER(표2[],(표2[DWG No.]=C12)*(ISNUMBER(표2[Rev.])),""),1),6)</f>
        <v>42947</v>
      </c>
    </row>
    <row r="13" spans="1:19" ht="18" customHeight="1" x14ac:dyDescent="0.45">
      <c r="A13" s="64">
        <v>8</v>
      </c>
      <c r="B13" s="49" t="s">
        <v>57</v>
      </c>
      <c r="C13" s="65" t="s">
        <v>95</v>
      </c>
      <c r="D13" s="66" t="s">
        <v>96</v>
      </c>
      <c r="E13" s="65" t="s">
        <v>97</v>
      </c>
      <c r="F13" s="66" t="s">
        <v>5</v>
      </c>
      <c r="G13" s="67">
        <v>42909</v>
      </c>
      <c r="H13" s="67">
        <v>43001</v>
      </c>
      <c r="I13" s="67">
        <v>42947</v>
      </c>
      <c r="J13" s="66" t="s">
        <v>79</v>
      </c>
      <c r="K13" s="66" t="s">
        <v>7</v>
      </c>
      <c r="L13" s="66" t="s">
        <v>62</v>
      </c>
      <c r="M13" s="67" t="s">
        <v>80</v>
      </c>
      <c r="N13" s="66" t="s">
        <v>81</v>
      </c>
      <c r="O13" s="66" t="s">
        <v>7</v>
      </c>
      <c r="P13" s="66" t="s">
        <v>62</v>
      </c>
      <c r="Q13" s="66" t="s">
        <v>5002</v>
      </c>
      <c r="R13" s="67" cm="1">
        <f t="array" aca="1" ref="R13" ca="1">_xlfn.CHOOSECOLS(_xlfn.CHOOSEROWS(_xlfn._xlws.FILTER(표2[],표2[DWG No.]=C13,""),1),6)</f>
        <v>42922</v>
      </c>
      <c r="S13" s="67" cm="1">
        <f t="array" aca="1" ref="S13" ca="1">_xlfn.CHOOSECOLS(_xlfn.CHOOSEROWS(_xlfn._xlws.FILTER(표2[],(표2[DWG No.]=C13)*(ISNUMBER(표2[Rev.])),""),1),6)</f>
        <v>42947</v>
      </c>
    </row>
    <row r="14" spans="1:19" ht="18" customHeight="1" x14ac:dyDescent="0.45">
      <c r="A14" s="64">
        <v>9</v>
      </c>
      <c r="B14" s="49" t="s">
        <v>57</v>
      </c>
      <c r="C14" s="65" t="s">
        <v>98</v>
      </c>
      <c r="D14" s="66" t="s">
        <v>99</v>
      </c>
      <c r="E14" s="65" t="s">
        <v>100</v>
      </c>
      <c r="F14" s="66" t="s">
        <v>5</v>
      </c>
      <c r="G14" s="67">
        <v>42976</v>
      </c>
      <c r="H14" s="67">
        <v>43068</v>
      </c>
      <c r="I14" s="67">
        <v>43034</v>
      </c>
      <c r="J14" s="66" t="s">
        <v>101</v>
      </c>
      <c r="K14" s="66" t="s">
        <v>7</v>
      </c>
      <c r="L14" s="66" t="s">
        <v>62</v>
      </c>
      <c r="M14" s="67" t="s">
        <v>90</v>
      </c>
      <c r="N14" s="66" t="s">
        <v>102</v>
      </c>
      <c r="O14" s="66" t="s">
        <v>7</v>
      </c>
      <c r="P14" s="66" t="s">
        <v>62</v>
      </c>
      <c r="Q14" s="66" t="s">
        <v>5002</v>
      </c>
      <c r="R14" s="67" cm="1">
        <f t="array" aca="1" ref="R14" ca="1">_xlfn.CHOOSECOLS(_xlfn.CHOOSEROWS(_xlfn._xlws.FILTER(표2[],표2[DWG No.]=C14,""),1),6)</f>
        <v>42984</v>
      </c>
      <c r="S14" s="67" cm="1">
        <f t="array" aca="1" ref="S14" ca="1">_xlfn.CHOOSECOLS(_xlfn.CHOOSEROWS(_xlfn._xlws.FILTER(표2[],(표2[DWG No.]=C14)*(ISNUMBER(표2[Rev.])),""),1),6)</f>
        <v>43034</v>
      </c>
    </row>
    <row r="15" spans="1:19" ht="18" customHeight="1" x14ac:dyDescent="0.45">
      <c r="A15" s="64">
        <v>10</v>
      </c>
      <c r="B15" s="49" t="s">
        <v>57</v>
      </c>
      <c r="C15" s="65" t="s">
        <v>103</v>
      </c>
      <c r="D15" s="66" t="s">
        <v>104</v>
      </c>
      <c r="E15" s="65" t="s">
        <v>105</v>
      </c>
      <c r="F15" s="66" t="s">
        <v>5</v>
      </c>
      <c r="G15" s="67">
        <v>42976</v>
      </c>
      <c r="H15" s="67">
        <v>43068</v>
      </c>
      <c r="I15" s="67">
        <v>43034</v>
      </c>
      <c r="J15" s="66" t="s">
        <v>101</v>
      </c>
      <c r="K15" s="66" t="s">
        <v>7</v>
      </c>
      <c r="L15" s="66" t="s">
        <v>62</v>
      </c>
      <c r="M15" s="67" t="s">
        <v>90</v>
      </c>
      <c r="N15" s="66" t="s">
        <v>106</v>
      </c>
      <c r="O15" s="66" t="s">
        <v>7</v>
      </c>
      <c r="P15" s="66" t="s">
        <v>62</v>
      </c>
      <c r="Q15" s="66" t="s">
        <v>5002</v>
      </c>
      <c r="R15" s="67" cm="1">
        <f t="array" aca="1" ref="R15" ca="1">_xlfn.CHOOSECOLS(_xlfn.CHOOSEROWS(_xlfn._xlws.FILTER(표2[],표2[DWG No.]=C15,""),1),6)</f>
        <v>42984</v>
      </c>
      <c r="S15" s="67" cm="1">
        <f t="array" aca="1" ref="S15" ca="1">_xlfn.CHOOSECOLS(_xlfn.CHOOSEROWS(_xlfn._xlws.FILTER(표2[],(표2[DWG No.]=C15)*(ISNUMBER(표2[Rev.])),""),1),6)</f>
        <v>43034</v>
      </c>
    </row>
    <row r="16" spans="1:19" ht="18" customHeight="1" x14ac:dyDescent="0.45">
      <c r="A16" s="64">
        <v>11</v>
      </c>
      <c r="B16" s="49" t="s">
        <v>57</v>
      </c>
      <c r="C16" s="65" t="s">
        <v>107</v>
      </c>
      <c r="D16" s="66" t="s">
        <v>108</v>
      </c>
      <c r="E16" s="65" t="s">
        <v>109</v>
      </c>
      <c r="F16" s="66" t="s">
        <v>5</v>
      </c>
      <c r="G16" s="67">
        <v>42976</v>
      </c>
      <c r="H16" s="67">
        <v>43068</v>
      </c>
      <c r="I16" s="67">
        <v>43034</v>
      </c>
      <c r="J16" s="66" t="s">
        <v>101</v>
      </c>
      <c r="K16" s="66" t="s">
        <v>7</v>
      </c>
      <c r="L16" s="66" t="s">
        <v>62</v>
      </c>
      <c r="M16" s="67" t="s">
        <v>90</v>
      </c>
      <c r="N16" s="66" t="s">
        <v>110</v>
      </c>
      <c r="O16" s="66" t="s">
        <v>7</v>
      </c>
      <c r="P16" s="66" t="s">
        <v>62</v>
      </c>
      <c r="Q16" s="66" t="s">
        <v>5002</v>
      </c>
      <c r="R16" s="67" cm="1">
        <f t="array" aca="1" ref="R16" ca="1">_xlfn.CHOOSECOLS(_xlfn.CHOOSEROWS(_xlfn._xlws.FILTER(표2[],표2[DWG No.]=C16,""),1),6)</f>
        <v>42984</v>
      </c>
      <c r="S16" s="67" cm="1">
        <f t="array" aca="1" ref="S16" ca="1">_xlfn.CHOOSECOLS(_xlfn.CHOOSEROWS(_xlfn._xlws.FILTER(표2[],(표2[DWG No.]=C16)*(ISNUMBER(표2[Rev.])),""),1),6)</f>
        <v>43034</v>
      </c>
    </row>
    <row r="17" spans="1:19" ht="18" customHeight="1" x14ac:dyDescent="0.45">
      <c r="A17" s="64">
        <v>12</v>
      </c>
      <c r="B17" s="49" t="s">
        <v>57</v>
      </c>
      <c r="C17" s="65" t="s">
        <v>111</v>
      </c>
      <c r="D17" s="66" t="s">
        <v>112</v>
      </c>
      <c r="E17" s="65" t="s">
        <v>113</v>
      </c>
      <c r="F17" s="66" t="s">
        <v>5</v>
      </c>
      <c r="G17" s="67">
        <v>42976</v>
      </c>
      <c r="H17" s="67">
        <v>43068</v>
      </c>
      <c r="I17" s="67">
        <v>43034</v>
      </c>
      <c r="J17" s="66" t="s">
        <v>101</v>
      </c>
      <c r="K17" s="66" t="s">
        <v>7</v>
      </c>
      <c r="L17" s="66" t="s">
        <v>62</v>
      </c>
      <c r="M17" s="67" t="s">
        <v>90</v>
      </c>
      <c r="N17" s="66" t="s">
        <v>114</v>
      </c>
      <c r="O17" s="66" t="s">
        <v>7</v>
      </c>
      <c r="P17" s="66" t="s">
        <v>62</v>
      </c>
      <c r="Q17" s="66" t="s">
        <v>5002</v>
      </c>
      <c r="R17" s="67" cm="1">
        <f t="array" aca="1" ref="R17" ca="1">_xlfn.CHOOSECOLS(_xlfn.CHOOSEROWS(_xlfn._xlws.FILTER(표2[],표2[DWG No.]=C17,""),1),6)</f>
        <v>42984</v>
      </c>
      <c r="S17" s="67" cm="1">
        <f t="array" aca="1" ref="S17" ca="1">_xlfn.CHOOSECOLS(_xlfn.CHOOSEROWS(_xlfn._xlws.FILTER(표2[],(표2[DWG No.]=C17)*(ISNUMBER(표2[Rev.])),""),1),6)</f>
        <v>43034</v>
      </c>
    </row>
    <row r="18" spans="1:19" ht="18" customHeight="1" x14ac:dyDescent="0.45">
      <c r="A18" s="64">
        <v>13</v>
      </c>
      <c r="B18" s="49" t="s">
        <v>57</v>
      </c>
      <c r="C18" s="65" t="s">
        <v>115</v>
      </c>
      <c r="D18" s="66" t="s">
        <v>116</v>
      </c>
      <c r="E18" s="65" t="s">
        <v>117</v>
      </c>
      <c r="F18" s="66" t="s">
        <v>5</v>
      </c>
      <c r="G18" s="67">
        <v>42976</v>
      </c>
      <c r="H18" s="67">
        <v>43068</v>
      </c>
      <c r="I18" s="67">
        <v>43034</v>
      </c>
      <c r="J18" s="66" t="s">
        <v>101</v>
      </c>
      <c r="K18" s="66" t="s">
        <v>7</v>
      </c>
      <c r="L18" s="66" t="s">
        <v>62</v>
      </c>
      <c r="M18" s="67" t="s">
        <v>90</v>
      </c>
      <c r="N18" s="66" t="s">
        <v>118</v>
      </c>
      <c r="O18" s="66" t="s">
        <v>7</v>
      </c>
      <c r="P18" s="66" t="s">
        <v>62</v>
      </c>
      <c r="Q18" s="66" t="s">
        <v>5002</v>
      </c>
      <c r="R18" s="67" cm="1">
        <f t="array" aca="1" ref="R18" ca="1">_xlfn.CHOOSECOLS(_xlfn.CHOOSEROWS(_xlfn._xlws.FILTER(표2[],표2[DWG No.]=C18,""),1),6)</f>
        <v>42984</v>
      </c>
      <c r="S18" s="67" cm="1">
        <f t="array" aca="1" ref="S18" ca="1">_xlfn.CHOOSECOLS(_xlfn.CHOOSEROWS(_xlfn._xlws.FILTER(표2[],(표2[DWG No.]=C18)*(ISNUMBER(표2[Rev.])),""),1),6)</f>
        <v>43034</v>
      </c>
    </row>
    <row r="19" spans="1:19" ht="18" customHeight="1" x14ac:dyDescent="0.45">
      <c r="A19" s="64">
        <v>14</v>
      </c>
      <c r="B19" s="49" t="s">
        <v>57</v>
      </c>
      <c r="C19" s="65" t="s">
        <v>119</v>
      </c>
      <c r="D19" s="66" t="s">
        <v>120</v>
      </c>
      <c r="E19" s="65" t="s">
        <v>121</v>
      </c>
      <c r="F19" s="66" t="s">
        <v>5</v>
      </c>
      <c r="G19" s="67">
        <v>42976</v>
      </c>
      <c r="H19" s="67">
        <v>43068</v>
      </c>
      <c r="I19" s="67">
        <v>43034</v>
      </c>
      <c r="J19" s="66" t="s">
        <v>101</v>
      </c>
      <c r="K19" s="66" t="s">
        <v>7</v>
      </c>
      <c r="L19" s="66" t="s">
        <v>62</v>
      </c>
      <c r="M19" s="67" t="s">
        <v>90</v>
      </c>
      <c r="N19" s="66" t="s">
        <v>122</v>
      </c>
      <c r="O19" s="66" t="s">
        <v>7</v>
      </c>
      <c r="P19" s="66" t="s">
        <v>62</v>
      </c>
      <c r="Q19" s="66" t="s">
        <v>5002</v>
      </c>
      <c r="R19" s="67" cm="1">
        <f t="array" aca="1" ref="R19" ca="1">_xlfn.CHOOSECOLS(_xlfn.CHOOSEROWS(_xlfn._xlws.FILTER(표2[],표2[DWG No.]=C19,""),1),6)</f>
        <v>42984</v>
      </c>
      <c r="S19" s="67" cm="1">
        <f t="array" aca="1" ref="S19" ca="1">_xlfn.CHOOSECOLS(_xlfn.CHOOSEROWS(_xlfn._xlws.FILTER(표2[],(표2[DWG No.]=C19)*(ISNUMBER(표2[Rev.])),""),1),6)</f>
        <v>43034</v>
      </c>
    </row>
    <row r="20" spans="1:19" ht="18" customHeight="1" x14ac:dyDescent="0.45">
      <c r="A20" s="64">
        <v>15</v>
      </c>
      <c r="B20" s="49" t="s">
        <v>57</v>
      </c>
      <c r="C20" s="65" t="s">
        <v>123</v>
      </c>
      <c r="D20" s="66" t="s">
        <v>124</v>
      </c>
      <c r="E20" s="65" t="s">
        <v>125</v>
      </c>
      <c r="F20" s="66" t="s">
        <v>5</v>
      </c>
      <c r="G20" s="67">
        <v>42976</v>
      </c>
      <c r="H20" s="67">
        <v>43068</v>
      </c>
      <c r="I20" s="67">
        <v>43034</v>
      </c>
      <c r="J20" s="66" t="s">
        <v>101</v>
      </c>
      <c r="K20" s="66" t="s">
        <v>7</v>
      </c>
      <c r="L20" s="66" t="s">
        <v>62</v>
      </c>
      <c r="M20" s="67" t="s">
        <v>90</v>
      </c>
      <c r="N20" s="66" t="s">
        <v>126</v>
      </c>
      <c r="O20" s="66" t="s">
        <v>7</v>
      </c>
      <c r="P20" s="66" t="s">
        <v>62</v>
      </c>
      <c r="Q20" s="66" t="s">
        <v>5002</v>
      </c>
      <c r="R20" s="67" cm="1">
        <f t="array" aca="1" ref="R20" ca="1">_xlfn.CHOOSECOLS(_xlfn.CHOOSEROWS(_xlfn._xlws.FILTER(표2[],표2[DWG No.]=C20,""),1),6)</f>
        <v>42984</v>
      </c>
      <c r="S20" s="67" cm="1">
        <f t="array" aca="1" ref="S20" ca="1">_xlfn.CHOOSECOLS(_xlfn.CHOOSEROWS(_xlfn._xlws.FILTER(표2[],(표2[DWG No.]=C20)*(ISNUMBER(표2[Rev.])),""),1),6)</f>
        <v>43034</v>
      </c>
    </row>
    <row r="21" spans="1:19" ht="18" customHeight="1" x14ac:dyDescent="0.45">
      <c r="A21" s="64">
        <v>16</v>
      </c>
      <c r="B21" s="49" t="s">
        <v>57</v>
      </c>
      <c r="C21" s="65" t="s">
        <v>127</v>
      </c>
      <c r="D21" s="66" t="s">
        <v>128</v>
      </c>
      <c r="E21" s="65" t="s">
        <v>129</v>
      </c>
      <c r="F21" s="66" t="s">
        <v>5</v>
      </c>
      <c r="G21" s="67">
        <v>42976</v>
      </c>
      <c r="H21" s="67">
        <v>43068</v>
      </c>
      <c r="I21" s="67">
        <v>43034</v>
      </c>
      <c r="J21" s="66" t="s">
        <v>101</v>
      </c>
      <c r="K21" s="66" t="s">
        <v>7</v>
      </c>
      <c r="L21" s="66" t="s">
        <v>62</v>
      </c>
      <c r="M21" s="67" t="s">
        <v>90</v>
      </c>
      <c r="N21" s="66" t="s">
        <v>130</v>
      </c>
      <c r="O21" s="66" t="s">
        <v>7</v>
      </c>
      <c r="P21" s="66" t="s">
        <v>62</v>
      </c>
      <c r="Q21" s="66" t="s">
        <v>5002</v>
      </c>
      <c r="R21" s="67" cm="1">
        <f t="array" aca="1" ref="R21" ca="1">_xlfn.CHOOSECOLS(_xlfn.CHOOSEROWS(_xlfn._xlws.FILTER(표2[],표2[DWG No.]=C21,""),1),6)</f>
        <v>42984</v>
      </c>
      <c r="S21" s="67" cm="1">
        <f t="array" aca="1" ref="S21" ca="1">_xlfn.CHOOSECOLS(_xlfn.CHOOSEROWS(_xlfn._xlws.FILTER(표2[],(표2[DWG No.]=C21)*(ISNUMBER(표2[Rev.])),""),1),6)</f>
        <v>43034</v>
      </c>
    </row>
    <row r="22" spans="1:19" ht="18" customHeight="1" x14ac:dyDescent="0.45">
      <c r="A22" s="64">
        <v>17</v>
      </c>
      <c r="B22" s="49" t="s">
        <v>57</v>
      </c>
      <c r="C22" s="65" t="s">
        <v>131</v>
      </c>
      <c r="D22" s="66" t="s">
        <v>132</v>
      </c>
      <c r="E22" s="65" t="s">
        <v>133</v>
      </c>
      <c r="F22" s="66" t="s">
        <v>5</v>
      </c>
      <c r="G22" s="67">
        <v>42976</v>
      </c>
      <c r="H22" s="67">
        <v>43068</v>
      </c>
      <c r="I22" s="67">
        <v>43034</v>
      </c>
      <c r="J22" s="66" t="s">
        <v>101</v>
      </c>
      <c r="K22" s="66" t="s">
        <v>7</v>
      </c>
      <c r="L22" s="66" t="s">
        <v>62</v>
      </c>
      <c r="M22" s="67" t="s">
        <v>90</v>
      </c>
      <c r="N22" s="66" t="s">
        <v>134</v>
      </c>
      <c r="O22" s="66" t="s">
        <v>7</v>
      </c>
      <c r="P22" s="66" t="s">
        <v>62</v>
      </c>
      <c r="Q22" s="66" t="s">
        <v>5002</v>
      </c>
      <c r="R22" s="67" cm="1">
        <f t="array" aca="1" ref="R22" ca="1">_xlfn.CHOOSECOLS(_xlfn.CHOOSEROWS(_xlfn._xlws.FILTER(표2[],표2[DWG No.]=C22,""),1),6)</f>
        <v>42984</v>
      </c>
      <c r="S22" s="67" cm="1">
        <f t="array" aca="1" ref="S22" ca="1">_xlfn.CHOOSECOLS(_xlfn.CHOOSEROWS(_xlfn._xlws.FILTER(표2[],(표2[DWG No.]=C22)*(ISNUMBER(표2[Rev.])),""),1),6)</f>
        <v>43034</v>
      </c>
    </row>
    <row r="23" spans="1:19" ht="18" customHeight="1" x14ac:dyDescent="0.45">
      <c r="A23" s="64">
        <v>18</v>
      </c>
      <c r="B23" s="49" t="s">
        <v>57</v>
      </c>
      <c r="C23" s="65" t="s">
        <v>135</v>
      </c>
      <c r="D23" s="66" t="s">
        <v>136</v>
      </c>
      <c r="E23" s="65" t="s">
        <v>137</v>
      </c>
      <c r="F23" s="66" t="s">
        <v>5</v>
      </c>
      <c r="G23" s="67">
        <v>42976</v>
      </c>
      <c r="H23" s="67">
        <v>43068</v>
      </c>
      <c r="I23" s="67">
        <v>43034</v>
      </c>
      <c r="J23" s="66" t="s">
        <v>101</v>
      </c>
      <c r="K23" s="66" t="s">
        <v>7</v>
      </c>
      <c r="L23" s="66" t="s">
        <v>62</v>
      </c>
      <c r="M23" s="67" t="s">
        <v>90</v>
      </c>
      <c r="N23" s="66" t="s">
        <v>138</v>
      </c>
      <c r="O23" s="66" t="s">
        <v>7</v>
      </c>
      <c r="P23" s="66" t="s">
        <v>62</v>
      </c>
      <c r="Q23" s="66" t="s">
        <v>5002</v>
      </c>
      <c r="R23" s="67" cm="1">
        <f t="array" aca="1" ref="R23" ca="1">_xlfn.CHOOSECOLS(_xlfn.CHOOSEROWS(_xlfn._xlws.FILTER(표2[],표2[DWG No.]=C23,""),1),6)</f>
        <v>42984</v>
      </c>
      <c r="S23" s="67" cm="1">
        <f t="array" aca="1" ref="S23" ca="1">_xlfn.CHOOSECOLS(_xlfn.CHOOSEROWS(_xlfn._xlws.FILTER(표2[],(표2[DWG No.]=C23)*(ISNUMBER(표2[Rev.])),""),1),6)</f>
        <v>43034</v>
      </c>
    </row>
    <row r="24" spans="1:19" ht="18" customHeight="1" x14ac:dyDescent="0.45">
      <c r="A24" s="64">
        <v>19</v>
      </c>
      <c r="B24" s="49" t="s">
        <v>57</v>
      </c>
      <c r="C24" s="65" t="s">
        <v>139</v>
      </c>
      <c r="D24" s="66" t="s">
        <v>140</v>
      </c>
      <c r="E24" s="65" t="s">
        <v>141</v>
      </c>
      <c r="F24" s="66" t="s">
        <v>5</v>
      </c>
      <c r="G24" s="67">
        <v>42984</v>
      </c>
      <c r="H24" s="67">
        <v>43075</v>
      </c>
      <c r="I24" s="67">
        <v>43007</v>
      </c>
      <c r="J24" s="66" t="s">
        <v>142</v>
      </c>
      <c r="K24" s="66" t="s">
        <v>7</v>
      </c>
      <c r="L24" s="66" t="s">
        <v>62</v>
      </c>
      <c r="M24" s="67" t="s">
        <v>143</v>
      </c>
      <c r="N24" s="66" t="s">
        <v>144</v>
      </c>
      <c r="O24" s="66" t="s">
        <v>7</v>
      </c>
      <c r="P24" s="66" t="s">
        <v>62</v>
      </c>
      <c r="Q24" s="66" t="s">
        <v>5002</v>
      </c>
      <c r="R24" s="67" cm="1">
        <f t="array" aca="1" ref="R24" ca="1">_xlfn.CHOOSECOLS(_xlfn.CHOOSEROWS(_xlfn._xlws.FILTER(표2[],표2[DWG No.]=C24,""),1),6)</f>
        <v>42989</v>
      </c>
      <c r="S24" s="67" cm="1">
        <f t="array" aca="1" ref="S24" ca="1">_xlfn.CHOOSECOLS(_xlfn.CHOOSEROWS(_xlfn._xlws.FILTER(표2[],(표2[DWG No.]=C24)*(ISNUMBER(표2[Rev.])),""),1),6)</f>
        <v>43007</v>
      </c>
    </row>
    <row r="25" spans="1:19" ht="18" customHeight="1" x14ac:dyDescent="0.45">
      <c r="A25" s="64">
        <v>20</v>
      </c>
      <c r="B25" s="49" t="s">
        <v>57</v>
      </c>
      <c r="C25" s="65" t="s">
        <v>145</v>
      </c>
      <c r="D25" s="66" t="s">
        <v>146</v>
      </c>
      <c r="E25" s="65" t="s">
        <v>147</v>
      </c>
      <c r="F25" s="66" t="s">
        <v>5</v>
      </c>
      <c r="G25" s="67">
        <v>43006</v>
      </c>
      <c r="H25" s="67">
        <v>43097</v>
      </c>
      <c r="I25" s="67">
        <v>43106</v>
      </c>
      <c r="J25" s="66" t="s">
        <v>148</v>
      </c>
      <c r="K25" s="66" t="s">
        <v>7</v>
      </c>
      <c r="L25" s="66" t="s">
        <v>62</v>
      </c>
      <c r="M25" s="67" t="s">
        <v>149</v>
      </c>
      <c r="N25" s="66" t="s">
        <v>150</v>
      </c>
      <c r="O25" s="66" t="s">
        <v>7</v>
      </c>
      <c r="P25" s="66" t="s">
        <v>62</v>
      </c>
      <c r="Q25" s="66" t="s">
        <v>5002</v>
      </c>
      <c r="R25" s="67" cm="1">
        <f t="array" aca="1" ref="R25" ca="1">_xlfn.CHOOSECOLS(_xlfn.CHOOSEROWS(_xlfn._xlws.FILTER(표2[],표2[DWG No.]=C25,""),1),6)</f>
        <v>43018</v>
      </c>
      <c r="S25" s="67" cm="1">
        <f t="array" aca="1" ref="S25" ca="1">_xlfn.CHOOSECOLS(_xlfn.CHOOSEROWS(_xlfn._xlws.FILTER(표2[],(표2[DWG No.]=C25)*(ISNUMBER(표2[Rev.])),""),1),6)</f>
        <v>43106</v>
      </c>
    </row>
    <row r="26" spans="1:19" ht="18" customHeight="1" x14ac:dyDescent="0.45">
      <c r="A26" s="64">
        <v>21</v>
      </c>
      <c r="B26" s="49" t="s">
        <v>57</v>
      </c>
      <c r="C26" s="65" t="s">
        <v>151</v>
      </c>
      <c r="D26" s="66" t="s">
        <v>152</v>
      </c>
      <c r="E26" s="65" t="s">
        <v>153</v>
      </c>
      <c r="F26" s="66" t="s">
        <v>6</v>
      </c>
      <c r="G26" s="67">
        <v>42907</v>
      </c>
      <c r="H26" s="67">
        <v>42999</v>
      </c>
      <c r="I26" s="67">
        <v>43068</v>
      </c>
      <c r="J26" s="66" t="s">
        <v>154</v>
      </c>
      <c r="K26" s="66" t="s">
        <v>7</v>
      </c>
      <c r="L26" s="66" t="s">
        <v>62</v>
      </c>
      <c r="M26" s="67" t="s">
        <v>155</v>
      </c>
      <c r="N26" s="66" t="s">
        <v>156</v>
      </c>
      <c r="O26" s="66" t="s">
        <v>7</v>
      </c>
      <c r="P26" s="66" t="s">
        <v>62</v>
      </c>
      <c r="Q26" s="66" t="s">
        <v>5002</v>
      </c>
      <c r="R26" s="67" cm="1">
        <f t="array" aca="1" ref="R26" ca="1">_xlfn.CHOOSECOLS(_xlfn.CHOOSEROWS(_xlfn._xlws.FILTER(표2[],표2[DWG No.]=C26,""),1),6)</f>
        <v>42922</v>
      </c>
      <c r="S26" s="67" cm="1">
        <f t="array" aca="1" ref="S26" ca="1">_xlfn.CHOOSECOLS(_xlfn.CHOOSEROWS(_xlfn._xlws.FILTER(표2[],(표2[DWG No.]=C26)*(ISNUMBER(표2[Rev.])),""),1),6)</f>
        <v>43068</v>
      </c>
    </row>
    <row r="27" spans="1:19" ht="18" customHeight="1" x14ac:dyDescent="0.45">
      <c r="A27" s="64">
        <v>22</v>
      </c>
      <c r="B27" s="49" t="s">
        <v>57</v>
      </c>
      <c r="C27" s="65" t="s">
        <v>157</v>
      </c>
      <c r="D27" s="66" t="s">
        <v>158</v>
      </c>
      <c r="E27" s="65" t="s">
        <v>159</v>
      </c>
      <c r="F27" s="66" t="s">
        <v>6</v>
      </c>
      <c r="G27" s="67">
        <v>42776</v>
      </c>
      <c r="H27" s="67">
        <v>42892</v>
      </c>
      <c r="I27" s="67">
        <v>43314</v>
      </c>
      <c r="J27" s="66" t="s">
        <v>2432</v>
      </c>
      <c r="K27" s="66" t="s">
        <v>7</v>
      </c>
      <c r="L27" s="66" t="s">
        <v>89</v>
      </c>
      <c r="M27" s="67" t="s">
        <v>2433</v>
      </c>
      <c r="N27" s="66" t="s">
        <v>2434</v>
      </c>
      <c r="O27" s="66" t="s">
        <v>7</v>
      </c>
      <c r="P27" s="66" t="s">
        <v>89</v>
      </c>
      <c r="Q27" s="66" t="s">
        <v>5002</v>
      </c>
      <c r="R27" s="67" cm="1">
        <f t="array" aca="1" ref="R27" ca="1">_xlfn.CHOOSECOLS(_xlfn.CHOOSEROWS(_xlfn._xlws.FILTER(표2[],표2[DWG No.]=C27,""),1),6)</f>
        <v>42776</v>
      </c>
      <c r="S27" s="67" cm="1">
        <f t="array" aca="1" ref="S27" ca="1">_xlfn.CHOOSECOLS(_xlfn.CHOOSEROWS(_xlfn._xlws.FILTER(표2[],(표2[DWG No.]=C27)*(ISNUMBER(표2[Rev.])),""),1),6)</f>
        <v>42816</v>
      </c>
    </row>
    <row r="28" spans="1:19" ht="18" customHeight="1" x14ac:dyDescent="0.45">
      <c r="A28" s="64">
        <v>23</v>
      </c>
      <c r="B28" s="49" t="s">
        <v>57</v>
      </c>
      <c r="C28" s="65" t="s">
        <v>161</v>
      </c>
      <c r="D28" s="66" t="s">
        <v>162</v>
      </c>
      <c r="E28" s="65" t="s">
        <v>163</v>
      </c>
      <c r="F28" s="66" t="s">
        <v>6</v>
      </c>
      <c r="G28" s="67">
        <v>42811</v>
      </c>
      <c r="H28" s="67">
        <v>43374</v>
      </c>
      <c r="I28" s="67">
        <v>43375</v>
      </c>
      <c r="J28" s="66" t="s">
        <v>2435</v>
      </c>
      <c r="K28" s="66" t="s">
        <v>7</v>
      </c>
      <c r="L28" s="66" t="s">
        <v>62</v>
      </c>
      <c r="M28" s="67" t="s">
        <v>2436</v>
      </c>
      <c r="N28" s="66" t="s">
        <v>2437</v>
      </c>
      <c r="O28" s="66" t="s">
        <v>7</v>
      </c>
      <c r="P28" s="66" t="s">
        <v>62</v>
      </c>
      <c r="Q28" s="66" t="s">
        <v>65</v>
      </c>
      <c r="R28" s="67" cm="1">
        <f t="array" aca="1" ref="R28" ca="1">_xlfn.CHOOSECOLS(_xlfn.CHOOSEROWS(_xlfn._xlws.FILTER(표2[],표2[DWG No.]=C28,""),1),6)</f>
        <v>42831</v>
      </c>
      <c r="S28" s="67" t="e" cm="1">
        <f t="array" ref="S28">_xlfn.CHOOSECOLS(_xlfn.CHOOSEROWS(_xlfn._xlws.FILTER(표2[],(표2[DWG No.]=C28)*(ISNUMBER(표2[Rev.])),""),1),6)</f>
        <v>#VALUE!</v>
      </c>
    </row>
    <row r="29" spans="1:19" ht="18" customHeight="1" x14ac:dyDescent="0.45">
      <c r="A29" s="64">
        <v>24</v>
      </c>
      <c r="B29" s="49" t="s">
        <v>57</v>
      </c>
      <c r="C29" s="65" t="s">
        <v>166</v>
      </c>
      <c r="D29" s="66" t="s">
        <v>2658</v>
      </c>
      <c r="E29" s="65" t="s">
        <v>167</v>
      </c>
      <c r="F29" s="66" t="s">
        <v>6</v>
      </c>
      <c r="G29" s="67">
        <v>42811</v>
      </c>
      <c r="H29" s="67">
        <v>43374</v>
      </c>
      <c r="I29" s="67">
        <v>43300</v>
      </c>
      <c r="J29" s="66" t="s">
        <v>2438</v>
      </c>
      <c r="K29" s="66" t="s">
        <v>7</v>
      </c>
      <c r="L29" s="66" t="s">
        <v>62</v>
      </c>
      <c r="M29" s="67" t="s">
        <v>2439</v>
      </c>
      <c r="N29" s="66" t="s">
        <v>2440</v>
      </c>
      <c r="O29" s="66" t="s">
        <v>7</v>
      </c>
      <c r="P29" s="66" t="s">
        <v>62</v>
      </c>
      <c r="Q29" s="66" t="s">
        <v>65</v>
      </c>
      <c r="R29" s="67" cm="1">
        <f t="array" aca="1" ref="R29" ca="1">_xlfn.CHOOSECOLS(_xlfn.CHOOSEROWS(_xlfn._xlws.FILTER(표2[],표2[DWG No.]=C29,""),1),6)</f>
        <v>42816</v>
      </c>
      <c r="S29" s="67" t="e" cm="1">
        <f t="array" ref="S29">_xlfn.CHOOSECOLS(_xlfn.CHOOSEROWS(_xlfn._xlws.FILTER(표2[],(표2[DWG No.]=C29)*(ISNUMBER(표2[Rev.])),""),1),6)</f>
        <v>#VALUE!</v>
      </c>
    </row>
    <row r="30" spans="1:19" ht="18" customHeight="1" x14ac:dyDescent="0.45">
      <c r="A30" s="64">
        <v>25</v>
      </c>
      <c r="B30" s="49" t="s">
        <v>57</v>
      </c>
      <c r="C30" s="65" t="s">
        <v>168</v>
      </c>
      <c r="D30" s="66" t="s">
        <v>169</v>
      </c>
      <c r="E30" s="65" t="s">
        <v>170</v>
      </c>
      <c r="F30" s="66" t="s">
        <v>6</v>
      </c>
      <c r="G30" s="67">
        <v>42811</v>
      </c>
      <c r="H30" s="67">
        <v>43374</v>
      </c>
      <c r="I30" s="67">
        <v>43300</v>
      </c>
      <c r="J30" s="66" t="s">
        <v>2438</v>
      </c>
      <c r="K30" s="66" t="s">
        <v>7</v>
      </c>
      <c r="L30" s="66" t="s">
        <v>62</v>
      </c>
      <c r="M30" s="67" t="s">
        <v>2439</v>
      </c>
      <c r="N30" s="66" t="s">
        <v>2441</v>
      </c>
      <c r="O30" s="66" t="s">
        <v>7</v>
      </c>
      <c r="P30" s="66" t="s">
        <v>62</v>
      </c>
      <c r="Q30" s="66" t="s">
        <v>65</v>
      </c>
      <c r="R30" s="67" cm="1">
        <f t="array" aca="1" ref="R30" ca="1">_xlfn.CHOOSECOLS(_xlfn.CHOOSEROWS(_xlfn._xlws.FILTER(표2[],표2[DWG No.]=C30,""),1),6)</f>
        <v>42816</v>
      </c>
      <c r="S30" s="67" t="e" cm="1">
        <f t="array" ref="S30">_xlfn.CHOOSECOLS(_xlfn.CHOOSEROWS(_xlfn._xlws.FILTER(표2[],(표2[DWG No.]=C30)*(ISNUMBER(표2[Rev.])),""),1),6)</f>
        <v>#VALUE!</v>
      </c>
    </row>
    <row r="31" spans="1:19" ht="18" customHeight="1" x14ac:dyDescent="0.45">
      <c r="A31" s="64">
        <v>26</v>
      </c>
      <c r="B31" s="49" t="s">
        <v>57</v>
      </c>
      <c r="C31" s="65" t="s">
        <v>171</v>
      </c>
      <c r="D31" s="66" t="s">
        <v>172</v>
      </c>
      <c r="E31" s="65" t="s">
        <v>173</v>
      </c>
      <c r="F31" s="66" t="s">
        <v>6</v>
      </c>
      <c r="G31" s="67">
        <v>42811</v>
      </c>
      <c r="H31" s="67">
        <v>43374</v>
      </c>
      <c r="I31" s="67">
        <v>43300</v>
      </c>
      <c r="J31" s="66" t="s">
        <v>2438</v>
      </c>
      <c r="K31" s="66" t="s">
        <v>7</v>
      </c>
      <c r="L31" s="66" t="s">
        <v>62</v>
      </c>
      <c r="M31" s="67" t="s">
        <v>2439</v>
      </c>
      <c r="N31" s="66" t="s">
        <v>2442</v>
      </c>
      <c r="O31" s="66" t="s">
        <v>7</v>
      </c>
      <c r="P31" s="66" t="s">
        <v>62</v>
      </c>
      <c r="Q31" s="66" t="s">
        <v>65</v>
      </c>
      <c r="R31" s="67" cm="1">
        <f t="array" aca="1" ref="R31" ca="1">_xlfn.CHOOSECOLS(_xlfn.CHOOSEROWS(_xlfn._xlws.FILTER(표2[],표2[DWG No.]=C31,""),1),6)</f>
        <v>42816</v>
      </c>
      <c r="S31" s="67" t="e" cm="1">
        <f t="array" ref="S31">_xlfn.CHOOSECOLS(_xlfn.CHOOSEROWS(_xlfn._xlws.FILTER(표2[],(표2[DWG No.]=C31)*(ISNUMBER(표2[Rev.])),""),1),6)</f>
        <v>#VALUE!</v>
      </c>
    </row>
    <row r="32" spans="1:19" ht="18" customHeight="1" x14ac:dyDescent="0.45">
      <c r="A32" s="64">
        <v>27</v>
      </c>
      <c r="B32" s="49" t="s">
        <v>57</v>
      </c>
      <c r="C32" s="65" t="s">
        <v>174</v>
      </c>
      <c r="D32" s="66" t="s">
        <v>175</v>
      </c>
      <c r="E32" s="65" t="s">
        <v>176</v>
      </c>
      <c r="F32" s="66" t="s">
        <v>6</v>
      </c>
      <c r="G32" s="67">
        <v>42811</v>
      </c>
      <c r="H32" s="67">
        <v>43374</v>
      </c>
      <c r="I32" s="67">
        <v>43300</v>
      </c>
      <c r="J32" s="66" t="s">
        <v>2438</v>
      </c>
      <c r="K32" s="66" t="s">
        <v>7</v>
      </c>
      <c r="L32" s="66" t="s">
        <v>62</v>
      </c>
      <c r="M32" s="67" t="s">
        <v>2439</v>
      </c>
      <c r="N32" s="66" t="s">
        <v>2443</v>
      </c>
      <c r="O32" s="66" t="s">
        <v>7</v>
      </c>
      <c r="P32" s="66" t="s">
        <v>62</v>
      </c>
      <c r="Q32" s="66" t="s">
        <v>65</v>
      </c>
      <c r="R32" s="67" cm="1">
        <f t="array" aca="1" ref="R32" ca="1">_xlfn.CHOOSECOLS(_xlfn.CHOOSEROWS(_xlfn._xlws.FILTER(표2[],표2[DWG No.]=C32,""),1),6)</f>
        <v>42816</v>
      </c>
      <c r="S32" s="67" t="e" cm="1">
        <f t="array" ref="S32">_xlfn.CHOOSECOLS(_xlfn.CHOOSEROWS(_xlfn._xlws.FILTER(표2[],(표2[DWG No.]=C32)*(ISNUMBER(표2[Rev.])),""),1),6)</f>
        <v>#VALUE!</v>
      </c>
    </row>
    <row r="33" spans="1:19" ht="18" customHeight="1" x14ac:dyDescent="0.45">
      <c r="A33" s="64">
        <v>28</v>
      </c>
      <c r="B33" s="49" t="s">
        <v>57</v>
      </c>
      <c r="C33" s="65" t="s">
        <v>177</v>
      </c>
      <c r="D33" s="66" t="s">
        <v>178</v>
      </c>
      <c r="E33" s="65" t="s">
        <v>179</v>
      </c>
      <c r="F33" s="66" t="s">
        <v>6</v>
      </c>
      <c r="G33" s="67">
        <v>42811</v>
      </c>
      <c r="H33" s="67">
        <v>43374</v>
      </c>
      <c r="I33" s="67">
        <v>43300</v>
      </c>
      <c r="J33" s="66" t="s">
        <v>2438</v>
      </c>
      <c r="K33" s="66" t="s">
        <v>7</v>
      </c>
      <c r="L33" s="66" t="s">
        <v>62</v>
      </c>
      <c r="M33" s="67" t="s">
        <v>2439</v>
      </c>
      <c r="N33" s="66" t="s">
        <v>2444</v>
      </c>
      <c r="O33" s="66" t="s">
        <v>7</v>
      </c>
      <c r="P33" s="66" t="s">
        <v>62</v>
      </c>
      <c r="Q33" s="66" t="s">
        <v>65</v>
      </c>
      <c r="R33" s="67" cm="1">
        <f t="array" aca="1" ref="R33" ca="1">_xlfn.CHOOSECOLS(_xlfn.CHOOSEROWS(_xlfn._xlws.FILTER(표2[],표2[DWG No.]=C33,""),1),6)</f>
        <v>42816</v>
      </c>
      <c r="S33" s="67" t="e" cm="1">
        <f t="array" ref="S33">_xlfn.CHOOSECOLS(_xlfn.CHOOSEROWS(_xlfn._xlws.FILTER(표2[],(표2[DWG No.]=C33)*(ISNUMBER(표2[Rev.])),""),1),6)</f>
        <v>#VALUE!</v>
      </c>
    </row>
    <row r="34" spans="1:19" ht="18" customHeight="1" x14ac:dyDescent="0.45">
      <c r="A34" s="64">
        <v>29</v>
      </c>
      <c r="B34" s="49" t="s">
        <v>57</v>
      </c>
      <c r="C34" s="65" t="s">
        <v>180</v>
      </c>
      <c r="D34" s="66" t="s">
        <v>181</v>
      </c>
      <c r="E34" s="65" t="s">
        <v>182</v>
      </c>
      <c r="F34" s="66" t="s">
        <v>6</v>
      </c>
      <c r="G34" s="67">
        <v>42811</v>
      </c>
      <c r="H34" s="67">
        <v>43374</v>
      </c>
      <c r="I34" s="67">
        <v>43300</v>
      </c>
      <c r="J34" s="66" t="s">
        <v>2438</v>
      </c>
      <c r="K34" s="66" t="s">
        <v>7</v>
      </c>
      <c r="L34" s="66" t="s">
        <v>62</v>
      </c>
      <c r="M34" s="67" t="s">
        <v>2439</v>
      </c>
      <c r="N34" s="66" t="s">
        <v>2445</v>
      </c>
      <c r="O34" s="66" t="s">
        <v>7</v>
      </c>
      <c r="P34" s="66" t="s">
        <v>62</v>
      </c>
      <c r="Q34" s="66" t="s">
        <v>65</v>
      </c>
      <c r="R34" s="67" cm="1">
        <f t="array" aca="1" ref="R34" ca="1">_xlfn.CHOOSECOLS(_xlfn.CHOOSEROWS(_xlfn._xlws.FILTER(표2[],표2[DWG No.]=C34,""),1),6)</f>
        <v>42816</v>
      </c>
      <c r="S34" s="67" t="e" cm="1">
        <f t="array" ref="S34">_xlfn.CHOOSECOLS(_xlfn.CHOOSEROWS(_xlfn._xlws.FILTER(표2[],(표2[DWG No.]=C34)*(ISNUMBER(표2[Rev.])),""),1),6)</f>
        <v>#VALUE!</v>
      </c>
    </row>
    <row r="35" spans="1:19" ht="18" customHeight="1" x14ac:dyDescent="0.45">
      <c r="A35" s="64">
        <v>30</v>
      </c>
      <c r="B35" s="49" t="s">
        <v>57</v>
      </c>
      <c r="C35" s="65" t="s">
        <v>183</v>
      </c>
      <c r="D35" s="66" t="s">
        <v>184</v>
      </c>
      <c r="E35" s="65" t="s">
        <v>185</v>
      </c>
      <c r="F35" s="66" t="s">
        <v>6</v>
      </c>
      <c r="G35" s="67">
        <v>42811</v>
      </c>
      <c r="H35" s="67">
        <v>43374</v>
      </c>
      <c r="I35" s="67">
        <v>43300</v>
      </c>
      <c r="J35" s="66" t="s">
        <v>2438</v>
      </c>
      <c r="K35" s="66" t="s">
        <v>7</v>
      </c>
      <c r="L35" s="66" t="s">
        <v>62</v>
      </c>
      <c r="M35" s="67" t="s">
        <v>2439</v>
      </c>
      <c r="N35" s="66" t="s">
        <v>2446</v>
      </c>
      <c r="O35" s="66" t="s">
        <v>7</v>
      </c>
      <c r="P35" s="66" t="s">
        <v>62</v>
      </c>
      <c r="Q35" s="66" t="s">
        <v>65</v>
      </c>
      <c r="R35" s="67" cm="1">
        <f t="array" aca="1" ref="R35" ca="1">_xlfn.CHOOSECOLS(_xlfn.CHOOSEROWS(_xlfn._xlws.FILTER(표2[],표2[DWG No.]=C35,""),1),6)</f>
        <v>42816</v>
      </c>
      <c r="S35" s="67" t="e" cm="1">
        <f t="array" ref="S35">_xlfn.CHOOSECOLS(_xlfn.CHOOSEROWS(_xlfn._xlws.FILTER(표2[],(표2[DWG No.]=C35)*(ISNUMBER(표2[Rev.])),""),1),6)</f>
        <v>#VALUE!</v>
      </c>
    </row>
    <row r="36" spans="1:19" ht="18" customHeight="1" x14ac:dyDescent="0.45">
      <c r="A36" s="64">
        <v>31</v>
      </c>
      <c r="B36" s="49" t="s">
        <v>57</v>
      </c>
      <c r="C36" s="65" t="s">
        <v>186</v>
      </c>
      <c r="D36" s="66" t="s">
        <v>187</v>
      </c>
      <c r="E36" s="65" t="s">
        <v>188</v>
      </c>
      <c r="F36" s="66" t="s">
        <v>5</v>
      </c>
      <c r="G36" s="67">
        <v>42776</v>
      </c>
      <c r="H36" s="67">
        <v>42930</v>
      </c>
      <c r="I36" s="67">
        <v>42920</v>
      </c>
      <c r="J36" s="66" t="s">
        <v>189</v>
      </c>
      <c r="K36" s="66" t="s">
        <v>7</v>
      </c>
      <c r="L36" s="66" t="s">
        <v>62</v>
      </c>
      <c r="M36" s="67" t="s">
        <v>190</v>
      </c>
      <c r="N36" s="66" t="s">
        <v>81</v>
      </c>
      <c r="O36" s="66" t="s">
        <v>7</v>
      </c>
      <c r="P36" s="66" t="s">
        <v>62</v>
      </c>
      <c r="Q36" s="66" t="s">
        <v>5003</v>
      </c>
      <c r="R36" s="67" cm="1">
        <f t="array" aca="1" ref="R36" ca="1">_xlfn.CHOOSECOLS(_xlfn.CHOOSEROWS(_xlfn._xlws.FILTER(표2[],표2[DWG No.]=C36,""),1),6)</f>
        <v>42776</v>
      </c>
      <c r="S36" s="67" cm="1">
        <f t="array" aca="1" ref="S36" ca="1">_xlfn.CHOOSECOLS(_xlfn.CHOOSEROWS(_xlfn._xlws.FILTER(표2[],(표2[DWG No.]=C36)*(ISNUMBER(표2[Rev.])),""),1),6)</f>
        <v>42920</v>
      </c>
    </row>
    <row r="37" spans="1:19" ht="18" customHeight="1" x14ac:dyDescent="0.45">
      <c r="A37" s="64">
        <v>32</v>
      </c>
      <c r="B37" s="49" t="s">
        <v>57</v>
      </c>
      <c r="C37" s="65" t="s">
        <v>191</v>
      </c>
      <c r="D37" s="66" t="s">
        <v>192</v>
      </c>
      <c r="E37" s="65" t="s">
        <v>193</v>
      </c>
      <c r="F37" s="66" t="s">
        <v>6</v>
      </c>
      <c r="G37" s="67">
        <v>42776</v>
      </c>
      <c r="H37" s="67">
        <v>42896</v>
      </c>
      <c r="I37" s="67">
        <v>42885</v>
      </c>
      <c r="J37" s="66" t="s">
        <v>194</v>
      </c>
      <c r="K37" s="66" t="s">
        <v>7</v>
      </c>
      <c r="L37" s="66" t="s">
        <v>62</v>
      </c>
      <c r="M37" s="67" t="s">
        <v>195</v>
      </c>
      <c r="N37" s="66" t="s">
        <v>196</v>
      </c>
      <c r="O37" s="66" t="s">
        <v>7</v>
      </c>
      <c r="P37" s="66" t="s">
        <v>62</v>
      </c>
      <c r="Q37" s="66" t="s">
        <v>5002</v>
      </c>
      <c r="R37" s="67" cm="1">
        <f t="array" aca="1" ref="R37" ca="1">_xlfn.CHOOSECOLS(_xlfn.CHOOSEROWS(_xlfn._xlws.FILTER(표2[],표2[DWG No.]=C37,""),1),6)</f>
        <v>42779</v>
      </c>
      <c r="S37" s="67" t="e" cm="1">
        <f t="array" ref="S37">_xlfn.CHOOSECOLS(_xlfn.CHOOSEROWS(_xlfn._xlws.FILTER(표2[],(표2[DWG No.]=C37)*(ISNUMBER(표2[Rev.])),""),1),6)</f>
        <v>#VALUE!</v>
      </c>
    </row>
    <row r="38" spans="1:19" ht="18" customHeight="1" x14ac:dyDescent="0.45">
      <c r="A38" s="64">
        <v>33</v>
      </c>
      <c r="B38" s="49" t="s">
        <v>57</v>
      </c>
      <c r="C38" s="65" t="s">
        <v>197</v>
      </c>
      <c r="D38" s="66" t="s">
        <v>198</v>
      </c>
      <c r="E38" s="65" t="s">
        <v>199</v>
      </c>
      <c r="F38" s="66" t="s">
        <v>6</v>
      </c>
      <c r="G38" s="67">
        <v>42788</v>
      </c>
      <c r="H38" s="67">
        <v>42930</v>
      </c>
      <c r="I38" s="67">
        <v>43473</v>
      </c>
      <c r="J38" s="66" t="s">
        <v>2625</v>
      </c>
      <c r="K38" s="66" t="s">
        <v>7</v>
      </c>
      <c r="L38" s="66" t="s">
        <v>230</v>
      </c>
      <c r="M38" s="67" t="s">
        <v>2626</v>
      </c>
      <c r="N38" s="66" t="s">
        <v>2627</v>
      </c>
      <c r="O38" s="66" t="s">
        <v>7</v>
      </c>
      <c r="P38" s="66" t="s">
        <v>230</v>
      </c>
      <c r="Q38" s="66" t="s">
        <v>65</v>
      </c>
      <c r="R38" s="67" cm="1">
        <f t="array" aca="1" ref="R38" ca="1">_xlfn.CHOOSECOLS(_xlfn.CHOOSEROWS(_xlfn._xlws.FILTER(표2[],표2[DWG No.]=C38,""),1),6)</f>
        <v>42779</v>
      </c>
      <c r="S38" s="67" cm="1">
        <f t="array" aca="1" ref="S38" ca="1">_xlfn.CHOOSECOLS(_xlfn.CHOOSEROWS(_xlfn._xlws.FILTER(표2[],(표2[DWG No.]=C38)*(ISNUMBER(표2[Rev.])),""),1),6)</f>
        <v>42933</v>
      </c>
    </row>
    <row r="39" spans="1:19" ht="18" customHeight="1" x14ac:dyDescent="0.45">
      <c r="A39" s="64">
        <v>34</v>
      </c>
      <c r="B39" s="49" t="s">
        <v>57</v>
      </c>
      <c r="C39" s="65" t="s">
        <v>200</v>
      </c>
      <c r="D39" s="66" t="s">
        <v>201</v>
      </c>
      <c r="E39" s="65" t="s">
        <v>202</v>
      </c>
      <c r="F39" s="66" t="s">
        <v>6</v>
      </c>
      <c r="G39" s="67">
        <v>42788</v>
      </c>
      <c r="H39" s="67">
        <v>42930</v>
      </c>
      <c r="I39" s="67">
        <v>43355</v>
      </c>
      <c r="J39" s="66" t="s">
        <v>2447</v>
      </c>
      <c r="K39" s="66" t="s">
        <v>7</v>
      </c>
      <c r="L39" s="66" t="s">
        <v>230</v>
      </c>
      <c r="M39" s="67" t="s">
        <v>2448</v>
      </c>
      <c r="N39" s="66" t="s">
        <v>2449</v>
      </c>
      <c r="O39" s="66" t="s">
        <v>7</v>
      </c>
      <c r="P39" s="66" t="s">
        <v>230</v>
      </c>
      <c r="Q39" s="66" t="s">
        <v>65</v>
      </c>
      <c r="R39" s="67" cm="1">
        <f t="array" aca="1" ref="R39" ca="1">_xlfn.CHOOSECOLS(_xlfn.CHOOSEROWS(_xlfn._xlws.FILTER(표2[],표2[DWG No.]=C39,""),1),6)</f>
        <v>42779</v>
      </c>
      <c r="S39" s="67" cm="1">
        <f t="array" aca="1" ref="S39" ca="1">_xlfn.CHOOSECOLS(_xlfn.CHOOSEROWS(_xlfn._xlws.FILTER(표2[],(표2[DWG No.]=C39)*(ISNUMBER(표2[Rev.])),""),1),6)</f>
        <v>42933</v>
      </c>
    </row>
    <row r="40" spans="1:19" ht="18" customHeight="1" x14ac:dyDescent="0.45">
      <c r="A40" s="64">
        <v>35</v>
      </c>
      <c r="B40" s="49" t="s">
        <v>57</v>
      </c>
      <c r="C40" s="65" t="s">
        <v>203</v>
      </c>
      <c r="D40" s="66" t="s">
        <v>204</v>
      </c>
      <c r="E40" s="65" t="s">
        <v>205</v>
      </c>
      <c r="F40" s="66" t="s">
        <v>6</v>
      </c>
      <c r="G40" s="67">
        <v>42788</v>
      </c>
      <c r="H40" s="67">
        <v>42930</v>
      </c>
      <c r="I40" s="67">
        <v>43355</v>
      </c>
      <c r="J40" s="66" t="s">
        <v>2447</v>
      </c>
      <c r="K40" s="66" t="s">
        <v>7</v>
      </c>
      <c r="L40" s="66" t="s">
        <v>230</v>
      </c>
      <c r="M40" s="67" t="s">
        <v>2448</v>
      </c>
      <c r="N40" s="66" t="s">
        <v>2450</v>
      </c>
      <c r="O40" s="66" t="s">
        <v>7</v>
      </c>
      <c r="P40" s="66" t="s">
        <v>230</v>
      </c>
      <c r="Q40" s="66" t="s">
        <v>65</v>
      </c>
      <c r="R40" s="67" cm="1">
        <f t="array" aca="1" ref="R40" ca="1">_xlfn.CHOOSECOLS(_xlfn.CHOOSEROWS(_xlfn._xlws.FILTER(표2[],표2[DWG No.]=C40,""),1),6)</f>
        <v>42779</v>
      </c>
      <c r="S40" s="67" cm="1">
        <f t="array" aca="1" ref="S40" ca="1">_xlfn.CHOOSECOLS(_xlfn.CHOOSEROWS(_xlfn._xlws.FILTER(표2[],(표2[DWG No.]=C40)*(ISNUMBER(표2[Rev.])),""),1),6)</f>
        <v>42933</v>
      </c>
    </row>
    <row r="41" spans="1:19" ht="18" customHeight="1" x14ac:dyDescent="0.45">
      <c r="A41" s="64">
        <v>36</v>
      </c>
      <c r="B41" s="49" t="s">
        <v>57</v>
      </c>
      <c r="C41" s="65" t="s">
        <v>206</v>
      </c>
      <c r="D41" s="66" t="s">
        <v>207</v>
      </c>
      <c r="E41" s="65" t="s">
        <v>208</v>
      </c>
      <c r="F41" s="66" t="s">
        <v>6</v>
      </c>
      <c r="G41" s="67">
        <v>42788</v>
      </c>
      <c r="H41" s="67">
        <v>42930</v>
      </c>
      <c r="I41" s="67">
        <v>43851</v>
      </c>
      <c r="J41" s="66" t="s">
        <v>2792</v>
      </c>
      <c r="K41" s="66" t="s">
        <v>7</v>
      </c>
      <c r="L41" s="66" t="s">
        <v>230</v>
      </c>
      <c r="M41" s="67" t="s">
        <v>210</v>
      </c>
      <c r="N41" s="66" t="s">
        <v>211</v>
      </c>
      <c r="O41" s="66" t="s">
        <v>209</v>
      </c>
      <c r="P41" s="66" t="s">
        <v>2871</v>
      </c>
      <c r="Q41" s="66" t="s">
        <v>5002</v>
      </c>
      <c r="R41" s="67" cm="1">
        <f t="array" aca="1" ref="R41" ca="1">_xlfn.CHOOSECOLS(_xlfn.CHOOSEROWS(_xlfn._xlws.FILTER(표2[],표2[DWG No.]=C41,""),1),6)</f>
        <v>42779</v>
      </c>
      <c r="S41" s="67" cm="1">
        <f t="array" aca="1" ref="S41" ca="1">_xlfn.CHOOSECOLS(_xlfn.CHOOSEROWS(_xlfn._xlws.FILTER(표2[],(표2[DWG No.]=C41)*(ISNUMBER(표2[Rev.])),""),1),6)</f>
        <v>42934</v>
      </c>
    </row>
    <row r="42" spans="1:19" ht="18" customHeight="1" x14ac:dyDescent="0.45">
      <c r="A42" s="64">
        <v>37</v>
      </c>
      <c r="B42" s="49" t="s">
        <v>57</v>
      </c>
      <c r="C42" s="65" t="s">
        <v>212</v>
      </c>
      <c r="D42" s="66" t="s">
        <v>213</v>
      </c>
      <c r="E42" s="65" t="s">
        <v>214</v>
      </c>
      <c r="F42" s="66" t="s">
        <v>6</v>
      </c>
      <c r="G42" s="67">
        <v>42788</v>
      </c>
      <c r="H42" s="67">
        <v>42930</v>
      </c>
      <c r="I42" s="67">
        <v>43034</v>
      </c>
      <c r="J42" s="66" t="s">
        <v>215</v>
      </c>
      <c r="K42" s="66" t="s">
        <v>7</v>
      </c>
      <c r="L42" s="66" t="s">
        <v>89</v>
      </c>
      <c r="M42" s="67" t="s">
        <v>90</v>
      </c>
      <c r="N42" s="66" t="s">
        <v>216</v>
      </c>
      <c r="O42" s="66" t="s">
        <v>7</v>
      </c>
      <c r="P42" s="66" t="s">
        <v>89</v>
      </c>
      <c r="Q42" s="66" t="s">
        <v>5002</v>
      </c>
      <c r="R42" s="67" cm="1">
        <f t="array" aca="1" ref="R42" ca="1">_xlfn.CHOOSECOLS(_xlfn.CHOOSEROWS(_xlfn._xlws.FILTER(표2[],표2[DWG No.]=C42,""),1),6)</f>
        <v>42779</v>
      </c>
      <c r="S42" s="67" cm="1">
        <f t="array" aca="1" ref="S42" ca="1">_xlfn.CHOOSECOLS(_xlfn.CHOOSEROWS(_xlfn._xlws.FILTER(표2[],(표2[DWG No.]=C42)*(ISNUMBER(표2[Rev.])),""),1),6)</f>
        <v>42934</v>
      </c>
    </row>
    <row r="43" spans="1:19" ht="18" customHeight="1" x14ac:dyDescent="0.45">
      <c r="A43" s="64">
        <v>38</v>
      </c>
      <c r="B43" s="49" t="s">
        <v>57</v>
      </c>
      <c r="C43" s="65" t="s">
        <v>217</v>
      </c>
      <c r="D43" s="66" t="s">
        <v>218</v>
      </c>
      <c r="E43" s="65" t="s">
        <v>219</v>
      </c>
      <c r="F43" s="66" t="s">
        <v>6</v>
      </c>
      <c r="G43" s="67">
        <v>42788</v>
      </c>
      <c r="H43" s="67">
        <v>42930</v>
      </c>
      <c r="I43" s="67">
        <v>43852</v>
      </c>
      <c r="J43" s="66" t="s">
        <v>2793</v>
      </c>
      <c r="K43" s="66" t="s">
        <v>7</v>
      </c>
      <c r="L43" s="66" t="s">
        <v>89</v>
      </c>
      <c r="M43" s="67" t="s">
        <v>2872</v>
      </c>
      <c r="N43" s="66" t="s">
        <v>2873</v>
      </c>
      <c r="O43" s="66" t="s">
        <v>7</v>
      </c>
      <c r="P43" s="66" t="s">
        <v>89</v>
      </c>
      <c r="Q43" s="66" t="s">
        <v>65</v>
      </c>
      <c r="R43" s="67" cm="1">
        <f t="array" aca="1" ref="R43" ca="1">_xlfn.CHOOSECOLS(_xlfn.CHOOSEROWS(_xlfn._xlws.FILTER(표2[],표2[DWG No.]=C43,""),1),6)</f>
        <v>42779</v>
      </c>
      <c r="S43" s="67" cm="1">
        <f t="array" aca="1" ref="S43" ca="1">_xlfn.CHOOSECOLS(_xlfn.CHOOSEROWS(_xlfn._xlws.FILTER(표2[],(표2[DWG No.]=C43)*(ISNUMBER(표2[Rev.])),""),1),6)</f>
        <v>42968</v>
      </c>
    </row>
    <row r="44" spans="1:19" ht="18" customHeight="1" x14ac:dyDescent="0.45">
      <c r="A44" s="64">
        <v>39</v>
      </c>
      <c r="B44" s="49" t="s">
        <v>57</v>
      </c>
      <c r="C44" s="65" t="s">
        <v>222</v>
      </c>
      <c r="D44" s="66" t="s">
        <v>223</v>
      </c>
      <c r="E44" s="65" t="s">
        <v>224</v>
      </c>
      <c r="F44" s="66" t="s">
        <v>6</v>
      </c>
      <c r="G44" s="67">
        <v>42788</v>
      </c>
      <c r="H44" s="67">
        <v>42930</v>
      </c>
      <c r="I44" s="67">
        <v>43852</v>
      </c>
      <c r="J44" s="66" t="s">
        <v>2794</v>
      </c>
      <c r="K44" s="66" t="s">
        <v>7</v>
      </c>
      <c r="L44" s="66" t="s">
        <v>230</v>
      </c>
      <c r="M44" s="67" t="s">
        <v>2872</v>
      </c>
      <c r="N44" s="66" t="s">
        <v>2874</v>
      </c>
      <c r="O44" s="66" t="s">
        <v>7</v>
      </c>
      <c r="P44" s="66" t="s">
        <v>230</v>
      </c>
      <c r="Q44" s="66" t="s">
        <v>65</v>
      </c>
      <c r="R44" s="67" cm="1">
        <f t="array" aca="1" ref="R44" ca="1">_xlfn.CHOOSECOLS(_xlfn.CHOOSEROWS(_xlfn._xlws.FILTER(표2[],표2[DWG No.]=C44,""),1),6)</f>
        <v>42779</v>
      </c>
      <c r="S44" s="67" cm="1">
        <f t="array" aca="1" ref="S44" ca="1">_xlfn.CHOOSECOLS(_xlfn.CHOOSEROWS(_xlfn._xlws.FILTER(표2[],(표2[DWG No.]=C44)*(ISNUMBER(표2[Rev.])),""),1),6)</f>
        <v>42984</v>
      </c>
    </row>
    <row r="45" spans="1:19" ht="18" customHeight="1" x14ac:dyDescent="0.45">
      <c r="A45" s="64">
        <v>40</v>
      </c>
      <c r="B45" s="49" t="s">
        <v>57</v>
      </c>
      <c r="C45" s="65" t="s">
        <v>226</v>
      </c>
      <c r="D45" s="66" t="s">
        <v>227</v>
      </c>
      <c r="E45" s="65" t="s">
        <v>228</v>
      </c>
      <c r="F45" s="66" t="s">
        <v>6</v>
      </c>
      <c r="G45" s="67">
        <v>42788</v>
      </c>
      <c r="H45" s="67">
        <v>42930</v>
      </c>
      <c r="I45" s="67">
        <v>43084</v>
      </c>
      <c r="J45" s="66" t="s">
        <v>229</v>
      </c>
      <c r="K45" s="66" t="s">
        <v>7</v>
      </c>
      <c r="L45" s="66" t="s">
        <v>230</v>
      </c>
      <c r="M45" s="67" t="s">
        <v>155</v>
      </c>
      <c r="N45" s="66" t="s">
        <v>231</v>
      </c>
      <c r="O45" s="66" t="s">
        <v>7</v>
      </c>
      <c r="P45" s="66" t="s">
        <v>230</v>
      </c>
      <c r="Q45" s="66" t="s">
        <v>5002</v>
      </c>
      <c r="R45" s="67" cm="1">
        <f t="array" aca="1" ref="R45" ca="1">_xlfn.CHOOSECOLS(_xlfn.CHOOSEROWS(_xlfn._xlws.FILTER(표2[],표2[DWG No.]=C45,""),1),6)</f>
        <v>42779</v>
      </c>
      <c r="S45" s="67" cm="1">
        <f t="array" aca="1" ref="S45" ca="1">_xlfn.CHOOSECOLS(_xlfn.CHOOSEROWS(_xlfn._xlws.FILTER(표2[],(표2[DWG No.]=C45)*(ISNUMBER(표2[Rev.])),""),1),6)</f>
        <v>42933</v>
      </c>
    </row>
    <row r="46" spans="1:19" ht="18" customHeight="1" x14ac:dyDescent="0.45">
      <c r="A46" s="64">
        <v>41</v>
      </c>
      <c r="B46" s="49" t="s">
        <v>57</v>
      </c>
      <c r="C46" s="65" t="s">
        <v>232</v>
      </c>
      <c r="D46" s="66" t="s">
        <v>233</v>
      </c>
      <c r="E46" s="65" t="s">
        <v>234</v>
      </c>
      <c r="F46" s="66" t="s">
        <v>6</v>
      </c>
      <c r="G46" s="67">
        <v>42930</v>
      </c>
      <c r="H46" s="67">
        <v>43020</v>
      </c>
      <c r="I46" s="67">
        <v>44022</v>
      </c>
      <c r="J46" s="66" t="s">
        <v>5021</v>
      </c>
      <c r="K46" s="66" t="s">
        <v>4991</v>
      </c>
      <c r="L46" s="66">
        <v>1</v>
      </c>
      <c r="M46" s="67"/>
      <c r="N46" s="66"/>
      <c r="O46" s="66"/>
      <c r="P46" s="66"/>
      <c r="Q46" s="66"/>
      <c r="R46" s="67" cm="1">
        <f t="array" aca="1" ref="R46" ca="1">_xlfn.CHOOSECOLS(_xlfn.CHOOSEROWS(_xlfn._xlws.FILTER(표2[],표2[DWG No.]=C46,""),1),6)</f>
        <v>42935</v>
      </c>
      <c r="S46" s="67" cm="1">
        <f t="array" aca="1" ref="S46" ca="1">_xlfn.CHOOSECOLS(_xlfn.CHOOSEROWS(_xlfn._xlws.FILTER(표2[],(표2[DWG No.]=C46)*(ISNUMBER(표2[Rev.])),""),1),6)</f>
        <v>43040</v>
      </c>
    </row>
    <row r="47" spans="1:19" ht="18" customHeight="1" x14ac:dyDescent="0.45">
      <c r="A47" s="64">
        <v>42</v>
      </c>
      <c r="B47" s="49" t="s">
        <v>57</v>
      </c>
      <c r="C47" s="65" t="s">
        <v>5012</v>
      </c>
      <c r="D47" s="66" t="s">
        <v>235</v>
      </c>
      <c r="E47" s="65" t="s">
        <v>236</v>
      </c>
      <c r="F47" s="66" t="s">
        <v>6</v>
      </c>
      <c r="G47" s="67">
        <v>42965</v>
      </c>
      <c r="H47" s="67">
        <v>43055</v>
      </c>
      <c r="I47" s="67">
        <v>43927</v>
      </c>
      <c r="J47" s="66" t="s">
        <v>5016</v>
      </c>
      <c r="K47" s="66" t="s">
        <v>209</v>
      </c>
      <c r="L47" s="66" t="s">
        <v>1851</v>
      </c>
      <c r="M47" s="67">
        <v>43928</v>
      </c>
      <c r="N47" s="66" t="s">
        <v>5013</v>
      </c>
      <c r="O47" s="66" t="s">
        <v>209</v>
      </c>
      <c r="P47" s="66" t="s">
        <v>5010</v>
      </c>
      <c r="Q47" s="66" t="s">
        <v>164</v>
      </c>
      <c r="R47" s="67" cm="1">
        <f t="array" aca="1" ref="R47" ca="1">_xlfn.CHOOSECOLS(_xlfn.CHOOSEROWS(_xlfn._xlws.FILTER(표2[],표2[DWG No.]=C47,""),1),6)</f>
        <v>42972</v>
      </c>
      <c r="S47" s="67" cm="1">
        <f t="array" aca="1" ref="S47" ca="1">_xlfn.CHOOSECOLS(_xlfn.CHOOSEROWS(_xlfn._xlws.FILTER(표2[],(표2[DWG No.]=C47)*(ISNUMBER(표2[Rev.])),""),1),6)</f>
        <v>43111</v>
      </c>
    </row>
    <row r="48" spans="1:19" ht="18" customHeight="1" x14ac:dyDescent="0.45">
      <c r="A48" s="64">
        <v>43</v>
      </c>
      <c r="B48" s="49" t="s">
        <v>57</v>
      </c>
      <c r="C48" s="65" t="s">
        <v>238</v>
      </c>
      <c r="D48" s="66" t="s">
        <v>239</v>
      </c>
      <c r="E48" s="65" t="s">
        <v>240</v>
      </c>
      <c r="F48" s="66" t="s">
        <v>6</v>
      </c>
      <c r="G48" s="67">
        <v>43157</v>
      </c>
      <c r="H48" s="67">
        <v>43247</v>
      </c>
      <c r="I48" s="67">
        <v>43868</v>
      </c>
      <c r="J48" s="66" t="s">
        <v>2795</v>
      </c>
      <c r="K48" s="66" t="s">
        <v>7</v>
      </c>
      <c r="L48" s="66" t="s">
        <v>230</v>
      </c>
      <c r="M48" s="67" t="s">
        <v>2813</v>
      </c>
      <c r="N48" s="66" t="s">
        <v>2814</v>
      </c>
      <c r="O48" s="66" t="s">
        <v>7</v>
      </c>
      <c r="P48" s="66" t="s">
        <v>230</v>
      </c>
      <c r="Q48" s="66" t="s">
        <v>65</v>
      </c>
      <c r="R48" s="67" cm="1">
        <f t="array" aca="1" ref="R48" ca="1">_xlfn.CHOOSECOLS(_xlfn.CHOOSEROWS(_xlfn._xlws.FILTER(표2[],표2[DWG No.]=C48,""),1),6)</f>
        <v>43178</v>
      </c>
      <c r="S48" s="67" t="e" cm="1">
        <f t="array" ref="S48">_xlfn.CHOOSECOLS(_xlfn.CHOOSEROWS(_xlfn._xlws.FILTER(표2[],(표2[DWG No.]=C48)*(ISNUMBER(표2[Rev.])),""),1),6)</f>
        <v>#VALUE!</v>
      </c>
    </row>
    <row r="49" spans="1:19" ht="18" customHeight="1" x14ac:dyDescent="0.45">
      <c r="A49" s="64">
        <v>44</v>
      </c>
      <c r="B49" s="49" t="s">
        <v>57</v>
      </c>
      <c r="C49" s="65" t="s">
        <v>242</v>
      </c>
      <c r="D49" s="66" t="s">
        <v>243</v>
      </c>
      <c r="E49" s="65" t="s">
        <v>244</v>
      </c>
      <c r="F49" s="66" t="s">
        <v>6</v>
      </c>
      <c r="G49" s="67">
        <v>42885</v>
      </c>
      <c r="H49" s="67">
        <v>42975</v>
      </c>
      <c r="I49" s="67">
        <v>42977</v>
      </c>
      <c r="J49" s="66" t="s">
        <v>245</v>
      </c>
      <c r="K49" s="66" t="s">
        <v>7</v>
      </c>
      <c r="L49" s="66" t="s">
        <v>62</v>
      </c>
      <c r="M49" s="67" t="s">
        <v>246</v>
      </c>
      <c r="N49" s="66" t="s">
        <v>247</v>
      </c>
      <c r="O49" s="66" t="s">
        <v>7</v>
      </c>
      <c r="P49" s="66" t="s">
        <v>62</v>
      </c>
      <c r="Q49" s="66" t="s">
        <v>5002</v>
      </c>
      <c r="R49" s="67" cm="1">
        <f t="array" aca="1" ref="R49" ca="1">_xlfn.CHOOSECOLS(_xlfn.CHOOSEROWS(_xlfn._xlws.FILTER(표2[],표2[DWG No.]=C49,""),1),6)</f>
        <v>42891</v>
      </c>
      <c r="S49" s="67" cm="1">
        <f t="array" aca="1" ref="S49" ca="1">_xlfn.CHOOSECOLS(_xlfn.CHOOSEROWS(_xlfn._xlws.FILTER(표2[],(표2[DWG No.]=C49)*(ISNUMBER(표2[Rev.])),""),1),6)</f>
        <v>42977</v>
      </c>
    </row>
    <row r="50" spans="1:19" ht="18" customHeight="1" x14ac:dyDescent="0.45">
      <c r="A50" s="64">
        <v>45</v>
      </c>
      <c r="B50" s="49" t="s">
        <v>57</v>
      </c>
      <c r="C50" s="65" t="s">
        <v>248</v>
      </c>
      <c r="D50" s="66" t="s">
        <v>249</v>
      </c>
      <c r="E50" s="65" t="s">
        <v>250</v>
      </c>
      <c r="F50" s="66" t="s">
        <v>6</v>
      </c>
      <c r="G50" s="67">
        <v>42824</v>
      </c>
      <c r="H50" s="67">
        <v>42930</v>
      </c>
      <c r="I50" s="67">
        <v>42935</v>
      </c>
      <c r="J50" s="66" t="s">
        <v>251</v>
      </c>
      <c r="K50" s="66" t="s">
        <v>7</v>
      </c>
      <c r="L50" s="66" t="s">
        <v>62</v>
      </c>
      <c r="M50" s="67" t="s">
        <v>190</v>
      </c>
      <c r="N50" s="66" t="s">
        <v>81</v>
      </c>
      <c r="O50" s="66" t="s">
        <v>7</v>
      </c>
      <c r="P50" s="66" t="s">
        <v>62</v>
      </c>
      <c r="Q50" s="66" t="s">
        <v>5003</v>
      </c>
      <c r="R50" s="67" cm="1">
        <f t="array" aca="1" ref="R50" ca="1">_xlfn.CHOOSECOLS(_xlfn.CHOOSEROWS(_xlfn._xlws.FILTER(표2[],표2[DWG No.]=C50,""),1),6)</f>
        <v>42835</v>
      </c>
      <c r="S50" s="67" cm="1">
        <f t="array" aca="1" ref="S50" ca="1">_xlfn.CHOOSECOLS(_xlfn.CHOOSEROWS(_xlfn._xlws.FILTER(표2[],(표2[DWG No.]=C50)*(ISNUMBER(표2[Rev.])),""),1),6)</f>
        <v>42935</v>
      </c>
    </row>
    <row r="51" spans="1:19" ht="18" customHeight="1" x14ac:dyDescent="0.45">
      <c r="A51" s="64">
        <v>46</v>
      </c>
      <c r="B51" s="49" t="s">
        <v>57</v>
      </c>
      <c r="C51" s="65" t="s">
        <v>252</v>
      </c>
      <c r="D51" s="66" t="s">
        <v>253</v>
      </c>
      <c r="E51" s="65" t="s">
        <v>254</v>
      </c>
      <c r="F51" s="66" t="s">
        <v>6</v>
      </c>
      <c r="G51" s="67">
        <v>42824</v>
      </c>
      <c r="H51" s="67">
        <v>42930</v>
      </c>
      <c r="I51" s="67">
        <v>42935</v>
      </c>
      <c r="J51" s="66" t="s">
        <v>251</v>
      </c>
      <c r="K51" s="66" t="s">
        <v>7</v>
      </c>
      <c r="L51" s="66" t="s">
        <v>62</v>
      </c>
      <c r="M51" s="67" t="s">
        <v>190</v>
      </c>
      <c r="N51" s="66" t="s">
        <v>81</v>
      </c>
      <c r="O51" s="66" t="s">
        <v>7</v>
      </c>
      <c r="P51" s="66" t="s">
        <v>62</v>
      </c>
      <c r="Q51" s="66" t="s">
        <v>5003</v>
      </c>
      <c r="R51" s="67" cm="1">
        <f t="array" aca="1" ref="R51" ca="1">_xlfn.CHOOSECOLS(_xlfn.CHOOSEROWS(_xlfn._xlws.FILTER(표2[],표2[DWG No.]=C51,""),1),6)</f>
        <v>42835</v>
      </c>
      <c r="S51" s="67" cm="1">
        <f t="array" aca="1" ref="S51" ca="1">_xlfn.CHOOSECOLS(_xlfn.CHOOSEROWS(_xlfn._xlws.FILTER(표2[],(표2[DWG No.]=C51)*(ISNUMBER(표2[Rev.])),""),1),6)</f>
        <v>42935</v>
      </c>
    </row>
    <row r="52" spans="1:19" ht="18" customHeight="1" x14ac:dyDescent="0.45">
      <c r="A52" s="64">
        <v>47</v>
      </c>
      <c r="B52" s="49" t="s">
        <v>57</v>
      </c>
      <c r="C52" s="65" t="s">
        <v>255</v>
      </c>
      <c r="D52" s="66" t="s">
        <v>256</v>
      </c>
      <c r="E52" s="65" t="s">
        <v>257</v>
      </c>
      <c r="F52" s="66" t="s">
        <v>5</v>
      </c>
      <c r="G52" s="67">
        <v>43196</v>
      </c>
      <c r="H52" s="67">
        <v>43266</v>
      </c>
      <c r="I52" s="67">
        <v>43300</v>
      </c>
      <c r="J52" s="66" t="s">
        <v>2451</v>
      </c>
      <c r="K52" s="66" t="s">
        <v>7</v>
      </c>
      <c r="L52" s="66" t="s">
        <v>62</v>
      </c>
      <c r="M52" s="67" t="s">
        <v>2452</v>
      </c>
      <c r="N52" s="66" t="s">
        <v>2453</v>
      </c>
      <c r="O52" s="66" t="s">
        <v>7</v>
      </c>
      <c r="P52" s="66" t="s">
        <v>62</v>
      </c>
      <c r="Q52" s="66" t="s">
        <v>65</v>
      </c>
      <c r="R52" s="67" cm="1">
        <f t="array" aca="1" ref="R52" ca="1">_xlfn.CHOOSECOLS(_xlfn.CHOOSEROWS(_xlfn._xlws.FILTER(표2[],표2[DWG No.]=C52,""),1),6)</f>
        <v>43236</v>
      </c>
      <c r="S52" s="67" t="e" cm="1">
        <f t="array" ref="S52">_xlfn.CHOOSECOLS(_xlfn.CHOOSEROWS(_xlfn._xlws.FILTER(표2[],(표2[DWG No.]=C52)*(ISNUMBER(표2[Rev.])),""),1),6)</f>
        <v>#VALUE!</v>
      </c>
    </row>
    <row r="53" spans="1:19" ht="18" customHeight="1" x14ac:dyDescent="0.45">
      <c r="A53" s="64">
        <v>48</v>
      </c>
      <c r="B53" s="49" t="s">
        <v>57</v>
      </c>
      <c r="C53" s="65" t="s">
        <v>258</v>
      </c>
      <c r="D53" s="66" t="s">
        <v>259</v>
      </c>
      <c r="E53" s="65" t="s">
        <v>260</v>
      </c>
      <c r="F53" s="66" t="s">
        <v>6</v>
      </c>
      <c r="G53" s="67">
        <v>42788</v>
      </c>
      <c r="H53" s="67">
        <v>42930</v>
      </c>
      <c r="I53" s="67">
        <v>42933</v>
      </c>
      <c r="J53" s="66" t="s">
        <v>261</v>
      </c>
      <c r="K53" s="66" t="s">
        <v>7</v>
      </c>
      <c r="L53" s="66" t="s">
        <v>62</v>
      </c>
      <c r="M53" s="67" t="s">
        <v>262</v>
      </c>
      <c r="N53" s="66" t="s">
        <v>81</v>
      </c>
      <c r="O53" s="66" t="s">
        <v>7</v>
      </c>
      <c r="P53" s="66" t="s">
        <v>62</v>
      </c>
      <c r="Q53" s="66" t="s">
        <v>5002</v>
      </c>
      <c r="R53" s="67" cm="1">
        <f t="array" aca="1" ref="R53" ca="1">_xlfn.CHOOSECOLS(_xlfn.CHOOSEROWS(_xlfn._xlws.FILTER(표2[],표2[DWG No.]=C53,""),1),6)</f>
        <v>42803</v>
      </c>
      <c r="S53" s="67" cm="1">
        <f t="array" aca="1" ref="S53" ca="1">_xlfn.CHOOSECOLS(_xlfn.CHOOSEROWS(_xlfn._xlws.FILTER(표2[],(표2[DWG No.]=C53)*(ISNUMBER(표2[Rev.])),""),1),6)</f>
        <v>42933</v>
      </c>
    </row>
    <row r="54" spans="1:19" ht="18" customHeight="1" x14ac:dyDescent="0.45">
      <c r="A54" s="64">
        <v>49</v>
      </c>
      <c r="B54" s="49" t="s">
        <v>57</v>
      </c>
      <c r="C54" s="65" t="s">
        <v>263</v>
      </c>
      <c r="D54" s="66" t="s">
        <v>264</v>
      </c>
      <c r="E54" s="65" t="s">
        <v>265</v>
      </c>
      <c r="F54" s="66" t="s">
        <v>6</v>
      </c>
      <c r="G54" s="67">
        <v>42788</v>
      </c>
      <c r="H54" s="67">
        <v>42930</v>
      </c>
      <c r="I54" s="67">
        <v>42933</v>
      </c>
      <c r="J54" s="66" t="s">
        <v>261</v>
      </c>
      <c r="K54" s="66" t="s">
        <v>7</v>
      </c>
      <c r="L54" s="66" t="s">
        <v>62</v>
      </c>
      <c r="M54" s="67" t="s">
        <v>262</v>
      </c>
      <c r="N54" s="66" t="s">
        <v>81</v>
      </c>
      <c r="O54" s="66" t="s">
        <v>7</v>
      </c>
      <c r="P54" s="66" t="s">
        <v>62</v>
      </c>
      <c r="Q54" s="66" t="s">
        <v>5002</v>
      </c>
      <c r="R54" s="67" cm="1">
        <f t="array" aca="1" ref="R54" ca="1">_xlfn.CHOOSECOLS(_xlfn.CHOOSEROWS(_xlfn._xlws.FILTER(표2[],표2[DWG No.]=C54,""),1),6)</f>
        <v>42803</v>
      </c>
      <c r="S54" s="67" cm="1">
        <f t="array" aca="1" ref="S54" ca="1">_xlfn.CHOOSECOLS(_xlfn.CHOOSEROWS(_xlfn._xlws.FILTER(표2[],(표2[DWG No.]=C54)*(ISNUMBER(표2[Rev.])),""),1),6)</f>
        <v>42933</v>
      </c>
    </row>
    <row r="55" spans="1:19" ht="18" customHeight="1" x14ac:dyDescent="0.45">
      <c r="A55" s="64">
        <v>50</v>
      </c>
      <c r="B55" s="49" t="s">
        <v>57</v>
      </c>
      <c r="C55" s="65" t="s">
        <v>266</v>
      </c>
      <c r="D55" s="66" t="s">
        <v>267</v>
      </c>
      <c r="E55" s="65" t="s">
        <v>268</v>
      </c>
      <c r="F55" s="66" t="s">
        <v>6</v>
      </c>
      <c r="G55" s="67">
        <v>42788</v>
      </c>
      <c r="H55" s="67">
        <v>42930</v>
      </c>
      <c r="I55" s="67">
        <v>42921</v>
      </c>
      <c r="J55" s="66" t="s">
        <v>269</v>
      </c>
      <c r="K55" s="66" t="s">
        <v>7</v>
      </c>
      <c r="L55" s="66" t="s">
        <v>62</v>
      </c>
      <c r="M55" s="67" t="s">
        <v>190</v>
      </c>
      <c r="N55" s="66" t="s">
        <v>81</v>
      </c>
      <c r="O55" s="66" t="s">
        <v>7</v>
      </c>
      <c r="P55" s="66" t="s">
        <v>62</v>
      </c>
      <c r="Q55" s="66" t="s">
        <v>5003</v>
      </c>
      <c r="R55" s="67" cm="1">
        <f t="array" aca="1" ref="R55" ca="1">_xlfn.CHOOSECOLS(_xlfn.CHOOSEROWS(_xlfn._xlws.FILTER(표2[],표2[DWG No.]=C55,""),1),6)</f>
        <v>42803</v>
      </c>
      <c r="S55" s="67" cm="1">
        <f t="array" aca="1" ref="S55" ca="1">_xlfn.CHOOSECOLS(_xlfn.CHOOSEROWS(_xlfn._xlws.FILTER(표2[],(표2[DWG No.]=C55)*(ISNUMBER(표2[Rev.])),""),1),6)</f>
        <v>42921</v>
      </c>
    </row>
    <row r="56" spans="1:19" ht="18" customHeight="1" x14ac:dyDescent="0.45">
      <c r="A56" s="64">
        <v>51</v>
      </c>
      <c r="B56" s="49" t="s">
        <v>57</v>
      </c>
      <c r="C56" s="65" t="s">
        <v>270</v>
      </c>
      <c r="D56" s="66" t="s">
        <v>271</v>
      </c>
      <c r="E56" s="65" t="s">
        <v>272</v>
      </c>
      <c r="F56" s="66" t="s">
        <v>6</v>
      </c>
      <c r="G56" s="67">
        <v>42788</v>
      </c>
      <c r="H56" s="67">
        <v>42930</v>
      </c>
      <c r="I56" s="67">
        <v>42921</v>
      </c>
      <c r="J56" s="66" t="s">
        <v>269</v>
      </c>
      <c r="K56" s="66" t="s">
        <v>7</v>
      </c>
      <c r="L56" s="66" t="s">
        <v>62</v>
      </c>
      <c r="M56" s="67" t="s">
        <v>190</v>
      </c>
      <c r="N56" s="66" t="s">
        <v>81</v>
      </c>
      <c r="O56" s="66" t="s">
        <v>7</v>
      </c>
      <c r="P56" s="66" t="s">
        <v>62</v>
      </c>
      <c r="Q56" s="66" t="s">
        <v>5003</v>
      </c>
      <c r="R56" s="67" cm="1">
        <f t="array" aca="1" ref="R56" ca="1">_xlfn.CHOOSECOLS(_xlfn.CHOOSEROWS(_xlfn._xlws.FILTER(표2[],표2[DWG No.]=C56,""),1),6)</f>
        <v>42803</v>
      </c>
      <c r="S56" s="67" cm="1">
        <f t="array" aca="1" ref="S56" ca="1">_xlfn.CHOOSECOLS(_xlfn.CHOOSEROWS(_xlfn._xlws.FILTER(표2[],(표2[DWG No.]=C56)*(ISNUMBER(표2[Rev.])),""),1),6)</f>
        <v>42921</v>
      </c>
    </row>
    <row r="57" spans="1:19" ht="18" customHeight="1" x14ac:dyDescent="0.45">
      <c r="A57" s="64">
        <v>52</v>
      </c>
      <c r="B57" s="49" t="s">
        <v>57</v>
      </c>
      <c r="C57" s="65" t="s">
        <v>273</v>
      </c>
      <c r="D57" s="66" t="s">
        <v>274</v>
      </c>
      <c r="E57" s="65" t="s">
        <v>275</v>
      </c>
      <c r="F57" s="66" t="s">
        <v>6</v>
      </c>
      <c r="G57" s="67">
        <v>42788</v>
      </c>
      <c r="H57" s="67">
        <v>42930</v>
      </c>
      <c r="I57" s="67">
        <v>42933</v>
      </c>
      <c r="J57" s="66" t="s">
        <v>276</v>
      </c>
      <c r="K57" s="66" t="s">
        <v>7</v>
      </c>
      <c r="L57" s="66" t="s">
        <v>62</v>
      </c>
      <c r="M57" s="67" t="s">
        <v>190</v>
      </c>
      <c r="N57" s="66" t="s">
        <v>81</v>
      </c>
      <c r="O57" s="66" t="s">
        <v>7</v>
      </c>
      <c r="P57" s="66" t="s">
        <v>62</v>
      </c>
      <c r="Q57" s="66" t="s">
        <v>5002</v>
      </c>
      <c r="R57" s="67" cm="1">
        <f t="array" aca="1" ref="R57" ca="1">_xlfn.CHOOSECOLS(_xlfn.CHOOSEROWS(_xlfn._xlws.FILTER(표2[],표2[DWG No.]=C57,""),1),6)</f>
        <v>42803</v>
      </c>
      <c r="S57" s="67" cm="1">
        <f t="array" aca="1" ref="S57" ca="1">_xlfn.CHOOSECOLS(_xlfn.CHOOSEROWS(_xlfn._xlws.FILTER(표2[],(표2[DWG No.]=C57)*(ISNUMBER(표2[Rev.])),""),1),6)</f>
        <v>42933</v>
      </c>
    </row>
    <row r="58" spans="1:19" ht="18" customHeight="1" x14ac:dyDescent="0.45">
      <c r="A58" s="64">
        <v>53</v>
      </c>
      <c r="B58" s="49" t="s">
        <v>57</v>
      </c>
      <c r="C58" s="65" t="s">
        <v>277</v>
      </c>
      <c r="D58" s="66" t="s">
        <v>278</v>
      </c>
      <c r="E58" s="65" t="s">
        <v>279</v>
      </c>
      <c r="F58" s="66" t="s">
        <v>6</v>
      </c>
      <c r="G58" s="67">
        <v>42788</v>
      </c>
      <c r="H58" s="67">
        <v>42930</v>
      </c>
      <c r="I58" s="67">
        <v>42933</v>
      </c>
      <c r="J58" s="66" t="s">
        <v>276</v>
      </c>
      <c r="K58" s="66" t="s">
        <v>7</v>
      </c>
      <c r="L58" s="66" t="s">
        <v>62</v>
      </c>
      <c r="M58" s="67" t="s">
        <v>190</v>
      </c>
      <c r="N58" s="66" t="s">
        <v>81</v>
      </c>
      <c r="O58" s="66" t="s">
        <v>7</v>
      </c>
      <c r="P58" s="66" t="s">
        <v>62</v>
      </c>
      <c r="Q58" s="66" t="s">
        <v>5002</v>
      </c>
      <c r="R58" s="67" cm="1">
        <f t="array" aca="1" ref="R58" ca="1">_xlfn.CHOOSECOLS(_xlfn.CHOOSEROWS(_xlfn._xlws.FILTER(표2[],표2[DWG No.]=C58,""),1),6)</f>
        <v>42803</v>
      </c>
      <c r="S58" s="67" cm="1">
        <f t="array" aca="1" ref="S58" ca="1">_xlfn.CHOOSECOLS(_xlfn.CHOOSEROWS(_xlfn._xlws.FILTER(표2[],(표2[DWG No.]=C58)*(ISNUMBER(표2[Rev.])),""),1),6)</f>
        <v>42933</v>
      </c>
    </row>
    <row r="59" spans="1:19" ht="18" customHeight="1" x14ac:dyDescent="0.45">
      <c r="A59" s="64">
        <v>54</v>
      </c>
      <c r="B59" s="49" t="s">
        <v>57</v>
      </c>
      <c r="C59" s="65" t="s">
        <v>280</v>
      </c>
      <c r="D59" s="66" t="s">
        <v>281</v>
      </c>
      <c r="E59" s="65" t="s">
        <v>282</v>
      </c>
      <c r="F59" s="66" t="s">
        <v>6</v>
      </c>
      <c r="G59" s="67">
        <v>42788</v>
      </c>
      <c r="H59" s="67">
        <v>42930</v>
      </c>
      <c r="I59" s="67">
        <v>43084</v>
      </c>
      <c r="J59" s="66" t="s">
        <v>229</v>
      </c>
      <c r="K59" s="66" t="s">
        <v>7</v>
      </c>
      <c r="L59" s="66" t="s">
        <v>89</v>
      </c>
      <c r="M59" s="67" t="s">
        <v>155</v>
      </c>
      <c r="N59" s="66" t="s">
        <v>283</v>
      </c>
      <c r="O59" s="66" t="s">
        <v>7</v>
      </c>
      <c r="P59" s="66" t="s">
        <v>89</v>
      </c>
      <c r="Q59" s="66" t="s">
        <v>5002</v>
      </c>
      <c r="R59" s="67" cm="1">
        <f t="array" aca="1" ref="R59" ca="1">_xlfn.CHOOSECOLS(_xlfn.CHOOSEROWS(_xlfn._xlws.FILTER(표2[],표2[DWG No.]=C59,""),1),6)</f>
        <v>42803</v>
      </c>
      <c r="S59" s="67" cm="1">
        <f t="array" aca="1" ref="S59" ca="1">_xlfn.CHOOSECOLS(_xlfn.CHOOSEROWS(_xlfn._xlws.FILTER(표2[],(표2[DWG No.]=C59)*(ISNUMBER(표2[Rev.])),""),1),6)</f>
        <v>42906</v>
      </c>
    </row>
    <row r="60" spans="1:19" ht="18" customHeight="1" x14ac:dyDescent="0.45">
      <c r="A60" s="64">
        <v>55</v>
      </c>
      <c r="B60" s="49" t="s">
        <v>57</v>
      </c>
      <c r="C60" s="65" t="s">
        <v>284</v>
      </c>
      <c r="D60" s="66" t="s">
        <v>285</v>
      </c>
      <c r="E60" s="65" t="s">
        <v>286</v>
      </c>
      <c r="F60" s="66" t="s">
        <v>6</v>
      </c>
      <c r="G60" s="67">
        <v>42809</v>
      </c>
      <c r="H60" s="67">
        <v>42930</v>
      </c>
      <c r="I60" s="67">
        <v>42934</v>
      </c>
      <c r="J60" s="66" t="s">
        <v>287</v>
      </c>
      <c r="K60" s="66" t="s">
        <v>7</v>
      </c>
      <c r="L60" s="66" t="s">
        <v>62</v>
      </c>
      <c r="M60" s="67" t="s">
        <v>190</v>
      </c>
      <c r="N60" s="66" t="s">
        <v>81</v>
      </c>
      <c r="O60" s="66" t="s">
        <v>7</v>
      </c>
      <c r="P60" s="66" t="s">
        <v>62</v>
      </c>
      <c r="Q60" s="66" t="s">
        <v>5003</v>
      </c>
      <c r="R60" s="67" cm="1">
        <f t="array" aca="1" ref="R60" ca="1">_xlfn.CHOOSECOLS(_xlfn.CHOOSEROWS(_xlfn._xlws.FILTER(표2[],표2[DWG No.]=C60,""),1),6)</f>
        <v>42809</v>
      </c>
      <c r="S60" s="67" cm="1">
        <f t="array" aca="1" ref="S60" ca="1">_xlfn.CHOOSECOLS(_xlfn.CHOOSEROWS(_xlfn._xlws.FILTER(표2[],(표2[DWG No.]=C60)*(ISNUMBER(표2[Rev.])),""),1),6)</f>
        <v>42934</v>
      </c>
    </row>
    <row r="61" spans="1:19" ht="18" customHeight="1" x14ac:dyDescent="0.45">
      <c r="A61" s="64">
        <v>56</v>
      </c>
      <c r="B61" s="49" t="s">
        <v>57</v>
      </c>
      <c r="C61" s="65" t="s">
        <v>288</v>
      </c>
      <c r="D61" s="66" t="s">
        <v>289</v>
      </c>
      <c r="E61" s="65" t="s">
        <v>290</v>
      </c>
      <c r="F61" s="66" t="s">
        <v>6</v>
      </c>
      <c r="G61" s="67">
        <v>42809</v>
      </c>
      <c r="H61" s="67">
        <v>42930</v>
      </c>
      <c r="I61" s="67">
        <v>42968</v>
      </c>
      <c r="J61" s="66" t="s">
        <v>220</v>
      </c>
      <c r="K61" s="66" t="s">
        <v>7</v>
      </c>
      <c r="L61" s="66" t="s">
        <v>62</v>
      </c>
      <c r="M61" s="67" t="s">
        <v>221</v>
      </c>
      <c r="N61" s="66" t="s">
        <v>81</v>
      </c>
      <c r="O61" s="66" t="s">
        <v>7</v>
      </c>
      <c r="P61" s="66" t="s">
        <v>62</v>
      </c>
      <c r="Q61" s="66" t="s">
        <v>5003</v>
      </c>
      <c r="R61" s="67" cm="1">
        <f t="array" aca="1" ref="R61" ca="1">_xlfn.CHOOSECOLS(_xlfn.CHOOSEROWS(_xlfn._xlws.FILTER(표2[],표2[DWG No.]=C61,""),1),6)</f>
        <v>42809</v>
      </c>
      <c r="S61" s="67" cm="1">
        <f t="array" aca="1" ref="S61" ca="1">_xlfn.CHOOSECOLS(_xlfn.CHOOSEROWS(_xlfn._xlws.FILTER(표2[],(표2[DWG No.]=C61)*(ISNUMBER(표2[Rev.])),""),1),6)</f>
        <v>42968</v>
      </c>
    </row>
    <row r="62" spans="1:19" ht="18" customHeight="1" x14ac:dyDescent="0.45">
      <c r="A62" s="64">
        <v>57</v>
      </c>
      <c r="B62" s="49" t="s">
        <v>57</v>
      </c>
      <c r="C62" s="65" t="s">
        <v>291</v>
      </c>
      <c r="D62" s="66" t="s">
        <v>292</v>
      </c>
      <c r="E62" s="65" t="s">
        <v>293</v>
      </c>
      <c r="F62" s="66" t="s">
        <v>6</v>
      </c>
      <c r="G62" s="67">
        <v>42794</v>
      </c>
      <c r="H62" s="67">
        <v>42930</v>
      </c>
      <c r="I62" s="67">
        <v>42906</v>
      </c>
      <c r="J62" s="66" t="s">
        <v>294</v>
      </c>
      <c r="K62" s="66" t="s">
        <v>7</v>
      </c>
      <c r="L62" s="66" t="s">
        <v>62</v>
      </c>
      <c r="M62" s="67" t="s">
        <v>295</v>
      </c>
      <c r="N62" s="66" t="s">
        <v>81</v>
      </c>
      <c r="O62" s="66" t="s">
        <v>7</v>
      </c>
      <c r="P62" s="66" t="s">
        <v>62</v>
      </c>
      <c r="Q62" s="66" t="s">
        <v>5002</v>
      </c>
      <c r="R62" s="67" cm="1">
        <f t="array" aca="1" ref="R62" ca="1">_xlfn.CHOOSECOLS(_xlfn.CHOOSEROWS(_xlfn._xlws.FILTER(표2[],표2[DWG No.]=C62,""),1),6)</f>
        <v>42803</v>
      </c>
      <c r="S62" s="67" cm="1">
        <f t="array" aca="1" ref="S62" ca="1">_xlfn.CHOOSECOLS(_xlfn.CHOOSEROWS(_xlfn._xlws.FILTER(표2[],(표2[DWG No.]=C62)*(ISNUMBER(표2[Rev.])),""),1),6)</f>
        <v>42906</v>
      </c>
    </row>
    <row r="63" spans="1:19" ht="18" customHeight="1" x14ac:dyDescent="0.45">
      <c r="A63" s="64">
        <v>58</v>
      </c>
      <c r="B63" s="49" t="s">
        <v>57</v>
      </c>
      <c r="C63" s="65" t="s">
        <v>296</v>
      </c>
      <c r="D63" s="66" t="s">
        <v>297</v>
      </c>
      <c r="E63" s="65" t="s">
        <v>298</v>
      </c>
      <c r="F63" s="66" t="s">
        <v>6</v>
      </c>
      <c r="G63" s="67">
        <v>42794</v>
      </c>
      <c r="H63" s="67">
        <v>42930</v>
      </c>
      <c r="I63" s="67">
        <v>42906</v>
      </c>
      <c r="J63" s="66" t="s">
        <v>294</v>
      </c>
      <c r="K63" s="66" t="s">
        <v>7</v>
      </c>
      <c r="L63" s="66" t="s">
        <v>62</v>
      </c>
      <c r="M63" s="67" t="s">
        <v>295</v>
      </c>
      <c r="N63" s="66" t="s">
        <v>81</v>
      </c>
      <c r="O63" s="66" t="s">
        <v>7</v>
      </c>
      <c r="P63" s="66" t="s">
        <v>62</v>
      </c>
      <c r="Q63" s="66" t="s">
        <v>5002</v>
      </c>
      <c r="R63" s="67" cm="1">
        <f t="array" aca="1" ref="R63" ca="1">_xlfn.CHOOSECOLS(_xlfn.CHOOSEROWS(_xlfn._xlws.FILTER(표2[],표2[DWG No.]=C63,""),1),6)</f>
        <v>42803</v>
      </c>
      <c r="S63" s="67" cm="1">
        <f t="array" aca="1" ref="S63" ca="1">_xlfn.CHOOSECOLS(_xlfn.CHOOSEROWS(_xlfn._xlws.FILTER(표2[],(표2[DWG No.]=C63)*(ISNUMBER(표2[Rev.])),""),1),6)</f>
        <v>42906</v>
      </c>
    </row>
    <row r="64" spans="1:19" ht="18" customHeight="1" x14ac:dyDescent="0.45">
      <c r="A64" s="64">
        <v>59</v>
      </c>
      <c r="B64" s="49" t="s">
        <v>57</v>
      </c>
      <c r="C64" s="65" t="s">
        <v>299</v>
      </c>
      <c r="D64" s="66" t="s">
        <v>300</v>
      </c>
      <c r="E64" s="65" t="s">
        <v>301</v>
      </c>
      <c r="F64" s="66" t="s">
        <v>6</v>
      </c>
      <c r="G64" s="67">
        <v>42794</v>
      </c>
      <c r="H64" s="67">
        <v>42930</v>
      </c>
      <c r="I64" s="67">
        <v>42921</v>
      </c>
      <c r="J64" s="66" t="s">
        <v>302</v>
      </c>
      <c r="K64" s="66" t="s">
        <v>7</v>
      </c>
      <c r="L64" s="66" t="s">
        <v>62</v>
      </c>
      <c r="M64" s="67" t="s">
        <v>190</v>
      </c>
      <c r="N64" s="66" t="s">
        <v>81</v>
      </c>
      <c r="O64" s="66" t="s">
        <v>7</v>
      </c>
      <c r="P64" s="66" t="s">
        <v>62</v>
      </c>
      <c r="Q64" s="66" t="s">
        <v>5002</v>
      </c>
      <c r="R64" s="67" cm="1">
        <f t="array" aca="1" ref="R64" ca="1">_xlfn.CHOOSECOLS(_xlfn.CHOOSEROWS(_xlfn._xlws.FILTER(표2[],표2[DWG No.]=C64,""),1),6)</f>
        <v>42803</v>
      </c>
      <c r="S64" s="67" cm="1">
        <f t="array" aca="1" ref="S64" ca="1">_xlfn.CHOOSECOLS(_xlfn.CHOOSEROWS(_xlfn._xlws.FILTER(표2[],(표2[DWG No.]=C64)*(ISNUMBER(표2[Rev.])),""),1),6)</f>
        <v>42922</v>
      </c>
    </row>
    <row r="65" spans="1:19" ht="18" customHeight="1" x14ac:dyDescent="0.45">
      <c r="A65" s="64">
        <v>60</v>
      </c>
      <c r="B65" s="49" t="s">
        <v>57</v>
      </c>
      <c r="C65" s="65" t="s">
        <v>303</v>
      </c>
      <c r="D65" s="66" t="s">
        <v>304</v>
      </c>
      <c r="E65" s="65" t="s">
        <v>305</v>
      </c>
      <c r="F65" s="66" t="s">
        <v>6</v>
      </c>
      <c r="G65" s="67">
        <v>42794</v>
      </c>
      <c r="H65" s="67">
        <v>42930</v>
      </c>
      <c r="I65" s="67">
        <v>42878</v>
      </c>
      <c r="J65" s="66" t="s">
        <v>306</v>
      </c>
      <c r="K65" s="66" t="s">
        <v>7</v>
      </c>
      <c r="L65" s="66" t="s">
        <v>62</v>
      </c>
      <c r="M65" s="67" t="s">
        <v>307</v>
      </c>
      <c r="N65" s="66" t="s">
        <v>308</v>
      </c>
      <c r="O65" s="66" t="s">
        <v>7</v>
      </c>
      <c r="P65" s="66" t="s">
        <v>62</v>
      </c>
      <c r="Q65" s="66" t="s">
        <v>5003</v>
      </c>
      <c r="R65" s="67" cm="1">
        <f t="array" aca="1" ref="R65" ca="1">_xlfn.CHOOSECOLS(_xlfn.CHOOSEROWS(_xlfn._xlws.FILTER(표2[],표2[DWG No.]=C65,""),1),6)</f>
        <v>42803</v>
      </c>
      <c r="S65" s="67" cm="1">
        <f t="array" aca="1" ref="S65" ca="1">_xlfn.CHOOSECOLS(_xlfn.CHOOSEROWS(_xlfn._xlws.FILTER(표2[],(표2[DWG No.]=C65)*(ISNUMBER(표2[Rev.])),""),1),6)</f>
        <v>42878</v>
      </c>
    </row>
    <row r="66" spans="1:19" ht="18" customHeight="1" x14ac:dyDescent="0.45">
      <c r="A66" s="64">
        <v>61</v>
      </c>
      <c r="B66" s="49" t="s">
        <v>57</v>
      </c>
      <c r="C66" s="65" t="s">
        <v>309</v>
      </c>
      <c r="D66" s="66" t="s">
        <v>310</v>
      </c>
      <c r="E66" s="65" t="s">
        <v>311</v>
      </c>
      <c r="F66" s="66" t="s">
        <v>6</v>
      </c>
      <c r="G66" s="67">
        <v>42794</v>
      </c>
      <c r="H66" s="67">
        <v>42930</v>
      </c>
      <c r="I66" s="67">
        <v>42933</v>
      </c>
      <c r="J66" s="66" t="s">
        <v>276</v>
      </c>
      <c r="K66" s="66" t="s">
        <v>7</v>
      </c>
      <c r="L66" s="66" t="s">
        <v>62</v>
      </c>
      <c r="M66" s="67" t="s">
        <v>190</v>
      </c>
      <c r="N66" s="66" t="s">
        <v>81</v>
      </c>
      <c r="O66" s="66" t="s">
        <v>7</v>
      </c>
      <c r="P66" s="66" t="s">
        <v>62</v>
      </c>
      <c r="Q66" s="66" t="s">
        <v>5002</v>
      </c>
      <c r="R66" s="67" cm="1">
        <f t="array" aca="1" ref="R66" ca="1">_xlfn.CHOOSECOLS(_xlfn.CHOOSEROWS(_xlfn._xlws.FILTER(표2[],표2[DWG No.]=C66,""),1),6)</f>
        <v>42803</v>
      </c>
      <c r="S66" s="67" cm="1">
        <f t="array" aca="1" ref="S66" ca="1">_xlfn.CHOOSECOLS(_xlfn.CHOOSEROWS(_xlfn._xlws.FILTER(표2[],(표2[DWG No.]=C66)*(ISNUMBER(표2[Rev.])),""),1),6)</f>
        <v>42933</v>
      </c>
    </row>
    <row r="67" spans="1:19" ht="18" customHeight="1" x14ac:dyDescent="0.45">
      <c r="A67" s="64">
        <v>62</v>
      </c>
      <c r="B67" s="49" t="s">
        <v>57</v>
      </c>
      <c r="C67" s="65" t="s">
        <v>312</v>
      </c>
      <c r="D67" s="66" t="s">
        <v>313</v>
      </c>
      <c r="E67" s="65" t="s">
        <v>314</v>
      </c>
      <c r="F67" s="66" t="s">
        <v>6</v>
      </c>
      <c r="G67" s="67">
        <v>42794</v>
      </c>
      <c r="H67" s="67">
        <v>42930</v>
      </c>
      <c r="I67" s="67">
        <v>42933</v>
      </c>
      <c r="J67" s="66" t="s">
        <v>276</v>
      </c>
      <c r="K67" s="66" t="s">
        <v>7</v>
      </c>
      <c r="L67" s="66" t="s">
        <v>62</v>
      </c>
      <c r="M67" s="67" t="s">
        <v>190</v>
      </c>
      <c r="N67" s="66" t="s">
        <v>81</v>
      </c>
      <c r="O67" s="66" t="s">
        <v>7</v>
      </c>
      <c r="P67" s="66" t="s">
        <v>62</v>
      </c>
      <c r="Q67" s="66" t="s">
        <v>5002</v>
      </c>
      <c r="R67" s="67" cm="1">
        <f t="array" aca="1" ref="R67" ca="1">_xlfn.CHOOSECOLS(_xlfn.CHOOSEROWS(_xlfn._xlws.FILTER(표2[],표2[DWG No.]=C67,""),1),6)</f>
        <v>42803</v>
      </c>
      <c r="S67" s="67" cm="1">
        <f t="array" aca="1" ref="S67" ca="1">_xlfn.CHOOSECOLS(_xlfn.CHOOSEROWS(_xlfn._xlws.FILTER(표2[],(표2[DWG No.]=C67)*(ISNUMBER(표2[Rev.])),""),1),6)</f>
        <v>42933</v>
      </c>
    </row>
    <row r="68" spans="1:19" ht="18" customHeight="1" x14ac:dyDescent="0.45">
      <c r="A68" s="64">
        <v>63</v>
      </c>
      <c r="B68" s="49" t="s">
        <v>57</v>
      </c>
      <c r="C68" s="65" t="s">
        <v>315</v>
      </c>
      <c r="D68" s="66" t="s">
        <v>316</v>
      </c>
      <c r="E68" s="65" t="s">
        <v>317</v>
      </c>
      <c r="F68" s="66" t="s">
        <v>6</v>
      </c>
      <c r="G68" s="67">
        <v>42794</v>
      </c>
      <c r="H68" s="67">
        <v>42930</v>
      </c>
      <c r="I68" s="67">
        <v>43084</v>
      </c>
      <c r="J68" s="66" t="s">
        <v>229</v>
      </c>
      <c r="K68" s="66" t="s">
        <v>7</v>
      </c>
      <c r="L68" s="66" t="s">
        <v>89</v>
      </c>
      <c r="M68" s="67" t="s">
        <v>155</v>
      </c>
      <c r="N68" s="66" t="s">
        <v>318</v>
      </c>
      <c r="O68" s="66" t="s">
        <v>7</v>
      </c>
      <c r="P68" s="66" t="s">
        <v>89</v>
      </c>
      <c r="Q68" s="66" t="s">
        <v>5002</v>
      </c>
      <c r="R68" s="67" cm="1">
        <f t="array" aca="1" ref="R68" ca="1">_xlfn.CHOOSECOLS(_xlfn.CHOOSEROWS(_xlfn._xlws.FILTER(표2[],표2[DWG No.]=C68,""),1),6)</f>
        <v>42803</v>
      </c>
      <c r="S68" s="67" cm="1">
        <f t="array" aca="1" ref="S68" ca="1">_xlfn.CHOOSECOLS(_xlfn.CHOOSEROWS(_xlfn._xlws.FILTER(표2[],(표2[DWG No.]=C68)*(ISNUMBER(표2[Rev.])),""),1),6)</f>
        <v>42906</v>
      </c>
    </row>
    <row r="69" spans="1:19" ht="18" customHeight="1" x14ac:dyDescent="0.45">
      <c r="A69" s="64">
        <v>64</v>
      </c>
      <c r="B69" s="49" t="s">
        <v>57</v>
      </c>
      <c r="C69" s="65" t="s">
        <v>319</v>
      </c>
      <c r="D69" s="66" t="s">
        <v>320</v>
      </c>
      <c r="E69" s="65" t="s">
        <v>321</v>
      </c>
      <c r="F69" s="66" t="s">
        <v>6</v>
      </c>
      <c r="G69" s="67">
        <v>42797</v>
      </c>
      <c r="H69" s="67">
        <v>42930</v>
      </c>
      <c r="I69" s="67">
        <v>42933</v>
      </c>
      <c r="J69" s="66" t="s">
        <v>322</v>
      </c>
      <c r="K69" s="66" t="s">
        <v>7</v>
      </c>
      <c r="L69" s="66" t="s">
        <v>62</v>
      </c>
      <c r="M69" s="67" t="s">
        <v>262</v>
      </c>
      <c r="N69" s="66" t="s">
        <v>81</v>
      </c>
      <c r="O69" s="66" t="s">
        <v>7</v>
      </c>
      <c r="P69" s="66" t="s">
        <v>62</v>
      </c>
      <c r="Q69" s="66" t="s">
        <v>5003</v>
      </c>
      <c r="R69" s="67" cm="1">
        <f t="array" aca="1" ref="R69" ca="1">_xlfn.CHOOSECOLS(_xlfn.CHOOSEROWS(_xlfn._xlws.FILTER(표2[],표2[DWG No.]=C69,""),1),6)</f>
        <v>42816</v>
      </c>
      <c r="S69" s="67" cm="1">
        <f t="array" aca="1" ref="S69" ca="1">_xlfn.CHOOSECOLS(_xlfn.CHOOSEROWS(_xlfn._xlws.FILTER(표2[],(표2[DWG No.]=C69)*(ISNUMBER(표2[Rev.])),""),1),6)</f>
        <v>42933</v>
      </c>
    </row>
    <row r="70" spans="1:19" ht="18" customHeight="1" x14ac:dyDescent="0.45">
      <c r="A70" s="64">
        <v>65</v>
      </c>
      <c r="B70" s="49" t="s">
        <v>57</v>
      </c>
      <c r="C70" s="65" t="s">
        <v>323</v>
      </c>
      <c r="D70" s="66" t="s">
        <v>324</v>
      </c>
      <c r="E70" s="65" t="s">
        <v>325</v>
      </c>
      <c r="F70" s="66" t="s">
        <v>6</v>
      </c>
      <c r="G70" s="67">
        <v>42809</v>
      </c>
      <c r="H70" s="67">
        <v>42899</v>
      </c>
      <c r="I70" s="67">
        <v>42894</v>
      </c>
      <c r="J70" s="66" t="s">
        <v>326</v>
      </c>
      <c r="K70" s="66" t="s">
        <v>7</v>
      </c>
      <c r="L70" s="66" t="s">
        <v>62</v>
      </c>
      <c r="M70" s="67" t="s">
        <v>327</v>
      </c>
      <c r="N70" s="66" t="s">
        <v>64</v>
      </c>
      <c r="O70" s="66" t="s">
        <v>7</v>
      </c>
      <c r="P70" s="66" t="s">
        <v>62</v>
      </c>
      <c r="Q70" s="66" t="s">
        <v>65</v>
      </c>
      <c r="R70" s="67" cm="1">
        <f t="array" aca="1" ref="R70" ca="1">_xlfn.CHOOSECOLS(_xlfn.CHOOSEROWS(_xlfn._xlws.FILTER(표2[],표2[DWG No.]=C70,""),1),6)</f>
        <v>42816</v>
      </c>
      <c r="S70" s="67" cm="1">
        <f t="array" aca="1" ref="S70" ca="1">_xlfn.CHOOSECOLS(_xlfn.CHOOSEROWS(_xlfn._xlws.FILTER(표2[],(표2[DWG No.]=C70)*(ISNUMBER(표2[Rev.])),""),1),6)</f>
        <v>42894</v>
      </c>
    </row>
    <row r="71" spans="1:19" ht="18" customHeight="1" x14ac:dyDescent="0.45">
      <c r="A71" s="64">
        <v>66</v>
      </c>
      <c r="B71" s="49" t="s">
        <v>57</v>
      </c>
      <c r="C71" s="65" t="s">
        <v>328</v>
      </c>
      <c r="D71" s="66" t="s">
        <v>329</v>
      </c>
      <c r="E71" s="65" t="s">
        <v>330</v>
      </c>
      <c r="F71" s="66" t="s">
        <v>6</v>
      </c>
      <c r="G71" s="67">
        <v>42955</v>
      </c>
      <c r="H71" s="67">
        <v>43045</v>
      </c>
      <c r="I71" s="67">
        <v>43066</v>
      </c>
      <c r="J71" s="66" t="s">
        <v>331</v>
      </c>
      <c r="K71" s="66" t="s">
        <v>7</v>
      </c>
      <c r="L71" s="66" t="s">
        <v>62</v>
      </c>
      <c r="M71" s="67" t="s">
        <v>155</v>
      </c>
      <c r="N71" s="66" t="s">
        <v>332</v>
      </c>
      <c r="O71" s="66" t="s">
        <v>7</v>
      </c>
      <c r="P71" s="66" t="s">
        <v>62</v>
      </c>
      <c r="Q71" s="66" t="s">
        <v>5002</v>
      </c>
      <c r="R71" s="67" cm="1">
        <f t="array" aca="1" ref="R71" ca="1">_xlfn.CHOOSECOLS(_xlfn.CHOOSEROWS(_xlfn._xlws.FILTER(표2[],표2[DWG No.]=C71,""),1),6)</f>
        <v>42968</v>
      </c>
      <c r="S71" s="67" cm="1">
        <f t="array" aca="1" ref="S71" ca="1">_xlfn.CHOOSECOLS(_xlfn.CHOOSEROWS(_xlfn._xlws.FILTER(표2[],(표2[DWG No.]=C71)*(ISNUMBER(표2[Rev.])),""),1),6)</f>
        <v>43066</v>
      </c>
    </row>
    <row r="72" spans="1:19" ht="18" customHeight="1" x14ac:dyDescent="0.45">
      <c r="A72" s="64">
        <v>67</v>
      </c>
      <c r="B72" s="49" t="s">
        <v>57</v>
      </c>
      <c r="C72" s="65" t="s">
        <v>333</v>
      </c>
      <c r="D72" s="66" t="s">
        <v>334</v>
      </c>
      <c r="E72" s="65" t="s">
        <v>335</v>
      </c>
      <c r="F72" s="66" t="s">
        <v>6</v>
      </c>
      <c r="G72" s="67">
        <v>42832</v>
      </c>
      <c r="H72" s="67">
        <v>42930</v>
      </c>
      <c r="I72" s="67">
        <v>42935</v>
      </c>
      <c r="J72" s="66" t="s">
        <v>251</v>
      </c>
      <c r="K72" s="66" t="s">
        <v>7</v>
      </c>
      <c r="L72" s="66" t="s">
        <v>62</v>
      </c>
      <c r="M72" s="67" t="s">
        <v>190</v>
      </c>
      <c r="N72" s="66" t="s">
        <v>81</v>
      </c>
      <c r="O72" s="66" t="s">
        <v>7</v>
      </c>
      <c r="P72" s="66" t="s">
        <v>62</v>
      </c>
      <c r="Q72" s="66" t="s">
        <v>5003</v>
      </c>
      <c r="R72" s="67" cm="1">
        <f t="array" aca="1" ref="R72" ca="1">_xlfn.CHOOSECOLS(_xlfn.CHOOSEROWS(_xlfn._xlws.FILTER(표2[],표2[DWG No.]=C72,""),1),6)</f>
        <v>42843</v>
      </c>
      <c r="S72" s="67" cm="1">
        <f t="array" aca="1" ref="S72" ca="1">_xlfn.CHOOSECOLS(_xlfn.CHOOSEROWS(_xlfn._xlws.FILTER(표2[],(표2[DWG No.]=C72)*(ISNUMBER(표2[Rev.])),""),1),6)</f>
        <v>42935</v>
      </c>
    </row>
    <row r="73" spans="1:19" ht="18" customHeight="1" x14ac:dyDescent="0.45">
      <c r="A73" s="64">
        <v>68</v>
      </c>
      <c r="B73" s="49" t="s">
        <v>57</v>
      </c>
      <c r="C73" s="65" t="s">
        <v>336</v>
      </c>
      <c r="D73" s="66" t="s">
        <v>337</v>
      </c>
      <c r="E73" s="65" t="s">
        <v>338</v>
      </c>
      <c r="F73" s="66" t="s">
        <v>5</v>
      </c>
      <c r="G73" s="67">
        <v>43210</v>
      </c>
      <c r="H73" s="67">
        <v>43251</v>
      </c>
      <c r="I73" s="67">
        <v>43286</v>
      </c>
      <c r="J73" s="66" t="s">
        <v>2454</v>
      </c>
      <c r="K73" s="66" t="s">
        <v>7</v>
      </c>
      <c r="L73" s="66" t="s">
        <v>62</v>
      </c>
      <c r="M73" s="67" t="s">
        <v>2455</v>
      </c>
      <c r="N73" s="66" t="s">
        <v>2456</v>
      </c>
      <c r="O73" s="66" t="s">
        <v>7</v>
      </c>
      <c r="P73" s="66" t="s">
        <v>62</v>
      </c>
      <c r="Q73" s="66" t="s">
        <v>5003</v>
      </c>
      <c r="R73" s="67" cm="1">
        <f t="array" aca="1" ref="R73" ca="1">_xlfn.CHOOSECOLS(_xlfn.CHOOSEROWS(_xlfn._xlws.FILTER(표2[],표2[DWG No.]=C73,""),1),6)</f>
        <v>43227</v>
      </c>
      <c r="S73" s="67" cm="1">
        <f t="array" aca="1" ref="S73" ca="1">_xlfn.CHOOSECOLS(_xlfn.CHOOSEROWS(_xlfn._xlws.FILTER(표2[],(표2[DWG No.]=C73)*(ISNUMBER(표2[Rev.])),""),1),6)</f>
        <v>43227</v>
      </c>
    </row>
    <row r="74" spans="1:19" ht="18" customHeight="1" x14ac:dyDescent="0.45">
      <c r="A74" s="64">
        <v>69</v>
      </c>
      <c r="B74" s="49" t="s">
        <v>57</v>
      </c>
      <c r="C74" s="65" t="s">
        <v>339</v>
      </c>
      <c r="D74" s="66" t="s">
        <v>340</v>
      </c>
      <c r="E74" s="65" t="s">
        <v>341</v>
      </c>
      <c r="F74" s="66" t="s">
        <v>6</v>
      </c>
      <c r="G74" s="67">
        <v>42930</v>
      </c>
      <c r="H74" s="67">
        <v>43020</v>
      </c>
      <c r="I74" s="67">
        <v>43084</v>
      </c>
      <c r="J74" s="66" t="s">
        <v>229</v>
      </c>
      <c r="K74" s="66" t="s">
        <v>7</v>
      </c>
      <c r="L74" s="66" t="s">
        <v>89</v>
      </c>
      <c r="M74" s="67" t="s">
        <v>155</v>
      </c>
      <c r="N74" s="66" t="s">
        <v>342</v>
      </c>
      <c r="O74" s="66" t="s">
        <v>7</v>
      </c>
      <c r="P74" s="66" t="s">
        <v>89</v>
      </c>
      <c r="Q74" s="66" t="s">
        <v>5002</v>
      </c>
      <c r="R74" s="67" cm="1">
        <f t="array" aca="1" ref="R74" ca="1">_xlfn.CHOOSECOLS(_xlfn.CHOOSEROWS(_xlfn._xlws.FILTER(표2[],표2[DWG No.]=C74,""),1),6)</f>
        <v>42942</v>
      </c>
      <c r="S74" s="67" cm="1">
        <f t="array" aca="1" ref="S74" ca="1">_xlfn.CHOOSECOLS(_xlfn.CHOOSEROWS(_xlfn._xlws.FILTER(표2[],(표2[DWG No.]=C74)*(ISNUMBER(표2[Rev.])),""),1),6)</f>
        <v>43021</v>
      </c>
    </row>
    <row r="75" spans="1:19" ht="18" customHeight="1" x14ac:dyDescent="0.45">
      <c r="A75" s="64">
        <v>70</v>
      </c>
      <c r="B75" s="49" t="s">
        <v>57</v>
      </c>
      <c r="C75" s="65" t="s">
        <v>343</v>
      </c>
      <c r="D75" s="66" t="s">
        <v>344</v>
      </c>
      <c r="E75" s="65" t="s">
        <v>345</v>
      </c>
      <c r="F75" s="66" t="s">
        <v>6</v>
      </c>
      <c r="G75" s="67">
        <v>42930</v>
      </c>
      <c r="H75" s="67">
        <v>43020</v>
      </c>
      <c r="I75" s="67">
        <v>43336</v>
      </c>
      <c r="J75" s="66" t="s">
        <v>2457</v>
      </c>
      <c r="K75" s="66" t="s">
        <v>7</v>
      </c>
      <c r="L75" s="66" t="s">
        <v>89</v>
      </c>
      <c r="M75" s="67" t="s">
        <v>2458</v>
      </c>
      <c r="N75" s="66" t="s">
        <v>2459</v>
      </c>
      <c r="O75" s="66" t="s">
        <v>7</v>
      </c>
      <c r="P75" s="66" t="s">
        <v>89</v>
      </c>
      <c r="Q75" s="66" t="s">
        <v>65</v>
      </c>
      <c r="R75" s="67" cm="1">
        <f t="array" aca="1" ref="R75" ca="1">_xlfn.CHOOSECOLS(_xlfn.CHOOSEROWS(_xlfn._xlws.FILTER(표2[],표2[DWG No.]=C75,""),1),6)</f>
        <v>42942</v>
      </c>
      <c r="S75" s="67" cm="1">
        <f t="array" aca="1" ref="S75" ca="1">_xlfn.CHOOSECOLS(_xlfn.CHOOSEROWS(_xlfn._xlws.FILTER(표2[],(표2[DWG No.]=C75)*(ISNUMBER(표2[Rev.])),""),1),6)</f>
        <v>43066</v>
      </c>
    </row>
    <row r="76" spans="1:19" ht="18" customHeight="1" x14ac:dyDescent="0.45">
      <c r="A76" s="64">
        <v>71</v>
      </c>
      <c r="B76" s="49" t="s">
        <v>57</v>
      </c>
      <c r="C76" s="65" t="s">
        <v>346</v>
      </c>
      <c r="D76" s="66" t="s">
        <v>347</v>
      </c>
      <c r="E76" s="65" t="s">
        <v>348</v>
      </c>
      <c r="F76" s="66" t="s">
        <v>5</v>
      </c>
      <c r="G76" s="67">
        <v>42944</v>
      </c>
      <c r="H76" s="67">
        <v>43034</v>
      </c>
      <c r="I76" s="67">
        <v>43848</v>
      </c>
      <c r="J76" s="66" t="s">
        <v>2796</v>
      </c>
      <c r="K76" s="66" t="s">
        <v>7</v>
      </c>
      <c r="L76" s="66" t="s">
        <v>230</v>
      </c>
      <c r="M76" s="67" t="s">
        <v>2815</v>
      </c>
      <c r="N76" s="66" t="s">
        <v>2816</v>
      </c>
      <c r="O76" s="66" t="s">
        <v>7</v>
      </c>
      <c r="P76" s="66" t="s">
        <v>230</v>
      </c>
      <c r="Q76" s="66" t="s">
        <v>65</v>
      </c>
      <c r="R76" s="67" cm="1">
        <f t="array" aca="1" ref="R76" ca="1">_xlfn.CHOOSECOLS(_xlfn.CHOOSEROWS(_xlfn._xlws.FILTER(표2[],표2[DWG No.]=C76,""),1),6)</f>
        <v>42944</v>
      </c>
      <c r="S76" s="67" cm="1">
        <f t="array" aca="1" ref="S76" ca="1">_xlfn.CHOOSECOLS(_xlfn.CHOOSEROWS(_xlfn._xlws.FILTER(표2[],(표2[DWG No.]=C76)*(ISNUMBER(표2[Rev.])),""),1),6)</f>
        <v>43073</v>
      </c>
    </row>
    <row r="77" spans="1:19" ht="18" customHeight="1" x14ac:dyDescent="0.45">
      <c r="A77" s="64">
        <v>72</v>
      </c>
      <c r="B77" s="49" t="s">
        <v>57</v>
      </c>
      <c r="C77" s="65" t="s">
        <v>350</v>
      </c>
      <c r="D77" s="66" t="s">
        <v>351</v>
      </c>
      <c r="E77" s="65" t="s">
        <v>352</v>
      </c>
      <c r="F77" s="66" t="s">
        <v>5</v>
      </c>
      <c r="G77" s="67">
        <v>42944</v>
      </c>
      <c r="H77" s="67">
        <v>43034</v>
      </c>
      <c r="I77" s="67">
        <v>43336</v>
      </c>
      <c r="J77" s="66" t="s">
        <v>2457</v>
      </c>
      <c r="K77" s="66" t="s">
        <v>7</v>
      </c>
      <c r="L77" s="66" t="s">
        <v>89</v>
      </c>
      <c r="M77" s="67" t="s">
        <v>2458</v>
      </c>
      <c r="N77" s="66" t="s">
        <v>2462</v>
      </c>
      <c r="O77" s="66" t="s">
        <v>7</v>
      </c>
      <c r="P77" s="66" t="s">
        <v>89</v>
      </c>
      <c r="Q77" s="66" t="s">
        <v>65</v>
      </c>
      <c r="R77" s="67" cm="1">
        <f t="array" aca="1" ref="R77" ca="1">_xlfn.CHOOSECOLS(_xlfn.CHOOSEROWS(_xlfn._xlws.FILTER(표2[],표2[DWG No.]=C77,""),1),6)</f>
        <v>42977</v>
      </c>
      <c r="S77" s="67" cm="1">
        <f t="array" aca="1" ref="S77" ca="1">_xlfn.CHOOSECOLS(_xlfn.CHOOSEROWS(_xlfn._xlws.FILTER(표2[],(표2[DWG No.]=C77)*(ISNUMBER(표2[Rev.])),""),1),6)</f>
        <v>43040</v>
      </c>
    </row>
    <row r="78" spans="1:19" ht="18" customHeight="1" x14ac:dyDescent="0.45">
      <c r="A78" s="64">
        <v>73</v>
      </c>
      <c r="B78" s="49" t="s">
        <v>57</v>
      </c>
      <c r="C78" s="65" t="s">
        <v>354</v>
      </c>
      <c r="D78" s="66" t="s">
        <v>355</v>
      </c>
      <c r="E78" s="65" t="s">
        <v>356</v>
      </c>
      <c r="F78" s="66" t="s">
        <v>5</v>
      </c>
      <c r="G78" s="67">
        <v>42944</v>
      </c>
      <c r="H78" s="67">
        <v>43034</v>
      </c>
      <c r="I78" s="67">
        <v>43066</v>
      </c>
      <c r="J78" s="66" t="s">
        <v>357</v>
      </c>
      <c r="K78" s="66" t="s">
        <v>7</v>
      </c>
      <c r="L78" s="66" t="s">
        <v>62</v>
      </c>
      <c r="M78" s="67" t="s">
        <v>155</v>
      </c>
      <c r="N78" s="66" t="s">
        <v>358</v>
      </c>
      <c r="O78" s="66" t="s">
        <v>7</v>
      </c>
      <c r="P78" s="66" t="s">
        <v>62</v>
      </c>
      <c r="Q78" s="66" t="s">
        <v>5002</v>
      </c>
      <c r="R78" s="67" cm="1">
        <f t="array" aca="1" ref="R78" ca="1">_xlfn.CHOOSECOLS(_xlfn.CHOOSEROWS(_xlfn._xlws.FILTER(표2[],표2[DWG No.]=C78,""),1),6)</f>
        <v>42977</v>
      </c>
      <c r="S78" s="67" cm="1">
        <f t="array" aca="1" ref="S78" ca="1">_xlfn.CHOOSECOLS(_xlfn.CHOOSEROWS(_xlfn._xlws.FILTER(표2[],(표2[DWG No.]=C78)*(ISNUMBER(표2[Rev.])),""),1),6)</f>
        <v>43066</v>
      </c>
    </row>
    <row r="79" spans="1:19" ht="18" customHeight="1" x14ac:dyDescent="0.45">
      <c r="A79" s="64">
        <v>74</v>
      </c>
      <c r="B79" s="49" t="s">
        <v>57</v>
      </c>
      <c r="C79" s="65" t="s">
        <v>359</v>
      </c>
      <c r="D79" s="66" t="s">
        <v>360</v>
      </c>
      <c r="E79" s="65" t="s">
        <v>361</v>
      </c>
      <c r="F79" s="66" t="s">
        <v>5</v>
      </c>
      <c r="G79" s="67">
        <v>42930</v>
      </c>
      <c r="H79" s="67">
        <v>43020</v>
      </c>
      <c r="I79" s="67">
        <v>43336</v>
      </c>
      <c r="J79" s="66" t="s">
        <v>2457</v>
      </c>
      <c r="K79" s="66" t="s">
        <v>7</v>
      </c>
      <c r="L79" s="66" t="s">
        <v>89</v>
      </c>
      <c r="M79" s="67" t="s">
        <v>2458</v>
      </c>
      <c r="N79" s="66" t="s">
        <v>2463</v>
      </c>
      <c r="O79" s="66" t="s">
        <v>7</v>
      </c>
      <c r="P79" s="66" t="s">
        <v>89</v>
      </c>
      <c r="Q79" s="66" t="s">
        <v>65</v>
      </c>
      <c r="R79" s="67" cm="1">
        <f t="array" aca="1" ref="R79" ca="1">_xlfn.CHOOSECOLS(_xlfn.CHOOSEROWS(_xlfn._xlws.FILTER(표2[],표2[DWG No.]=C79,""),1),6)</f>
        <v>42942</v>
      </c>
      <c r="S79" s="67" cm="1">
        <f t="array" aca="1" ref="S79" ca="1">_xlfn.CHOOSECOLS(_xlfn.CHOOSEROWS(_xlfn._xlws.FILTER(표2[],(표2[DWG No.]=C79)*(ISNUMBER(표2[Rev.])),""),1),6)</f>
        <v>43021</v>
      </c>
    </row>
    <row r="80" spans="1:19" ht="18" customHeight="1" x14ac:dyDescent="0.45">
      <c r="A80" s="64">
        <v>75</v>
      </c>
      <c r="B80" s="49" t="s">
        <v>57</v>
      </c>
      <c r="C80" s="65" t="s">
        <v>363</v>
      </c>
      <c r="D80" s="66" t="s">
        <v>364</v>
      </c>
      <c r="E80" s="65" t="s">
        <v>365</v>
      </c>
      <c r="F80" s="66" t="s">
        <v>6</v>
      </c>
      <c r="G80" s="67">
        <v>42944</v>
      </c>
      <c r="H80" s="67">
        <v>43034</v>
      </c>
      <c r="I80" s="67">
        <v>43066</v>
      </c>
      <c r="J80" s="66" t="s">
        <v>357</v>
      </c>
      <c r="K80" s="66" t="s">
        <v>7</v>
      </c>
      <c r="L80" s="66" t="s">
        <v>62</v>
      </c>
      <c r="M80" s="67" t="s">
        <v>155</v>
      </c>
      <c r="N80" s="66" t="s">
        <v>366</v>
      </c>
      <c r="O80" s="66" t="s">
        <v>7</v>
      </c>
      <c r="P80" s="66" t="s">
        <v>62</v>
      </c>
      <c r="Q80" s="66" t="s">
        <v>5002</v>
      </c>
      <c r="R80" s="67" cm="1">
        <f t="array" aca="1" ref="R80" ca="1">_xlfn.CHOOSECOLS(_xlfn.CHOOSEROWS(_xlfn._xlws.FILTER(표2[],표2[DWG No.]=C80,""),1),6)</f>
        <v>42944</v>
      </c>
      <c r="S80" s="67" cm="1">
        <f t="array" aca="1" ref="S80" ca="1">_xlfn.CHOOSECOLS(_xlfn.CHOOSEROWS(_xlfn._xlws.FILTER(표2[],(표2[DWG No.]=C80)*(ISNUMBER(표2[Rev.])),""),1),6)</f>
        <v>43066</v>
      </c>
    </row>
    <row r="81" spans="1:19" ht="18" customHeight="1" x14ac:dyDescent="0.45">
      <c r="A81" s="64">
        <v>76</v>
      </c>
      <c r="B81" s="49" t="s">
        <v>57</v>
      </c>
      <c r="C81" s="65" t="s">
        <v>367</v>
      </c>
      <c r="D81" s="66" t="s">
        <v>368</v>
      </c>
      <c r="E81" s="65" t="s">
        <v>369</v>
      </c>
      <c r="F81" s="66" t="s">
        <v>6</v>
      </c>
      <c r="G81" s="67">
        <v>42992</v>
      </c>
      <c r="H81" s="67">
        <v>43082</v>
      </c>
      <c r="I81" s="67">
        <v>43040</v>
      </c>
      <c r="J81" s="66" t="s">
        <v>353</v>
      </c>
      <c r="K81" s="66" t="s">
        <v>7</v>
      </c>
      <c r="L81" s="66" t="s">
        <v>62</v>
      </c>
      <c r="M81" s="67" t="s">
        <v>155</v>
      </c>
      <c r="N81" s="66" t="s">
        <v>370</v>
      </c>
      <c r="O81" s="66" t="s">
        <v>7</v>
      </c>
      <c r="P81" s="66" t="s">
        <v>62</v>
      </c>
      <c r="Q81" s="66" t="s">
        <v>5002</v>
      </c>
      <c r="R81" s="67" cm="1">
        <f t="array" aca="1" ref="R81" ca="1">_xlfn.CHOOSECOLS(_xlfn.CHOOSEROWS(_xlfn._xlws.FILTER(표2[],표2[DWG No.]=C81,""),1),6)</f>
        <v>43005</v>
      </c>
      <c r="S81" s="67" cm="1">
        <f t="array" aca="1" ref="S81" ca="1">_xlfn.CHOOSECOLS(_xlfn.CHOOSEROWS(_xlfn._xlws.FILTER(표2[],(표2[DWG No.]=C81)*(ISNUMBER(표2[Rev.])),""),1),6)</f>
        <v>43040</v>
      </c>
    </row>
    <row r="82" spans="1:19" ht="18" customHeight="1" x14ac:dyDescent="0.45">
      <c r="A82" s="64">
        <v>77</v>
      </c>
      <c r="B82" s="49" t="s">
        <v>57</v>
      </c>
      <c r="C82" s="65" t="s">
        <v>371</v>
      </c>
      <c r="D82" s="66" t="s">
        <v>372</v>
      </c>
      <c r="E82" s="65" t="s">
        <v>373</v>
      </c>
      <c r="F82" s="66" t="s">
        <v>6</v>
      </c>
      <c r="G82" s="67">
        <v>42930</v>
      </c>
      <c r="H82" s="67">
        <v>43020</v>
      </c>
      <c r="I82" s="67">
        <v>43066</v>
      </c>
      <c r="J82" s="66" t="s">
        <v>357</v>
      </c>
      <c r="K82" s="66" t="s">
        <v>7</v>
      </c>
      <c r="L82" s="66" t="s">
        <v>62</v>
      </c>
      <c r="M82" s="67" t="s">
        <v>155</v>
      </c>
      <c r="N82" s="66" t="s">
        <v>374</v>
      </c>
      <c r="O82" s="66" t="s">
        <v>7</v>
      </c>
      <c r="P82" s="66" t="s">
        <v>62</v>
      </c>
      <c r="Q82" s="66" t="s">
        <v>5002</v>
      </c>
      <c r="R82" s="67" cm="1">
        <f t="array" aca="1" ref="R82" ca="1">_xlfn.CHOOSECOLS(_xlfn.CHOOSEROWS(_xlfn._xlws.FILTER(표2[],표2[DWG No.]=C82,""),1),6)</f>
        <v>42942</v>
      </c>
      <c r="S82" s="67" cm="1">
        <f t="array" aca="1" ref="S82" ca="1">_xlfn.CHOOSECOLS(_xlfn.CHOOSEROWS(_xlfn._xlws.FILTER(표2[],(표2[DWG No.]=C82)*(ISNUMBER(표2[Rev.])),""),1),6)</f>
        <v>43066</v>
      </c>
    </row>
    <row r="83" spans="1:19" ht="18" customHeight="1" x14ac:dyDescent="0.45">
      <c r="A83" s="64">
        <v>78</v>
      </c>
      <c r="B83" s="49" t="s">
        <v>57</v>
      </c>
      <c r="C83" s="65" t="s">
        <v>375</v>
      </c>
      <c r="D83" s="66" t="s">
        <v>376</v>
      </c>
      <c r="E83" s="65" t="s">
        <v>377</v>
      </c>
      <c r="F83" s="66" t="s">
        <v>6</v>
      </c>
      <c r="G83" s="67">
        <v>42944</v>
      </c>
      <c r="H83" s="67">
        <v>43034</v>
      </c>
      <c r="I83" s="67">
        <v>43066</v>
      </c>
      <c r="J83" s="66" t="s">
        <v>357</v>
      </c>
      <c r="K83" s="66" t="s">
        <v>7</v>
      </c>
      <c r="L83" s="66" t="s">
        <v>62</v>
      </c>
      <c r="M83" s="67" t="s">
        <v>155</v>
      </c>
      <c r="N83" s="66" t="s">
        <v>378</v>
      </c>
      <c r="O83" s="66" t="s">
        <v>7</v>
      </c>
      <c r="P83" s="66" t="s">
        <v>62</v>
      </c>
      <c r="Q83" s="66" t="s">
        <v>5002</v>
      </c>
      <c r="R83" s="67" cm="1">
        <f t="array" aca="1" ref="R83" ca="1">_xlfn.CHOOSECOLS(_xlfn.CHOOSEROWS(_xlfn._xlws.FILTER(표2[],표2[DWG No.]=C83,""),1),6)</f>
        <v>42944</v>
      </c>
      <c r="S83" s="67" cm="1">
        <f t="array" aca="1" ref="S83" ca="1">_xlfn.CHOOSECOLS(_xlfn.CHOOSEROWS(_xlfn._xlws.FILTER(표2[],(표2[DWG No.]=C83)*(ISNUMBER(표2[Rev.])),""),1),6)</f>
        <v>43066</v>
      </c>
    </row>
    <row r="84" spans="1:19" ht="18" customHeight="1" x14ac:dyDescent="0.45">
      <c r="A84" s="64">
        <v>79</v>
      </c>
      <c r="B84" s="49" t="s">
        <v>57</v>
      </c>
      <c r="C84" s="65" t="s">
        <v>379</v>
      </c>
      <c r="D84" s="66" t="s">
        <v>380</v>
      </c>
      <c r="E84" s="65" t="s">
        <v>381</v>
      </c>
      <c r="F84" s="66" t="s">
        <v>5</v>
      </c>
      <c r="G84" s="67">
        <v>42930</v>
      </c>
      <c r="H84" s="67">
        <v>43020</v>
      </c>
      <c r="I84" s="67">
        <v>43293</v>
      </c>
      <c r="J84" s="66" t="s">
        <v>2460</v>
      </c>
      <c r="K84" s="66" t="s">
        <v>7</v>
      </c>
      <c r="L84" s="66" t="s">
        <v>89</v>
      </c>
      <c r="M84" s="67" t="s">
        <v>2461</v>
      </c>
      <c r="N84" s="66" t="s">
        <v>2464</v>
      </c>
      <c r="O84" s="66" t="s">
        <v>7</v>
      </c>
      <c r="P84" s="66" t="s">
        <v>89</v>
      </c>
      <c r="Q84" s="66" t="s">
        <v>65</v>
      </c>
      <c r="R84" s="67" cm="1">
        <f t="array" aca="1" ref="R84" ca="1">_xlfn.CHOOSECOLS(_xlfn.CHOOSEROWS(_xlfn._xlws.FILTER(표2[],표2[DWG No.]=C84,""),1),6)</f>
        <v>42942</v>
      </c>
      <c r="S84" s="67" cm="1">
        <f t="array" aca="1" ref="S84" ca="1">_xlfn.CHOOSECOLS(_xlfn.CHOOSEROWS(_xlfn._xlws.FILTER(표2[],(표2[DWG No.]=C84)*(ISNUMBER(표2[Rev.])),""),1),6)</f>
        <v>43073</v>
      </c>
    </row>
    <row r="85" spans="1:19" ht="18" customHeight="1" x14ac:dyDescent="0.45">
      <c r="A85" s="64">
        <v>80</v>
      </c>
      <c r="B85" s="49" t="s">
        <v>57</v>
      </c>
      <c r="C85" s="65" t="s">
        <v>382</v>
      </c>
      <c r="D85" s="66" t="s">
        <v>383</v>
      </c>
      <c r="E85" s="65" t="s">
        <v>384</v>
      </c>
      <c r="F85" s="66" t="s">
        <v>5</v>
      </c>
      <c r="G85" s="67">
        <v>42930</v>
      </c>
      <c r="H85" s="67">
        <v>43020</v>
      </c>
      <c r="I85" s="67">
        <v>43848</v>
      </c>
      <c r="J85" s="66" t="s">
        <v>2796</v>
      </c>
      <c r="K85" s="66" t="s">
        <v>7</v>
      </c>
      <c r="L85" s="66" t="s">
        <v>230</v>
      </c>
      <c r="M85" s="67" t="s">
        <v>2815</v>
      </c>
      <c r="N85" s="66" t="s">
        <v>2816</v>
      </c>
      <c r="O85" s="66" t="s">
        <v>7</v>
      </c>
      <c r="P85" s="66" t="s">
        <v>230</v>
      </c>
      <c r="Q85" s="66" t="s">
        <v>65</v>
      </c>
      <c r="R85" s="67" cm="1">
        <f t="array" aca="1" ref="R85" ca="1">_xlfn.CHOOSECOLS(_xlfn.CHOOSEROWS(_xlfn._xlws.FILTER(표2[],표2[DWG No.]=C85,""),1),6)</f>
        <v>42942</v>
      </c>
      <c r="S85" s="67" cm="1">
        <f t="array" aca="1" ref="S85" ca="1">_xlfn.CHOOSECOLS(_xlfn.CHOOSEROWS(_xlfn._xlws.FILTER(표2[],(표2[DWG No.]=C85)*(ISNUMBER(표2[Rev.])),""),1),6)</f>
        <v>43073</v>
      </c>
    </row>
    <row r="86" spans="1:19" ht="18" customHeight="1" x14ac:dyDescent="0.45">
      <c r="A86" s="64">
        <v>81</v>
      </c>
      <c r="B86" s="49" t="s">
        <v>57</v>
      </c>
      <c r="C86" s="65" t="s">
        <v>385</v>
      </c>
      <c r="D86" s="66" t="s">
        <v>386</v>
      </c>
      <c r="E86" s="65" t="s">
        <v>387</v>
      </c>
      <c r="F86" s="66" t="s">
        <v>5</v>
      </c>
      <c r="G86" s="67">
        <v>43004</v>
      </c>
      <c r="H86" s="67">
        <v>43094</v>
      </c>
      <c r="I86" s="67">
        <v>43021</v>
      </c>
      <c r="J86" s="66" t="s">
        <v>388</v>
      </c>
      <c r="K86" s="66" t="s">
        <v>7</v>
      </c>
      <c r="L86" s="66" t="s">
        <v>62</v>
      </c>
      <c r="M86" s="67" t="s">
        <v>1926</v>
      </c>
      <c r="N86" s="66" t="s">
        <v>2875</v>
      </c>
      <c r="O86" s="66" t="s">
        <v>5</v>
      </c>
      <c r="P86" s="66" t="s">
        <v>65</v>
      </c>
      <c r="Q86" s="66" t="s">
        <v>2702</v>
      </c>
      <c r="R86" s="67" cm="1">
        <f t="array" aca="1" ref="R86" ca="1">_xlfn.CHOOSECOLS(_xlfn.CHOOSEROWS(_xlfn._xlws.FILTER(표2[],표2[DWG No.]=C86,""),1),6)</f>
        <v>42993</v>
      </c>
      <c r="S86" s="67" cm="1">
        <f t="array" aca="1" ref="S86" ca="1">_xlfn.CHOOSECOLS(_xlfn.CHOOSEROWS(_xlfn._xlws.FILTER(표2[],(표2[DWG No.]=C86)*(ISNUMBER(표2[Rev.])),""),1),6)</f>
        <v>43021</v>
      </c>
    </row>
    <row r="87" spans="1:19" ht="18" customHeight="1" x14ac:dyDescent="0.45">
      <c r="A87" s="64">
        <v>82</v>
      </c>
      <c r="B87" s="49" t="s">
        <v>57</v>
      </c>
      <c r="C87" s="65" t="s">
        <v>389</v>
      </c>
      <c r="D87" s="66" t="s">
        <v>390</v>
      </c>
      <c r="E87" s="65" t="s">
        <v>391</v>
      </c>
      <c r="F87" s="66" t="s">
        <v>6</v>
      </c>
      <c r="G87" s="67">
        <v>43004</v>
      </c>
      <c r="H87" s="67">
        <v>43094</v>
      </c>
      <c r="I87" s="67">
        <v>43021</v>
      </c>
      <c r="J87" s="66" t="s">
        <v>388</v>
      </c>
      <c r="K87" s="66" t="s">
        <v>7</v>
      </c>
      <c r="L87" s="66" t="s">
        <v>62</v>
      </c>
      <c r="M87" s="67" t="s">
        <v>1926</v>
      </c>
      <c r="N87" s="66" t="s">
        <v>2875</v>
      </c>
      <c r="O87" s="66" t="s">
        <v>6</v>
      </c>
      <c r="P87" s="66" t="s">
        <v>65</v>
      </c>
      <c r="Q87" s="66" t="s">
        <v>160</v>
      </c>
      <c r="R87" s="67" cm="1">
        <f t="array" aca="1" ref="R87" ca="1">_xlfn.CHOOSECOLS(_xlfn.CHOOSEROWS(_xlfn._xlws.FILTER(표2[],표2[DWG No.]=C87,""),1),6)</f>
        <v>42993</v>
      </c>
      <c r="S87" s="67" cm="1">
        <f t="array" aca="1" ref="S87" ca="1">_xlfn.CHOOSECOLS(_xlfn.CHOOSEROWS(_xlfn._xlws.FILTER(표2[],(표2[DWG No.]=C87)*(ISNUMBER(표2[Rev.])),""),1),6)</f>
        <v>43021</v>
      </c>
    </row>
    <row r="88" spans="1:19" ht="18" customHeight="1" x14ac:dyDescent="0.45">
      <c r="A88" s="64">
        <v>83</v>
      </c>
      <c r="B88" s="49" t="s">
        <v>57</v>
      </c>
      <c r="C88" s="65" t="s">
        <v>392</v>
      </c>
      <c r="D88" s="66" t="s">
        <v>393</v>
      </c>
      <c r="E88" s="65" t="s">
        <v>394</v>
      </c>
      <c r="F88" s="66" t="s">
        <v>5</v>
      </c>
      <c r="G88" s="67">
        <v>43210</v>
      </c>
      <c r="H88" s="67">
        <v>43251</v>
      </c>
      <c r="I88" s="67">
        <v>43286</v>
      </c>
      <c r="J88" s="66" t="s">
        <v>2454</v>
      </c>
      <c r="K88" s="66" t="s">
        <v>7</v>
      </c>
      <c r="L88" s="66" t="s">
        <v>62</v>
      </c>
      <c r="M88" s="67" t="s">
        <v>2455</v>
      </c>
      <c r="N88" s="66" t="s">
        <v>2465</v>
      </c>
      <c r="O88" s="66" t="s">
        <v>7</v>
      </c>
      <c r="P88" s="66" t="s">
        <v>62</v>
      </c>
      <c r="Q88" s="66" t="s">
        <v>5002</v>
      </c>
      <c r="R88" s="67" cm="1">
        <f t="array" aca="1" ref="R88" ca="1">_xlfn.CHOOSECOLS(_xlfn.CHOOSEROWS(_xlfn._xlws.FILTER(표2[],표2[DWG No.]=C88,""),1),6)</f>
        <v>43251</v>
      </c>
      <c r="S88" s="67" cm="1">
        <f t="array" aca="1" ref="S88" ca="1">_xlfn.CHOOSECOLS(_xlfn.CHOOSEROWS(_xlfn._xlws.FILTER(표2[],(표2[DWG No.]=C88)*(ISNUMBER(표2[Rev.])),""),1),6)</f>
        <v>43286</v>
      </c>
    </row>
    <row r="89" spans="1:19" ht="18" customHeight="1" x14ac:dyDescent="0.45">
      <c r="A89" s="64">
        <v>84</v>
      </c>
      <c r="B89" s="49" t="s">
        <v>57</v>
      </c>
      <c r="C89" s="65" t="s">
        <v>395</v>
      </c>
      <c r="D89" s="66" t="s">
        <v>396</v>
      </c>
      <c r="E89" s="65" t="s">
        <v>397</v>
      </c>
      <c r="F89" s="66" t="s">
        <v>6</v>
      </c>
      <c r="G89" s="67">
        <v>43032</v>
      </c>
      <c r="H89" s="67">
        <v>43122</v>
      </c>
      <c r="I89" s="67">
        <v>43091</v>
      </c>
      <c r="J89" s="66" t="s">
        <v>398</v>
      </c>
      <c r="K89" s="66" t="s">
        <v>7</v>
      </c>
      <c r="L89" s="66" t="s">
        <v>62</v>
      </c>
      <c r="M89" s="67" t="s">
        <v>155</v>
      </c>
      <c r="N89" s="66" t="s">
        <v>399</v>
      </c>
      <c r="O89" s="66" t="s">
        <v>7</v>
      </c>
      <c r="P89" s="66" t="s">
        <v>62</v>
      </c>
      <c r="Q89" s="66" t="s">
        <v>5002</v>
      </c>
      <c r="R89" s="67" cm="1">
        <f t="array" aca="1" ref="R89" ca="1">_xlfn.CHOOSECOLS(_xlfn.CHOOSEROWS(_xlfn._xlws.FILTER(표2[],표2[DWG No.]=C89,""),1),6)</f>
        <v>42984</v>
      </c>
      <c r="S89" s="67" cm="1">
        <f t="array" aca="1" ref="S89" ca="1">_xlfn.CHOOSECOLS(_xlfn.CHOOSEROWS(_xlfn._xlws.FILTER(표2[],(표2[DWG No.]=C89)*(ISNUMBER(표2[Rev.])),""),1),6)</f>
        <v>43091</v>
      </c>
    </row>
    <row r="90" spans="1:19" ht="18" customHeight="1" x14ac:dyDescent="0.45">
      <c r="A90" s="64">
        <v>85</v>
      </c>
      <c r="B90" s="49" t="s">
        <v>57</v>
      </c>
      <c r="C90" s="65" t="s">
        <v>400</v>
      </c>
      <c r="D90" s="66" t="s">
        <v>401</v>
      </c>
      <c r="E90" s="65" t="s">
        <v>402</v>
      </c>
      <c r="F90" s="66" t="s">
        <v>6</v>
      </c>
      <c r="G90" s="67">
        <v>43032</v>
      </c>
      <c r="H90" s="67">
        <v>43122</v>
      </c>
      <c r="I90" s="67">
        <v>43091</v>
      </c>
      <c r="J90" s="66" t="s">
        <v>398</v>
      </c>
      <c r="K90" s="66" t="s">
        <v>7</v>
      </c>
      <c r="L90" s="66" t="s">
        <v>62</v>
      </c>
      <c r="M90" s="67" t="s">
        <v>155</v>
      </c>
      <c r="N90" s="66" t="s">
        <v>403</v>
      </c>
      <c r="O90" s="66" t="s">
        <v>7</v>
      </c>
      <c r="P90" s="66" t="s">
        <v>62</v>
      </c>
      <c r="Q90" s="66" t="s">
        <v>5002</v>
      </c>
      <c r="R90" s="67" cm="1">
        <f t="array" aca="1" ref="R90" ca="1">_xlfn.CHOOSECOLS(_xlfn.CHOOSEROWS(_xlfn._xlws.FILTER(표2[],표2[DWG No.]=C90,""),1),6)</f>
        <v>42984</v>
      </c>
      <c r="S90" s="67" cm="1">
        <f t="array" aca="1" ref="S90" ca="1">_xlfn.CHOOSECOLS(_xlfn.CHOOSEROWS(_xlfn._xlws.FILTER(표2[],(표2[DWG No.]=C90)*(ISNUMBER(표2[Rev.])),""),1),6)</f>
        <v>43091</v>
      </c>
    </row>
    <row r="91" spans="1:19" ht="18" customHeight="1" x14ac:dyDescent="0.45">
      <c r="A91" s="64">
        <v>86</v>
      </c>
      <c r="B91" s="49" t="s">
        <v>57</v>
      </c>
      <c r="C91" s="65" t="s">
        <v>404</v>
      </c>
      <c r="D91" s="66" t="s">
        <v>405</v>
      </c>
      <c r="E91" s="65" t="s">
        <v>406</v>
      </c>
      <c r="F91" s="66" t="s">
        <v>6</v>
      </c>
      <c r="G91" s="67">
        <v>42891</v>
      </c>
      <c r="H91" s="67">
        <v>42981</v>
      </c>
      <c r="I91" s="67">
        <v>43852</v>
      </c>
      <c r="J91" s="66" t="s">
        <v>2797</v>
      </c>
      <c r="K91" s="66" t="s">
        <v>7</v>
      </c>
      <c r="L91" s="66" t="s">
        <v>89</v>
      </c>
      <c r="M91" s="67" t="s">
        <v>2872</v>
      </c>
      <c r="N91" s="66" t="s">
        <v>2876</v>
      </c>
      <c r="O91" s="66" t="s">
        <v>7</v>
      </c>
      <c r="P91" s="66" t="s">
        <v>89</v>
      </c>
      <c r="Q91" s="66" t="s">
        <v>65</v>
      </c>
      <c r="R91" s="67" cm="1">
        <f t="array" aca="1" ref="R91" ca="1">_xlfn.CHOOSECOLS(_xlfn.CHOOSEROWS(_xlfn._xlws.FILTER(표2[],표2[DWG No.]=C91,""),1),6)</f>
        <v>42894</v>
      </c>
      <c r="S91" s="67" cm="1">
        <f t="array" aca="1" ref="S91" ca="1">_xlfn.CHOOSECOLS(_xlfn.CHOOSEROWS(_xlfn._xlws.FILTER(표2[],(표2[DWG No.]=C91)*(ISNUMBER(표2[Rev.])),""),1),6)</f>
        <v>42992</v>
      </c>
    </row>
    <row r="92" spans="1:19" ht="18" customHeight="1" x14ac:dyDescent="0.45">
      <c r="A92" s="64">
        <v>87</v>
      </c>
      <c r="B92" s="49" t="s">
        <v>57</v>
      </c>
      <c r="C92" s="65" t="s">
        <v>409</v>
      </c>
      <c r="D92" s="66" t="s">
        <v>410</v>
      </c>
      <c r="E92" s="65" t="s">
        <v>411</v>
      </c>
      <c r="F92" s="66" t="s">
        <v>6</v>
      </c>
      <c r="G92" s="67">
        <v>42891</v>
      </c>
      <c r="H92" s="67">
        <v>42981</v>
      </c>
      <c r="I92" s="67">
        <v>43852</v>
      </c>
      <c r="J92" s="66" t="s">
        <v>2797</v>
      </c>
      <c r="K92" s="66" t="s">
        <v>7</v>
      </c>
      <c r="L92" s="66" t="s">
        <v>89</v>
      </c>
      <c r="M92" s="67" t="s">
        <v>2872</v>
      </c>
      <c r="N92" s="66" t="s">
        <v>2877</v>
      </c>
      <c r="O92" s="66" t="s">
        <v>7</v>
      </c>
      <c r="P92" s="66" t="s">
        <v>89</v>
      </c>
      <c r="Q92" s="66" t="s">
        <v>65</v>
      </c>
      <c r="R92" s="67" cm="1">
        <f t="array" aca="1" ref="R92" ca="1">_xlfn.CHOOSECOLS(_xlfn.CHOOSEROWS(_xlfn._xlws.FILTER(표2[],표2[DWG No.]=C92,""),1),6)</f>
        <v>42894</v>
      </c>
      <c r="S92" s="67" cm="1">
        <f t="array" aca="1" ref="S92" ca="1">_xlfn.CHOOSECOLS(_xlfn.CHOOSEROWS(_xlfn._xlws.FILTER(표2[],(표2[DWG No.]=C92)*(ISNUMBER(표2[Rev.])),""),1),6)</f>
        <v>42977</v>
      </c>
    </row>
    <row r="93" spans="1:19" ht="18" customHeight="1" x14ac:dyDescent="0.45">
      <c r="A93" s="64">
        <v>88</v>
      </c>
      <c r="B93" s="49" t="s">
        <v>57</v>
      </c>
      <c r="C93" s="65" t="s">
        <v>413</v>
      </c>
      <c r="D93" s="66" t="s">
        <v>414</v>
      </c>
      <c r="E93" s="65" t="s">
        <v>415</v>
      </c>
      <c r="F93" s="66" t="s">
        <v>6</v>
      </c>
      <c r="G93" s="67">
        <v>42891</v>
      </c>
      <c r="H93" s="67">
        <v>42981</v>
      </c>
      <c r="I93" s="67">
        <v>42977</v>
      </c>
      <c r="J93" s="66" t="s">
        <v>416</v>
      </c>
      <c r="K93" s="66" t="s">
        <v>7</v>
      </c>
      <c r="L93" s="66" t="s">
        <v>62</v>
      </c>
      <c r="M93" s="67" t="s">
        <v>246</v>
      </c>
      <c r="N93" s="66" t="s">
        <v>417</v>
      </c>
      <c r="O93" s="66" t="s">
        <v>7</v>
      </c>
      <c r="P93" s="66" t="s">
        <v>62</v>
      </c>
      <c r="Q93" s="66" t="s">
        <v>5002</v>
      </c>
      <c r="R93" s="67" cm="1">
        <f t="array" aca="1" ref="R93" ca="1">_xlfn.CHOOSECOLS(_xlfn.CHOOSEROWS(_xlfn._xlws.FILTER(표2[],표2[DWG No.]=C93,""),1),6)</f>
        <v>42894</v>
      </c>
      <c r="S93" s="67" cm="1">
        <f t="array" aca="1" ref="S93" ca="1">_xlfn.CHOOSECOLS(_xlfn.CHOOSEROWS(_xlfn._xlws.FILTER(표2[],(표2[DWG No.]=C93)*(ISNUMBER(표2[Rev.])),""),1),6)</f>
        <v>42977</v>
      </c>
    </row>
    <row r="94" spans="1:19" ht="18" customHeight="1" x14ac:dyDescent="0.45">
      <c r="A94" s="64">
        <v>89</v>
      </c>
      <c r="B94" s="49" t="s">
        <v>57</v>
      </c>
      <c r="C94" s="65" t="s">
        <v>418</v>
      </c>
      <c r="D94" s="66" t="s">
        <v>419</v>
      </c>
      <c r="E94" s="65" t="s">
        <v>420</v>
      </c>
      <c r="F94" s="66" t="s">
        <v>6</v>
      </c>
      <c r="G94" s="67">
        <v>42891</v>
      </c>
      <c r="H94" s="67">
        <v>42981</v>
      </c>
      <c r="I94" s="67">
        <v>42977</v>
      </c>
      <c r="J94" s="66" t="s">
        <v>412</v>
      </c>
      <c r="K94" s="66" t="s">
        <v>7</v>
      </c>
      <c r="L94" s="66" t="s">
        <v>62</v>
      </c>
      <c r="M94" s="67" t="s">
        <v>246</v>
      </c>
      <c r="N94" s="66" t="s">
        <v>421</v>
      </c>
      <c r="O94" s="66" t="s">
        <v>7</v>
      </c>
      <c r="P94" s="66" t="s">
        <v>62</v>
      </c>
      <c r="Q94" s="66" t="s">
        <v>5003</v>
      </c>
      <c r="R94" s="67" cm="1">
        <f t="array" aca="1" ref="R94" ca="1">_xlfn.CHOOSECOLS(_xlfn.CHOOSEROWS(_xlfn._xlws.FILTER(표2[],표2[DWG No.]=C94,""),1),6)</f>
        <v>42900</v>
      </c>
      <c r="S94" s="67" cm="1">
        <f t="array" aca="1" ref="S94" ca="1">_xlfn.CHOOSECOLS(_xlfn.CHOOSEROWS(_xlfn._xlws.FILTER(표2[],(표2[DWG No.]=C94)*(ISNUMBER(표2[Rev.])),""),1),6)</f>
        <v>42977</v>
      </c>
    </row>
    <row r="95" spans="1:19" ht="18" customHeight="1" x14ac:dyDescent="0.45">
      <c r="A95" s="64">
        <v>90</v>
      </c>
      <c r="B95" s="49" t="s">
        <v>57</v>
      </c>
      <c r="C95" s="65" t="s">
        <v>422</v>
      </c>
      <c r="D95" s="66" t="s">
        <v>423</v>
      </c>
      <c r="E95" s="65" t="s">
        <v>424</v>
      </c>
      <c r="F95" s="66" t="s">
        <v>6</v>
      </c>
      <c r="G95" s="67">
        <v>42891</v>
      </c>
      <c r="H95" s="67">
        <v>42981</v>
      </c>
      <c r="I95" s="67">
        <v>43066</v>
      </c>
      <c r="J95" s="66" t="s">
        <v>225</v>
      </c>
      <c r="K95" s="66" t="s">
        <v>7</v>
      </c>
      <c r="L95" s="66" t="s">
        <v>89</v>
      </c>
      <c r="M95" s="67" t="s">
        <v>155</v>
      </c>
      <c r="N95" s="66" t="s">
        <v>425</v>
      </c>
      <c r="O95" s="66" t="s">
        <v>7</v>
      </c>
      <c r="P95" s="66" t="s">
        <v>89</v>
      </c>
      <c r="Q95" s="66" t="s">
        <v>5002</v>
      </c>
      <c r="R95" s="67" cm="1">
        <f t="array" aca="1" ref="R95" ca="1">_xlfn.CHOOSECOLS(_xlfn.CHOOSEROWS(_xlfn._xlws.FILTER(표2[],표2[DWG No.]=C95,""),1),6)</f>
        <v>42900</v>
      </c>
      <c r="S95" s="67" cm="1">
        <f t="array" aca="1" ref="S95" ca="1">_xlfn.CHOOSECOLS(_xlfn.CHOOSEROWS(_xlfn._xlws.FILTER(표2[],(표2[DWG No.]=C95)*(ISNUMBER(표2[Rev.])),""),1),6)</f>
        <v>42977</v>
      </c>
    </row>
    <row r="96" spans="1:19" ht="18" customHeight="1" x14ac:dyDescent="0.45">
      <c r="A96" s="64">
        <v>91</v>
      </c>
      <c r="B96" s="49" t="s">
        <v>57</v>
      </c>
      <c r="C96" s="65" t="s">
        <v>426</v>
      </c>
      <c r="D96" s="66" t="s">
        <v>427</v>
      </c>
      <c r="E96" s="65" t="s">
        <v>428</v>
      </c>
      <c r="F96" s="66" t="s">
        <v>6</v>
      </c>
      <c r="G96" s="67">
        <v>42959</v>
      </c>
      <c r="H96" s="67">
        <v>43049</v>
      </c>
      <c r="I96" s="67">
        <v>43040</v>
      </c>
      <c r="J96" s="66" t="s">
        <v>429</v>
      </c>
      <c r="K96" s="66" t="s">
        <v>7</v>
      </c>
      <c r="L96" s="66" t="s">
        <v>62</v>
      </c>
      <c r="M96" s="67" t="s">
        <v>90</v>
      </c>
      <c r="N96" s="66" t="s">
        <v>430</v>
      </c>
      <c r="O96" s="66" t="s">
        <v>7</v>
      </c>
      <c r="P96" s="66" t="s">
        <v>62</v>
      </c>
      <c r="Q96" s="66" t="s">
        <v>5002</v>
      </c>
      <c r="R96" s="67" cm="1">
        <f t="array" aca="1" ref="R96" ca="1">_xlfn.CHOOSECOLS(_xlfn.CHOOSEROWS(_xlfn._xlws.FILTER(표2[],표2[DWG No.]=C96,""),1),6)</f>
        <v>42900</v>
      </c>
      <c r="S96" s="67" cm="1">
        <f t="array" aca="1" ref="S96" ca="1">_xlfn.CHOOSECOLS(_xlfn.CHOOSEROWS(_xlfn._xlws.FILTER(표2[],(표2[DWG No.]=C96)*(ISNUMBER(표2[Rev.])),""),1),6)</f>
        <v>43040</v>
      </c>
    </row>
    <row r="97" spans="1:19" ht="18" customHeight="1" x14ac:dyDescent="0.45">
      <c r="A97" s="64">
        <v>92</v>
      </c>
      <c r="B97" s="49" t="s">
        <v>57</v>
      </c>
      <c r="C97" s="65" t="s">
        <v>431</v>
      </c>
      <c r="D97" s="66" t="s">
        <v>432</v>
      </c>
      <c r="E97" s="65" t="s">
        <v>433</v>
      </c>
      <c r="F97" s="66" t="s">
        <v>6</v>
      </c>
      <c r="G97" s="67">
        <v>42959</v>
      </c>
      <c r="H97" s="67">
        <v>43049</v>
      </c>
      <c r="I97" s="67">
        <v>43021</v>
      </c>
      <c r="J97" s="66" t="s">
        <v>434</v>
      </c>
      <c r="K97" s="66" t="s">
        <v>7</v>
      </c>
      <c r="L97" s="66" t="s">
        <v>62</v>
      </c>
      <c r="M97" s="67" t="s">
        <v>362</v>
      </c>
      <c r="N97" s="66" t="s">
        <v>435</v>
      </c>
      <c r="O97" s="66" t="s">
        <v>7</v>
      </c>
      <c r="P97" s="66" t="s">
        <v>62</v>
      </c>
      <c r="Q97" s="66" t="s">
        <v>5003</v>
      </c>
      <c r="R97" s="67" cm="1">
        <f t="array" aca="1" ref="R97" ca="1">_xlfn.CHOOSECOLS(_xlfn.CHOOSEROWS(_xlfn._xlws.FILTER(표2[],표2[DWG No.]=C97,""),1),6)</f>
        <v>42937</v>
      </c>
      <c r="S97" s="67" cm="1">
        <f t="array" aca="1" ref="S97" ca="1">_xlfn.CHOOSECOLS(_xlfn.CHOOSEROWS(_xlfn._xlws.FILTER(표2[],(표2[DWG No.]=C97)*(ISNUMBER(표2[Rev.])),""),1),6)</f>
        <v>43021</v>
      </c>
    </row>
    <row r="98" spans="1:19" ht="18" customHeight="1" x14ac:dyDescent="0.45">
      <c r="A98" s="64">
        <v>93</v>
      </c>
      <c r="B98" s="49" t="s">
        <v>57</v>
      </c>
      <c r="C98" s="65" t="s">
        <v>436</v>
      </c>
      <c r="D98" s="66" t="s">
        <v>437</v>
      </c>
      <c r="E98" s="65" t="s">
        <v>438</v>
      </c>
      <c r="F98" s="66" t="s">
        <v>6</v>
      </c>
      <c r="G98" s="67">
        <v>42959</v>
      </c>
      <c r="H98" s="67">
        <v>43049</v>
      </c>
      <c r="I98" s="67">
        <v>43034</v>
      </c>
      <c r="J98" s="66" t="s">
        <v>439</v>
      </c>
      <c r="K98" s="66" t="s">
        <v>7</v>
      </c>
      <c r="L98" s="66" t="s">
        <v>62</v>
      </c>
      <c r="M98" s="67" t="s">
        <v>90</v>
      </c>
      <c r="N98" s="66" t="s">
        <v>440</v>
      </c>
      <c r="O98" s="66" t="s">
        <v>7</v>
      </c>
      <c r="P98" s="66" t="s">
        <v>62</v>
      </c>
      <c r="Q98" s="66" t="s">
        <v>5002</v>
      </c>
      <c r="R98" s="67" cm="1">
        <f t="array" aca="1" ref="R98" ca="1">_xlfn.CHOOSECOLS(_xlfn.CHOOSEROWS(_xlfn._xlws.FILTER(표2[],표2[DWG No.]=C98,""),1),6)</f>
        <v>42962</v>
      </c>
      <c r="S98" s="67" cm="1">
        <f t="array" aca="1" ref="S98" ca="1">_xlfn.CHOOSECOLS(_xlfn.CHOOSEROWS(_xlfn._xlws.FILTER(표2[],(표2[DWG No.]=C98)*(ISNUMBER(표2[Rev.])),""),1),6)</f>
        <v>43034</v>
      </c>
    </row>
    <row r="99" spans="1:19" ht="18" customHeight="1" x14ac:dyDescent="0.45">
      <c r="A99" s="64">
        <v>94</v>
      </c>
      <c r="B99" s="49" t="s">
        <v>57</v>
      </c>
      <c r="C99" s="65" t="s">
        <v>441</v>
      </c>
      <c r="D99" s="66" t="s">
        <v>442</v>
      </c>
      <c r="E99" s="65" t="s">
        <v>443</v>
      </c>
      <c r="F99" s="66" t="s">
        <v>6</v>
      </c>
      <c r="G99" s="67">
        <v>42839</v>
      </c>
      <c r="H99" s="67">
        <v>42981</v>
      </c>
      <c r="I99" s="67">
        <v>42968</v>
      </c>
      <c r="J99" s="66" t="s">
        <v>220</v>
      </c>
      <c r="K99" s="66" t="s">
        <v>7</v>
      </c>
      <c r="L99" s="66" t="s">
        <v>62</v>
      </c>
      <c r="M99" s="67" t="s">
        <v>221</v>
      </c>
      <c r="N99" s="66" t="s">
        <v>81</v>
      </c>
      <c r="O99" s="66" t="s">
        <v>7</v>
      </c>
      <c r="P99" s="66" t="s">
        <v>62</v>
      </c>
      <c r="Q99" s="66" t="s">
        <v>5003</v>
      </c>
      <c r="R99" s="67" cm="1">
        <f t="array" aca="1" ref="R99" ca="1">_xlfn.CHOOSECOLS(_xlfn.CHOOSEROWS(_xlfn._xlws.FILTER(표2[],표2[DWG No.]=C99,""),1),6)</f>
        <v>42843</v>
      </c>
      <c r="S99" s="67" cm="1">
        <f t="array" aca="1" ref="S99" ca="1">_xlfn.CHOOSECOLS(_xlfn.CHOOSEROWS(_xlfn._xlws.FILTER(표2[],(표2[DWG No.]=C99)*(ISNUMBER(표2[Rev.])),""),1),6)</f>
        <v>42968</v>
      </c>
    </row>
    <row r="100" spans="1:19" ht="18" customHeight="1" x14ac:dyDescent="0.45">
      <c r="A100" s="64">
        <v>95</v>
      </c>
      <c r="B100" s="49" t="s">
        <v>57</v>
      </c>
      <c r="C100" s="65" t="s">
        <v>444</v>
      </c>
      <c r="D100" s="66" t="s">
        <v>445</v>
      </c>
      <c r="E100" s="65" t="s">
        <v>446</v>
      </c>
      <c r="F100" s="66" t="s">
        <v>5</v>
      </c>
      <c r="G100" s="67">
        <v>43210</v>
      </c>
      <c r="H100" s="67">
        <v>43251</v>
      </c>
      <c r="I100" s="67">
        <v>43279</v>
      </c>
      <c r="J100" s="66" t="s">
        <v>2466</v>
      </c>
      <c r="K100" s="66" t="s">
        <v>7</v>
      </c>
      <c r="L100" s="66" t="s">
        <v>62</v>
      </c>
      <c r="M100" s="67" t="s">
        <v>2467</v>
      </c>
      <c r="N100" s="66" t="s">
        <v>2468</v>
      </c>
      <c r="O100" s="66" t="s">
        <v>7</v>
      </c>
      <c r="P100" s="66" t="s">
        <v>62</v>
      </c>
      <c r="Q100" s="66" t="s">
        <v>5002</v>
      </c>
      <c r="R100" s="67" cm="1">
        <f t="array" aca="1" ref="R100" ca="1">_xlfn.CHOOSECOLS(_xlfn.CHOOSEROWS(_xlfn._xlws.FILTER(표2[],표2[DWG No.]=C100,""),1),6)</f>
        <v>43224</v>
      </c>
      <c r="S100" s="67" cm="1">
        <f t="array" aca="1" ref="S100" ca="1">_xlfn.CHOOSECOLS(_xlfn.CHOOSEROWS(_xlfn._xlws.FILTER(표2[],(표2[DWG No.]=C100)*(ISNUMBER(표2[Rev.])),""),1),6)</f>
        <v>43279</v>
      </c>
    </row>
    <row r="101" spans="1:19" ht="18" customHeight="1" x14ac:dyDescent="0.45">
      <c r="A101" s="64">
        <v>96</v>
      </c>
      <c r="B101" s="49" t="s">
        <v>57</v>
      </c>
      <c r="C101" s="65" t="s">
        <v>447</v>
      </c>
      <c r="D101" s="66" t="s">
        <v>448</v>
      </c>
      <c r="E101" s="65" t="s">
        <v>449</v>
      </c>
      <c r="F101" s="66" t="s">
        <v>6</v>
      </c>
      <c r="G101" s="67">
        <v>42898</v>
      </c>
      <c r="H101" s="67">
        <v>42988</v>
      </c>
      <c r="I101" s="67">
        <v>42992</v>
      </c>
      <c r="J101" s="66" t="s">
        <v>407</v>
      </c>
      <c r="K101" s="66" t="s">
        <v>7</v>
      </c>
      <c r="L101" s="66" t="s">
        <v>62</v>
      </c>
      <c r="M101" s="67" t="s">
        <v>408</v>
      </c>
      <c r="N101" s="66" t="s">
        <v>2878</v>
      </c>
      <c r="O101" s="66" t="s">
        <v>6</v>
      </c>
      <c r="P101" s="66" t="s">
        <v>160</v>
      </c>
      <c r="Q101" s="66" t="s">
        <v>160</v>
      </c>
      <c r="R101" s="67" cm="1">
        <f t="array" aca="1" ref="R101" ca="1">_xlfn.CHOOSECOLS(_xlfn.CHOOSEROWS(_xlfn._xlws.FILTER(표2[],표2[DWG No.]=C101,""),1),6)</f>
        <v>42894</v>
      </c>
      <c r="S101" s="67" cm="1">
        <f t="array" aca="1" ref="S101" ca="1">_xlfn.CHOOSECOLS(_xlfn.CHOOSEROWS(_xlfn._xlws.FILTER(표2[],(표2[DWG No.]=C101)*(ISNUMBER(표2[Rev.])),""),1),6)</f>
        <v>42992</v>
      </c>
    </row>
    <row r="102" spans="1:19" ht="18" customHeight="1" x14ac:dyDescent="0.45">
      <c r="A102" s="64">
        <v>97</v>
      </c>
      <c r="B102" s="49" t="s">
        <v>57</v>
      </c>
      <c r="C102" s="65" t="s">
        <v>450</v>
      </c>
      <c r="D102" s="66" t="s">
        <v>451</v>
      </c>
      <c r="E102" s="65" t="s">
        <v>452</v>
      </c>
      <c r="F102" s="66" t="s">
        <v>6</v>
      </c>
      <c r="G102" s="67">
        <v>42898</v>
      </c>
      <c r="H102" s="67">
        <v>42988</v>
      </c>
      <c r="I102" s="67">
        <v>42992</v>
      </c>
      <c r="J102" s="66" t="s">
        <v>407</v>
      </c>
      <c r="K102" s="66" t="s">
        <v>7</v>
      </c>
      <c r="L102" s="66" t="s">
        <v>62</v>
      </c>
      <c r="M102" s="67" t="s">
        <v>408</v>
      </c>
      <c r="N102" s="66" t="s">
        <v>2878</v>
      </c>
      <c r="O102" s="66" t="s">
        <v>6</v>
      </c>
      <c r="P102" s="66" t="s">
        <v>164</v>
      </c>
      <c r="Q102" s="66" t="s">
        <v>65</v>
      </c>
      <c r="R102" s="67" cm="1">
        <f t="array" aca="1" ref="R102" ca="1">_xlfn.CHOOSECOLS(_xlfn.CHOOSEROWS(_xlfn._xlws.FILTER(표2[],표2[DWG No.]=C102,""),1),6)</f>
        <v>42894</v>
      </c>
      <c r="S102" s="67" cm="1">
        <f t="array" aca="1" ref="S102" ca="1">_xlfn.CHOOSECOLS(_xlfn.CHOOSEROWS(_xlfn._xlws.FILTER(표2[],(표2[DWG No.]=C102)*(ISNUMBER(표2[Rev.])),""),1),6)</f>
        <v>42992</v>
      </c>
    </row>
    <row r="103" spans="1:19" ht="18" customHeight="1" x14ac:dyDescent="0.45">
      <c r="A103" s="64">
        <v>98</v>
      </c>
      <c r="B103" s="49" t="s">
        <v>57</v>
      </c>
      <c r="C103" s="65" t="s">
        <v>453</v>
      </c>
      <c r="D103" s="66" t="s">
        <v>454</v>
      </c>
      <c r="E103" s="65" t="s">
        <v>455</v>
      </c>
      <c r="F103" s="66" t="s">
        <v>6</v>
      </c>
      <c r="G103" s="67">
        <v>42898</v>
      </c>
      <c r="H103" s="67">
        <v>42988</v>
      </c>
      <c r="I103" s="67">
        <v>42977</v>
      </c>
      <c r="J103" s="66" t="s">
        <v>416</v>
      </c>
      <c r="K103" s="66" t="s">
        <v>7</v>
      </c>
      <c r="L103" s="66" t="s">
        <v>62</v>
      </c>
      <c r="M103" s="67" t="s">
        <v>246</v>
      </c>
      <c r="N103" s="66" t="s">
        <v>456</v>
      </c>
      <c r="O103" s="66" t="s">
        <v>7</v>
      </c>
      <c r="P103" s="66" t="s">
        <v>62</v>
      </c>
      <c r="Q103" s="66" t="s">
        <v>5002</v>
      </c>
      <c r="R103" s="67" cm="1">
        <f t="array" aca="1" ref="R103" ca="1">_xlfn.CHOOSECOLS(_xlfn.CHOOSEROWS(_xlfn._xlws.FILTER(표2[],표2[DWG No.]=C103,""),1),6)</f>
        <v>42894</v>
      </c>
      <c r="S103" s="67" cm="1">
        <f t="array" aca="1" ref="S103" ca="1">_xlfn.CHOOSECOLS(_xlfn.CHOOSEROWS(_xlfn._xlws.FILTER(표2[],(표2[DWG No.]=C103)*(ISNUMBER(표2[Rev.])),""),1),6)</f>
        <v>42977</v>
      </c>
    </row>
    <row r="104" spans="1:19" ht="18" customHeight="1" x14ac:dyDescent="0.45">
      <c r="A104" s="64">
        <v>99</v>
      </c>
      <c r="B104" s="49" t="s">
        <v>57</v>
      </c>
      <c r="C104" s="65" t="s">
        <v>457</v>
      </c>
      <c r="D104" s="66" t="s">
        <v>458</v>
      </c>
      <c r="E104" s="65" t="s">
        <v>459</v>
      </c>
      <c r="F104" s="66" t="s">
        <v>6</v>
      </c>
      <c r="G104" s="67">
        <v>42898</v>
      </c>
      <c r="H104" s="67">
        <v>42988</v>
      </c>
      <c r="I104" s="67">
        <v>42977</v>
      </c>
      <c r="J104" s="66" t="s">
        <v>412</v>
      </c>
      <c r="K104" s="66" t="s">
        <v>7</v>
      </c>
      <c r="L104" s="66" t="s">
        <v>62</v>
      </c>
      <c r="M104" s="67" t="s">
        <v>246</v>
      </c>
      <c r="N104" s="66" t="s">
        <v>460</v>
      </c>
      <c r="O104" s="66" t="s">
        <v>7</v>
      </c>
      <c r="P104" s="66" t="s">
        <v>62</v>
      </c>
      <c r="Q104" s="66" t="s">
        <v>5003</v>
      </c>
      <c r="R104" s="67" cm="1">
        <f t="array" aca="1" ref="R104" ca="1">_xlfn.CHOOSECOLS(_xlfn.CHOOSEROWS(_xlfn._xlws.FILTER(표2[],표2[DWG No.]=C104,""),1),6)</f>
        <v>42900</v>
      </c>
      <c r="S104" s="67" cm="1">
        <f t="array" aca="1" ref="S104" ca="1">_xlfn.CHOOSECOLS(_xlfn.CHOOSEROWS(_xlfn._xlws.FILTER(표2[],(표2[DWG No.]=C104)*(ISNUMBER(표2[Rev.])),""),1),6)</f>
        <v>42977</v>
      </c>
    </row>
    <row r="105" spans="1:19" ht="18" customHeight="1" x14ac:dyDescent="0.45">
      <c r="A105" s="64">
        <v>100</v>
      </c>
      <c r="B105" s="49" t="s">
        <v>57</v>
      </c>
      <c r="C105" s="65" t="s">
        <v>461</v>
      </c>
      <c r="D105" s="66" t="s">
        <v>462</v>
      </c>
      <c r="E105" s="65" t="s">
        <v>463</v>
      </c>
      <c r="F105" s="66" t="s">
        <v>6</v>
      </c>
      <c r="G105" s="67">
        <v>42898</v>
      </c>
      <c r="H105" s="67">
        <v>42988</v>
      </c>
      <c r="I105" s="67">
        <v>43066</v>
      </c>
      <c r="J105" s="66" t="s">
        <v>225</v>
      </c>
      <c r="K105" s="66" t="s">
        <v>7</v>
      </c>
      <c r="L105" s="66" t="s">
        <v>89</v>
      </c>
      <c r="M105" s="67" t="s">
        <v>155</v>
      </c>
      <c r="N105" s="66" t="s">
        <v>464</v>
      </c>
      <c r="O105" s="66" t="s">
        <v>7</v>
      </c>
      <c r="P105" s="66" t="s">
        <v>89</v>
      </c>
      <c r="Q105" s="66" t="s">
        <v>5002</v>
      </c>
      <c r="R105" s="67" cm="1">
        <f t="array" aca="1" ref="R105" ca="1">_xlfn.CHOOSECOLS(_xlfn.CHOOSEROWS(_xlfn._xlws.FILTER(표2[],표2[DWG No.]=C105,""),1),6)</f>
        <v>42900</v>
      </c>
      <c r="S105" s="67" cm="1">
        <f t="array" aca="1" ref="S105" ca="1">_xlfn.CHOOSECOLS(_xlfn.CHOOSEROWS(_xlfn._xlws.FILTER(표2[],(표2[DWG No.]=C105)*(ISNUMBER(표2[Rev.])),""),1),6)</f>
        <v>42977</v>
      </c>
    </row>
    <row r="106" spans="1:19" ht="18" customHeight="1" x14ac:dyDescent="0.45">
      <c r="A106" s="64">
        <v>101</v>
      </c>
      <c r="B106" s="49" t="s">
        <v>57</v>
      </c>
      <c r="C106" s="65" t="s">
        <v>465</v>
      </c>
      <c r="D106" s="66" t="s">
        <v>466</v>
      </c>
      <c r="E106" s="65" t="s">
        <v>467</v>
      </c>
      <c r="F106" s="66" t="s">
        <v>6</v>
      </c>
      <c r="G106" s="67">
        <v>42959</v>
      </c>
      <c r="H106" s="67">
        <v>43049</v>
      </c>
      <c r="I106" s="67">
        <v>43068</v>
      </c>
      <c r="J106" s="66" t="s">
        <v>468</v>
      </c>
      <c r="K106" s="66" t="s">
        <v>7</v>
      </c>
      <c r="L106" s="66" t="s">
        <v>62</v>
      </c>
      <c r="M106" s="67" t="s">
        <v>155</v>
      </c>
      <c r="N106" s="66" t="s">
        <v>469</v>
      </c>
      <c r="O106" s="66" t="s">
        <v>7</v>
      </c>
      <c r="P106" s="66" t="s">
        <v>62</v>
      </c>
      <c r="Q106" s="66" t="s">
        <v>5002</v>
      </c>
      <c r="R106" s="67" cm="1">
        <f t="array" aca="1" ref="R106" ca="1">_xlfn.CHOOSECOLS(_xlfn.CHOOSEROWS(_xlfn._xlws.FILTER(표2[],표2[DWG No.]=C106,""),1),6)</f>
        <v>42900</v>
      </c>
      <c r="S106" s="67" cm="1">
        <f t="array" aca="1" ref="S106" ca="1">_xlfn.CHOOSECOLS(_xlfn.CHOOSEROWS(_xlfn._xlws.FILTER(표2[],(표2[DWG No.]=C106)*(ISNUMBER(표2[Rev.])),""),1),6)</f>
        <v>43068</v>
      </c>
    </row>
    <row r="107" spans="1:19" ht="18" customHeight="1" x14ac:dyDescent="0.45">
      <c r="A107" s="64">
        <v>102</v>
      </c>
      <c r="B107" s="49" t="s">
        <v>57</v>
      </c>
      <c r="C107" s="65" t="s">
        <v>470</v>
      </c>
      <c r="D107" s="66" t="s">
        <v>471</v>
      </c>
      <c r="E107" s="65" t="s">
        <v>472</v>
      </c>
      <c r="F107" s="66" t="s">
        <v>6</v>
      </c>
      <c r="G107" s="67">
        <v>42959</v>
      </c>
      <c r="H107" s="67">
        <v>43049</v>
      </c>
      <c r="I107" s="67">
        <v>43021</v>
      </c>
      <c r="J107" s="66" t="s">
        <v>434</v>
      </c>
      <c r="K107" s="66" t="s">
        <v>7</v>
      </c>
      <c r="L107" s="66" t="s">
        <v>62</v>
      </c>
      <c r="M107" s="67" t="s">
        <v>362</v>
      </c>
      <c r="N107" s="66" t="s">
        <v>473</v>
      </c>
      <c r="O107" s="66" t="s">
        <v>7</v>
      </c>
      <c r="P107" s="66" t="s">
        <v>62</v>
      </c>
      <c r="Q107" s="66" t="s">
        <v>5003</v>
      </c>
      <c r="R107" s="67" cm="1">
        <f t="array" aca="1" ref="R107" ca="1">_xlfn.CHOOSECOLS(_xlfn.CHOOSEROWS(_xlfn._xlws.FILTER(표2[],표2[DWG No.]=C107,""),1),6)</f>
        <v>42937</v>
      </c>
      <c r="S107" s="67" cm="1">
        <f t="array" aca="1" ref="S107" ca="1">_xlfn.CHOOSECOLS(_xlfn.CHOOSEROWS(_xlfn._xlws.FILTER(표2[],(표2[DWG No.]=C107)*(ISNUMBER(표2[Rev.])),""),1),6)</f>
        <v>43021</v>
      </c>
    </row>
    <row r="108" spans="1:19" ht="18" customHeight="1" x14ac:dyDescent="0.45">
      <c r="A108" s="64">
        <v>103</v>
      </c>
      <c r="B108" s="49" t="s">
        <v>57</v>
      </c>
      <c r="C108" s="65" t="s">
        <v>474</v>
      </c>
      <c r="D108" s="66" t="s">
        <v>475</v>
      </c>
      <c r="E108" s="65" t="s">
        <v>476</v>
      </c>
      <c r="F108" s="66" t="s">
        <v>6</v>
      </c>
      <c r="G108" s="67">
        <v>42959</v>
      </c>
      <c r="H108" s="67">
        <v>43049</v>
      </c>
      <c r="I108" s="67">
        <v>43034</v>
      </c>
      <c r="J108" s="66" t="s">
        <v>439</v>
      </c>
      <c r="K108" s="66" t="s">
        <v>7</v>
      </c>
      <c r="L108" s="66" t="s">
        <v>62</v>
      </c>
      <c r="M108" s="67" t="s">
        <v>90</v>
      </c>
      <c r="N108" s="66" t="s">
        <v>477</v>
      </c>
      <c r="O108" s="66" t="s">
        <v>7</v>
      </c>
      <c r="P108" s="66" t="s">
        <v>62</v>
      </c>
      <c r="Q108" s="66" t="s">
        <v>5002</v>
      </c>
      <c r="R108" s="67" cm="1">
        <f t="array" aca="1" ref="R108" ca="1">_xlfn.CHOOSECOLS(_xlfn.CHOOSEROWS(_xlfn._xlws.FILTER(표2[],표2[DWG No.]=C108,""),1),6)</f>
        <v>42962</v>
      </c>
      <c r="S108" s="67" cm="1">
        <f t="array" aca="1" ref="S108" ca="1">_xlfn.CHOOSECOLS(_xlfn.CHOOSEROWS(_xlfn._xlws.FILTER(표2[],(표2[DWG No.]=C108)*(ISNUMBER(표2[Rev.])),""),1),6)</f>
        <v>43034</v>
      </c>
    </row>
    <row r="109" spans="1:19" ht="18" customHeight="1" x14ac:dyDescent="0.45">
      <c r="A109" s="64">
        <v>104</v>
      </c>
      <c r="B109" s="49" t="s">
        <v>57</v>
      </c>
      <c r="C109" s="65" t="s">
        <v>478</v>
      </c>
      <c r="D109" s="66" t="s">
        <v>479</v>
      </c>
      <c r="E109" s="65" t="s">
        <v>480</v>
      </c>
      <c r="F109" s="66" t="s">
        <v>6</v>
      </c>
      <c r="G109" s="67">
        <v>42839</v>
      </c>
      <c r="H109" s="67">
        <v>42930</v>
      </c>
      <c r="I109" s="67">
        <v>42984</v>
      </c>
      <c r="J109" s="66" t="s">
        <v>481</v>
      </c>
      <c r="K109" s="66" t="s">
        <v>7</v>
      </c>
      <c r="L109" s="66" t="s">
        <v>62</v>
      </c>
      <c r="M109" s="67" t="s">
        <v>246</v>
      </c>
      <c r="N109" s="66" t="s">
        <v>482</v>
      </c>
      <c r="O109" s="66" t="s">
        <v>7</v>
      </c>
      <c r="P109" s="66" t="s">
        <v>62</v>
      </c>
      <c r="Q109" s="66" t="s">
        <v>5003</v>
      </c>
      <c r="R109" s="67" cm="1">
        <f t="array" aca="1" ref="R109" ca="1">_xlfn.CHOOSECOLS(_xlfn.CHOOSEROWS(_xlfn._xlws.FILTER(표2[],표2[DWG No.]=C109,""),1),6)</f>
        <v>42843</v>
      </c>
      <c r="S109" s="67" cm="1">
        <f t="array" aca="1" ref="S109" ca="1">_xlfn.CHOOSECOLS(_xlfn.CHOOSEROWS(_xlfn._xlws.FILTER(표2[],(표2[DWG No.]=C109)*(ISNUMBER(표2[Rev.])),""),1),6)</f>
        <v>42984</v>
      </c>
    </row>
    <row r="110" spans="1:19" ht="18" customHeight="1" x14ac:dyDescent="0.45">
      <c r="A110" s="64">
        <v>105</v>
      </c>
      <c r="B110" s="49" t="s">
        <v>57</v>
      </c>
      <c r="C110" s="65" t="s">
        <v>483</v>
      </c>
      <c r="D110" s="66" t="s">
        <v>484</v>
      </c>
      <c r="E110" s="65" t="s">
        <v>485</v>
      </c>
      <c r="F110" s="66" t="s">
        <v>5</v>
      </c>
      <c r="G110" s="67">
        <v>43210</v>
      </c>
      <c r="H110" s="67">
        <v>43251</v>
      </c>
      <c r="I110" s="67">
        <v>43336</v>
      </c>
      <c r="J110" s="66" t="s">
        <v>2469</v>
      </c>
      <c r="K110" s="66" t="s">
        <v>7</v>
      </c>
      <c r="L110" s="66" t="s">
        <v>89</v>
      </c>
      <c r="M110" s="67" t="s">
        <v>2458</v>
      </c>
      <c r="N110" s="66" t="s">
        <v>2470</v>
      </c>
      <c r="O110" s="66" t="s">
        <v>7</v>
      </c>
      <c r="P110" s="66" t="s">
        <v>89</v>
      </c>
      <c r="Q110" s="66" t="s">
        <v>65</v>
      </c>
      <c r="R110" s="67" cm="1">
        <f t="array" aca="1" ref="R110" ca="1">_xlfn.CHOOSECOLS(_xlfn.CHOOSEROWS(_xlfn._xlws.FILTER(표2[],표2[DWG No.]=C110,""),1),6)</f>
        <v>43224</v>
      </c>
      <c r="S110" s="67" cm="1">
        <f t="array" aca="1" ref="S110" ca="1">_xlfn.CHOOSECOLS(_xlfn.CHOOSEROWS(_xlfn._xlws.FILTER(표2[],(표2[DWG No.]=C110)*(ISNUMBER(표2[Rev.])),""),1),6)</f>
        <v>43279</v>
      </c>
    </row>
    <row r="111" spans="1:19" ht="18" customHeight="1" x14ac:dyDescent="0.45">
      <c r="A111" s="64">
        <v>106</v>
      </c>
      <c r="B111" s="49" t="s">
        <v>57</v>
      </c>
      <c r="C111" s="65" t="s">
        <v>486</v>
      </c>
      <c r="D111" s="66" t="s">
        <v>487</v>
      </c>
      <c r="E111" s="65" t="s">
        <v>488</v>
      </c>
      <c r="F111" s="66" t="s">
        <v>6</v>
      </c>
      <c r="G111" s="67">
        <v>42940</v>
      </c>
      <c r="H111" s="67">
        <v>43030</v>
      </c>
      <c r="I111" s="67">
        <v>42968</v>
      </c>
      <c r="J111" s="66" t="s">
        <v>489</v>
      </c>
      <c r="K111" s="66" t="s">
        <v>7</v>
      </c>
      <c r="L111" s="66" t="s">
        <v>62</v>
      </c>
      <c r="M111" s="67" t="s">
        <v>221</v>
      </c>
      <c r="N111" s="66" t="s">
        <v>81</v>
      </c>
      <c r="O111" s="66" t="s">
        <v>7</v>
      </c>
      <c r="P111" s="66" t="s">
        <v>62</v>
      </c>
      <c r="Q111" s="66" t="s">
        <v>5003</v>
      </c>
      <c r="R111" s="67" cm="1">
        <f t="array" aca="1" ref="R111" ca="1">_xlfn.CHOOSECOLS(_xlfn.CHOOSEROWS(_xlfn._xlws.FILTER(표2[],표2[DWG No.]=C111,""),1),6)</f>
        <v>42922</v>
      </c>
      <c r="S111" s="67" cm="1">
        <f t="array" aca="1" ref="S111" ca="1">_xlfn.CHOOSECOLS(_xlfn.CHOOSEROWS(_xlfn._xlws.FILTER(표2[],(표2[DWG No.]=C111)*(ISNUMBER(표2[Rev.])),""),1),6)</f>
        <v>42968</v>
      </c>
    </row>
    <row r="112" spans="1:19" ht="18" customHeight="1" x14ac:dyDescent="0.45">
      <c r="A112" s="64">
        <v>107</v>
      </c>
      <c r="B112" s="49" t="s">
        <v>57</v>
      </c>
      <c r="C112" s="65" t="s">
        <v>490</v>
      </c>
      <c r="D112" s="66" t="s">
        <v>491</v>
      </c>
      <c r="E112" s="65" t="s">
        <v>492</v>
      </c>
      <c r="F112" s="66" t="s">
        <v>6</v>
      </c>
      <c r="G112" s="67">
        <v>42940</v>
      </c>
      <c r="H112" s="67">
        <v>43030</v>
      </c>
      <c r="I112" s="67">
        <v>43066</v>
      </c>
      <c r="J112" s="66" t="s">
        <v>493</v>
      </c>
      <c r="K112" s="66" t="s">
        <v>7</v>
      </c>
      <c r="L112" s="66" t="s">
        <v>89</v>
      </c>
      <c r="M112" s="67" t="s">
        <v>155</v>
      </c>
      <c r="N112" s="66" t="s">
        <v>494</v>
      </c>
      <c r="O112" s="66" t="s">
        <v>7</v>
      </c>
      <c r="P112" s="66" t="s">
        <v>89</v>
      </c>
      <c r="Q112" s="66" t="s">
        <v>5002</v>
      </c>
      <c r="R112" s="67" cm="1">
        <f t="array" aca="1" ref="R112" ca="1">_xlfn.CHOOSECOLS(_xlfn.CHOOSEROWS(_xlfn._xlws.FILTER(표2[],표2[DWG No.]=C112,""),1),6)</f>
        <v>42922</v>
      </c>
      <c r="S112" s="67" cm="1">
        <f t="array" aca="1" ref="S112" ca="1">_xlfn.CHOOSECOLS(_xlfn.CHOOSEROWS(_xlfn._xlws.FILTER(표2[],(표2[DWG No.]=C112)*(ISNUMBER(표2[Rev.])),""),1),6)</f>
        <v>43021</v>
      </c>
    </row>
    <row r="113" spans="1:19" ht="18" customHeight="1" x14ac:dyDescent="0.45">
      <c r="A113" s="64">
        <v>108</v>
      </c>
      <c r="B113" s="49" t="s">
        <v>57</v>
      </c>
      <c r="C113" s="65" t="s">
        <v>495</v>
      </c>
      <c r="D113" s="66" t="s">
        <v>496</v>
      </c>
      <c r="E113" s="65" t="s">
        <v>497</v>
      </c>
      <c r="F113" s="66" t="s">
        <v>5</v>
      </c>
      <c r="G113" s="67">
        <v>43210</v>
      </c>
      <c r="H113" s="67">
        <v>43251</v>
      </c>
      <c r="I113" s="67">
        <v>43279</v>
      </c>
      <c r="J113" s="66" t="s">
        <v>2466</v>
      </c>
      <c r="K113" s="66" t="s">
        <v>7</v>
      </c>
      <c r="L113" s="66" t="s">
        <v>62</v>
      </c>
      <c r="M113" s="67" t="s">
        <v>2467</v>
      </c>
      <c r="N113" s="66" t="s">
        <v>2471</v>
      </c>
      <c r="O113" s="66" t="s">
        <v>7</v>
      </c>
      <c r="P113" s="66" t="s">
        <v>62</v>
      </c>
      <c r="Q113" s="66" t="s">
        <v>5002</v>
      </c>
      <c r="R113" s="67" cm="1">
        <f t="array" aca="1" ref="R113" ca="1">_xlfn.CHOOSECOLS(_xlfn.CHOOSEROWS(_xlfn._xlws.FILTER(표2[],표2[DWG No.]=C113,""),1),6)</f>
        <v>43224</v>
      </c>
      <c r="S113" s="67" cm="1">
        <f t="array" aca="1" ref="S113" ca="1">_xlfn.CHOOSECOLS(_xlfn.CHOOSEROWS(_xlfn._xlws.FILTER(표2[],(표2[DWG No.]=C113)*(ISNUMBER(표2[Rev.])),""),1),6)</f>
        <v>43279</v>
      </c>
    </row>
    <row r="114" spans="1:19" ht="18" customHeight="1" x14ac:dyDescent="0.45">
      <c r="A114" s="64">
        <v>109</v>
      </c>
      <c r="B114" s="49" t="s">
        <v>57</v>
      </c>
      <c r="C114" s="65" t="s">
        <v>498</v>
      </c>
      <c r="D114" s="66" t="s">
        <v>499</v>
      </c>
      <c r="E114" s="65" t="s">
        <v>500</v>
      </c>
      <c r="F114" s="66" t="s">
        <v>6</v>
      </c>
      <c r="G114" s="67">
        <v>42962</v>
      </c>
      <c r="H114" s="67">
        <v>43052</v>
      </c>
      <c r="I114" s="67">
        <v>43068</v>
      </c>
      <c r="J114" s="66" t="s">
        <v>501</v>
      </c>
      <c r="K114" s="66" t="s">
        <v>7</v>
      </c>
      <c r="L114" s="66" t="s">
        <v>62</v>
      </c>
      <c r="M114" s="67" t="s">
        <v>155</v>
      </c>
      <c r="N114" s="66" t="s">
        <v>502</v>
      </c>
      <c r="O114" s="66" t="s">
        <v>7</v>
      </c>
      <c r="P114" s="66" t="s">
        <v>62</v>
      </c>
      <c r="Q114" s="66" t="s">
        <v>5002</v>
      </c>
      <c r="R114" s="67" cm="1">
        <f t="array" aca="1" ref="R114" ca="1">_xlfn.CHOOSECOLS(_xlfn.CHOOSEROWS(_xlfn._xlws.FILTER(표2[],표2[DWG No.]=C114,""),1),6)</f>
        <v>43040</v>
      </c>
      <c r="S114" s="67" cm="1">
        <f t="array" aca="1" ref="S114" ca="1">_xlfn.CHOOSECOLS(_xlfn.CHOOSEROWS(_xlfn._xlws.FILTER(표2[],(표2[DWG No.]=C114)*(ISNUMBER(표2[Rev.])),""),1),6)</f>
        <v>43068</v>
      </c>
    </row>
    <row r="115" spans="1:19" ht="18" customHeight="1" x14ac:dyDescent="0.45">
      <c r="A115" s="64">
        <v>110</v>
      </c>
      <c r="B115" s="49" t="s">
        <v>57</v>
      </c>
      <c r="C115" s="65" t="s">
        <v>503</v>
      </c>
      <c r="D115" s="66" t="s">
        <v>504</v>
      </c>
      <c r="E115" s="65" t="s">
        <v>505</v>
      </c>
      <c r="F115" s="66" t="s">
        <v>6</v>
      </c>
      <c r="G115" s="67">
        <v>42962</v>
      </c>
      <c r="H115" s="67">
        <v>43052</v>
      </c>
      <c r="I115" s="67">
        <v>43068</v>
      </c>
      <c r="J115" s="66" t="s">
        <v>501</v>
      </c>
      <c r="K115" s="66" t="s">
        <v>7</v>
      </c>
      <c r="L115" s="66" t="s">
        <v>62</v>
      </c>
      <c r="M115" s="67" t="s">
        <v>155</v>
      </c>
      <c r="N115" s="66" t="s">
        <v>506</v>
      </c>
      <c r="O115" s="66" t="s">
        <v>7</v>
      </c>
      <c r="P115" s="66" t="s">
        <v>62</v>
      </c>
      <c r="Q115" s="66" t="s">
        <v>5002</v>
      </c>
      <c r="R115" s="67" cm="1">
        <f t="array" aca="1" ref="R115" ca="1">_xlfn.CHOOSECOLS(_xlfn.CHOOSEROWS(_xlfn._xlws.FILTER(표2[],표2[DWG No.]=C115,""),1),6)</f>
        <v>43040</v>
      </c>
      <c r="S115" s="67" cm="1">
        <f t="array" aca="1" ref="S115" ca="1">_xlfn.CHOOSECOLS(_xlfn.CHOOSEROWS(_xlfn._xlws.FILTER(표2[],(표2[DWG No.]=C115)*(ISNUMBER(표2[Rev.])),""),1),6)</f>
        <v>43068</v>
      </c>
    </row>
    <row r="116" spans="1:19" ht="18" customHeight="1" x14ac:dyDescent="0.45">
      <c r="A116" s="64">
        <v>111</v>
      </c>
      <c r="B116" s="49" t="s">
        <v>57</v>
      </c>
      <c r="C116" s="65" t="s">
        <v>507</v>
      </c>
      <c r="D116" s="66" t="s">
        <v>508</v>
      </c>
      <c r="E116" s="65" t="s">
        <v>509</v>
      </c>
      <c r="F116" s="66" t="s">
        <v>6</v>
      </c>
      <c r="G116" s="67">
        <v>42962</v>
      </c>
      <c r="H116" s="67">
        <v>43052</v>
      </c>
      <c r="I116" s="67">
        <v>43034</v>
      </c>
      <c r="J116" s="66" t="s">
        <v>510</v>
      </c>
      <c r="K116" s="66" t="s">
        <v>7</v>
      </c>
      <c r="L116" s="66" t="s">
        <v>62</v>
      </c>
      <c r="M116" s="67" t="s">
        <v>90</v>
      </c>
      <c r="N116" s="66" t="s">
        <v>511</v>
      </c>
      <c r="O116" s="66" t="s">
        <v>7</v>
      </c>
      <c r="P116" s="66" t="s">
        <v>62</v>
      </c>
      <c r="Q116" s="66" t="s">
        <v>5003</v>
      </c>
      <c r="R116" s="67" cm="1">
        <f t="array" aca="1" ref="R116" ca="1">_xlfn.CHOOSECOLS(_xlfn.CHOOSEROWS(_xlfn._xlws.FILTER(표2[],표2[DWG No.]=C116,""),1),6)</f>
        <v>42989</v>
      </c>
      <c r="S116" s="67" cm="1">
        <f t="array" aca="1" ref="S116" ca="1">_xlfn.CHOOSECOLS(_xlfn.CHOOSEROWS(_xlfn._xlws.FILTER(표2[],(표2[DWG No.]=C116)*(ISNUMBER(표2[Rev.])),""),1),6)</f>
        <v>43034</v>
      </c>
    </row>
    <row r="117" spans="1:19" ht="18" customHeight="1" x14ac:dyDescent="0.45">
      <c r="A117" s="64">
        <v>112</v>
      </c>
      <c r="B117" s="49" t="s">
        <v>57</v>
      </c>
      <c r="C117" s="65" t="s">
        <v>512</v>
      </c>
      <c r="D117" s="66" t="s">
        <v>513</v>
      </c>
      <c r="E117" s="65" t="s">
        <v>514</v>
      </c>
      <c r="F117" s="66" t="s">
        <v>6</v>
      </c>
      <c r="G117" s="67">
        <v>42962</v>
      </c>
      <c r="H117" s="67">
        <v>43052</v>
      </c>
      <c r="I117" s="67">
        <v>43034</v>
      </c>
      <c r="J117" s="66" t="s">
        <v>510</v>
      </c>
      <c r="K117" s="66" t="s">
        <v>7</v>
      </c>
      <c r="L117" s="66" t="s">
        <v>62</v>
      </c>
      <c r="M117" s="67" t="s">
        <v>90</v>
      </c>
      <c r="N117" s="66" t="s">
        <v>515</v>
      </c>
      <c r="O117" s="66" t="s">
        <v>7</v>
      </c>
      <c r="P117" s="66" t="s">
        <v>62</v>
      </c>
      <c r="Q117" s="66" t="s">
        <v>5003</v>
      </c>
      <c r="R117" s="67" cm="1">
        <f t="array" aca="1" ref="R117" ca="1">_xlfn.CHOOSECOLS(_xlfn.CHOOSEROWS(_xlfn._xlws.FILTER(표2[],표2[DWG No.]=C117,""),1),6)</f>
        <v>42989</v>
      </c>
      <c r="S117" s="67" cm="1">
        <f t="array" aca="1" ref="S117" ca="1">_xlfn.CHOOSECOLS(_xlfn.CHOOSEROWS(_xlfn._xlws.FILTER(표2[],(표2[DWG No.]=C117)*(ISNUMBER(표2[Rev.])),""),1),6)</f>
        <v>43034</v>
      </c>
    </row>
    <row r="118" spans="1:19" ht="18" customHeight="1" x14ac:dyDescent="0.45">
      <c r="A118" s="64">
        <v>113</v>
      </c>
      <c r="B118" s="49" t="s">
        <v>57</v>
      </c>
      <c r="C118" s="65" t="s">
        <v>516</v>
      </c>
      <c r="D118" s="66" t="s">
        <v>517</v>
      </c>
      <c r="E118" s="65" t="s">
        <v>518</v>
      </c>
      <c r="F118" s="66" t="s">
        <v>6</v>
      </c>
      <c r="G118" s="67">
        <v>42772</v>
      </c>
      <c r="H118" s="67">
        <v>42930</v>
      </c>
      <c r="I118" s="67">
        <v>43854</v>
      </c>
      <c r="J118" s="66" t="s">
        <v>2798</v>
      </c>
      <c r="K118" s="66" t="s">
        <v>7</v>
      </c>
      <c r="L118" s="66" t="s">
        <v>89</v>
      </c>
      <c r="M118" s="67" t="s">
        <v>2817</v>
      </c>
      <c r="N118" s="66" t="s">
        <v>2818</v>
      </c>
      <c r="O118" s="66" t="s">
        <v>7</v>
      </c>
      <c r="P118" s="66" t="s">
        <v>89</v>
      </c>
      <c r="Q118" s="66" t="s">
        <v>65</v>
      </c>
      <c r="R118" s="67" cm="1">
        <f t="array" aca="1" ref="R118" ca="1">_xlfn.CHOOSECOLS(_xlfn.CHOOSEROWS(_xlfn._xlws.FILTER(표2[],표2[DWG No.]=C118,""),1),6)</f>
        <v>42776</v>
      </c>
      <c r="S118" s="67" cm="1">
        <f t="array" aca="1" ref="S118" ca="1">_xlfn.CHOOSECOLS(_xlfn.CHOOSEROWS(_xlfn._xlws.FILTER(표2[],(표2[DWG No.]=C118)*(ISNUMBER(표2[Rev.])),""),1),6)</f>
        <v>42962</v>
      </c>
    </row>
    <row r="119" spans="1:19" ht="18" customHeight="1" x14ac:dyDescent="0.45">
      <c r="A119" s="64">
        <v>114</v>
      </c>
      <c r="B119" s="49" t="s">
        <v>57</v>
      </c>
      <c r="C119" s="65" t="s">
        <v>520</v>
      </c>
      <c r="D119" s="66" t="s">
        <v>521</v>
      </c>
      <c r="E119" s="65" t="s">
        <v>522</v>
      </c>
      <c r="F119" s="66" t="s">
        <v>6</v>
      </c>
      <c r="G119" s="67">
        <v>42772</v>
      </c>
      <c r="H119" s="67">
        <v>42930</v>
      </c>
      <c r="I119" s="67">
        <v>43854</v>
      </c>
      <c r="J119" s="66" t="s">
        <v>2798</v>
      </c>
      <c r="K119" s="66" t="s">
        <v>7</v>
      </c>
      <c r="L119" s="66" t="s">
        <v>89</v>
      </c>
      <c r="M119" s="67" t="s">
        <v>2817</v>
      </c>
      <c r="N119" s="66" t="s">
        <v>2819</v>
      </c>
      <c r="O119" s="66" t="s">
        <v>7</v>
      </c>
      <c r="P119" s="66" t="s">
        <v>89</v>
      </c>
      <c r="Q119" s="66" t="s">
        <v>65</v>
      </c>
      <c r="R119" s="67" cm="1">
        <f t="array" aca="1" ref="R119" ca="1">_xlfn.CHOOSECOLS(_xlfn.CHOOSEROWS(_xlfn._xlws.FILTER(표2[],표2[DWG No.]=C119,""),1),6)</f>
        <v>42776</v>
      </c>
      <c r="S119" s="67" cm="1">
        <f t="array" aca="1" ref="S119" ca="1">_xlfn.CHOOSECOLS(_xlfn.CHOOSEROWS(_xlfn._xlws.FILTER(표2[],(표2[DWG No.]=C119)*(ISNUMBER(표2[Rev.])),""),1),6)</f>
        <v>42962</v>
      </c>
    </row>
    <row r="120" spans="1:19" ht="18" customHeight="1" x14ac:dyDescent="0.45">
      <c r="A120" s="64">
        <v>115</v>
      </c>
      <c r="B120" s="49" t="s">
        <v>57</v>
      </c>
      <c r="C120" s="65" t="s">
        <v>523</v>
      </c>
      <c r="D120" s="66" t="s">
        <v>524</v>
      </c>
      <c r="E120" s="65" t="s">
        <v>525</v>
      </c>
      <c r="F120" s="66" t="s">
        <v>6</v>
      </c>
      <c r="G120" s="67">
        <v>42772</v>
      </c>
      <c r="H120" s="67">
        <v>42930</v>
      </c>
      <c r="I120" s="67">
        <v>43854</v>
      </c>
      <c r="J120" s="66" t="s">
        <v>2798</v>
      </c>
      <c r="K120" s="66" t="s">
        <v>7</v>
      </c>
      <c r="L120" s="66" t="s">
        <v>230</v>
      </c>
      <c r="M120" s="67" t="s">
        <v>2817</v>
      </c>
      <c r="N120" s="66" t="s">
        <v>2820</v>
      </c>
      <c r="O120" s="66" t="s">
        <v>7</v>
      </c>
      <c r="P120" s="66" t="s">
        <v>230</v>
      </c>
      <c r="Q120" s="66" t="s">
        <v>65</v>
      </c>
      <c r="R120" s="67" cm="1">
        <f t="array" aca="1" ref="R120" ca="1">_xlfn.CHOOSECOLS(_xlfn.CHOOSEROWS(_xlfn._xlws.FILTER(표2[],표2[DWG No.]=C120,""),1),6)</f>
        <v>42776</v>
      </c>
      <c r="S120" s="67" cm="1">
        <f t="array" aca="1" ref="S120" ca="1">_xlfn.CHOOSECOLS(_xlfn.CHOOSEROWS(_xlfn._xlws.FILTER(표2[],(표2[DWG No.]=C120)*(ISNUMBER(표2[Rev.])),""),1),6)</f>
        <v>42962</v>
      </c>
    </row>
    <row r="121" spans="1:19" ht="18" customHeight="1" x14ac:dyDescent="0.45">
      <c r="A121" s="64">
        <v>116</v>
      </c>
      <c r="B121" s="49" t="s">
        <v>57</v>
      </c>
      <c r="C121" s="65" t="s">
        <v>528</v>
      </c>
      <c r="D121" s="66" t="s">
        <v>529</v>
      </c>
      <c r="E121" s="65" t="s">
        <v>530</v>
      </c>
      <c r="F121" s="66" t="s">
        <v>6</v>
      </c>
      <c r="G121" s="67">
        <v>42786</v>
      </c>
      <c r="H121" s="67">
        <v>42906</v>
      </c>
      <c r="I121" s="67">
        <v>42902</v>
      </c>
      <c r="J121" s="66" t="s">
        <v>531</v>
      </c>
      <c r="K121" s="66" t="s">
        <v>7</v>
      </c>
      <c r="L121" s="66" t="s">
        <v>62</v>
      </c>
      <c r="M121" s="67" t="s">
        <v>307</v>
      </c>
      <c r="N121" s="66" t="s">
        <v>81</v>
      </c>
      <c r="O121" s="66" t="s">
        <v>7</v>
      </c>
      <c r="P121" s="66" t="s">
        <v>62</v>
      </c>
      <c r="Q121" s="66" t="s">
        <v>5002</v>
      </c>
      <c r="R121" s="67" cm="1">
        <f t="array" aca="1" ref="R121" ca="1">_xlfn.CHOOSECOLS(_xlfn.CHOOSEROWS(_xlfn._xlws.FILTER(표2[],표2[DWG No.]=C121,""),1),6)</f>
        <v>42816</v>
      </c>
      <c r="S121" s="67" cm="1">
        <f t="array" aca="1" ref="S121" ca="1">_xlfn.CHOOSECOLS(_xlfn.CHOOSEROWS(_xlfn._xlws.FILTER(표2[],(표2[DWG No.]=C121)*(ISNUMBER(표2[Rev.])),""),1),6)</f>
        <v>42900</v>
      </c>
    </row>
    <row r="122" spans="1:19" ht="18" customHeight="1" x14ac:dyDescent="0.45">
      <c r="A122" s="64">
        <v>117</v>
      </c>
      <c r="B122" s="49" t="s">
        <v>57</v>
      </c>
      <c r="C122" s="65" t="s">
        <v>532</v>
      </c>
      <c r="D122" s="66" t="s">
        <v>533</v>
      </c>
      <c r="E122" s="65" t="s">
        <v>534</v>
      </c>
      <c r="F122" s="66" t="s">
        <v>6</v>
      </c>
      <c r="G122" s="67">
        <v>42772</v>
      </c>
      <c r="H122" s="67">
        <v>42892</v>
      </c>
      <c r="I122" s="67">
        <v>42936</v>
      </c>
      <c r="J122" s="66" t="s">
        <v>535</v>
      </c>
      <c r="K122" s="66" t="s">
        <v>7</v>
      </c>
      <c r="L122" s="66" t="s">
        <v>89</v>
      </c>
      <c r="M122" s="67" t="s">
        <v>155</v>
      </c>
      <c r="N122" s="66" t="s">
        <v>536</v>
      </c>
      <c r="O122" s="66" t="s">
        <v>7</v>
      </c>
      <c r="P122" s="66" t="s">
        <v>89</v>
      </c>
      <c r="Q122" s="66" t="s">
        <v>5002</v>
      </c>
      <c r="R122" s="67" cm="1">
        <f t="array" aca="1" ref="R122" ca="1">_xlfn.CHOOSECOLS(_xlfn.CHOOSEROWS(_xlfn._xlws.FILTER(표2[],표2[DWG No.]=C122,""),1),6)</f>
        <v>42788</v>
      </c>
      <c r="S122" s="67" cm="1">
        <f t="array" aca="1" ref="S122" ca="1">_xlfn.CHOOSECOLS(_xlfn.CHOOSEROWS(_xlfn._xlws.FILTER(표2[],(표2[DWG No.]=C122)*(ISNUMBER(표2[Rev.])),""),1),6)</f>
        <v>42835</v>
      </c>
    </row>
    <row r="123" spans="1:19" ht="18" customHeight="1" x14ac:dyDescent="0.45">
      <c r="A123" s="64">
        <v>118</v>
      </c>
      <c r="B123" s="49" t="s">
        <v>57</v>
      </c>
      <c r="C123" s="65" t="s">
        <v>537</v>
      </c>
      <c r="D123" s="66" t="s">
        <v>538</v>
      </c>
      <c r="E123" s="65" t="s">
        <v>539</v>
      </c>
      <c r="F123" s="66" t="s">
        <v>6</v>
      </c>
      <c r="G123" s="67">
        <v>42772</v>
      </c>
      <c r="H123" s="67">
        <v>42930</v>
      </c>
      <c r="I123" s="67">
        <v>42940</v>
      </c>
      <c r="J123" s="66" t="s">
        <v>540</v>
      </c>
      <c r="K123" s="66" t="s">
        <v>7</v>
      </c>
      <c r="L123" s="66" t="s">
        <v>62</v>
      </c>
      <c r="M123" s="67" t="s">
        <v>541</v>
      </c>
      <c r="N123" s="66" t="s">
        <v>81</v>
      </c>
      <c r="O123" s="66" t="s">
        <v>7</v>
      </c>
      <c r="P123" s="66" t="s">
        <v>62</v>
      </c>
      <c r="Q123" s="66" t="s">
        <v>5003</v>
      </c>
      <c r="R123" s="67" cm="1">
        <f t="array" aca="1" ref="R123" ca="1">_xlfn.CHOOSECOLS(_xlfn.CHOOSEROWS(_xlfn._xlws.FILTER(표2[],표2[DWG No.]=C123,""),1),6)</f>
        <v>42788</v>
      </c>
      <c r="S123" s="67" cm="1">
        <f t="array" aca="1" ref="S123" ca="1">_xlfn.CHOOSECOLS(_xlfn.CHOOSEROWS(_xlfn._xlws.FILTER(표2[],(표2[DWG No.]=C123)*(ISNUMBER(표2[Rev.])),""),1),6)</f>
        <v>42940</v>
      </c>
    </row>
    <row r="124" spans="1:19" ht="18" customHeight="1" x14ac:dyDescent="0.45">
      <c r="A124" s="64">
        <v>119</v>
      </c>
      <c r="B124" s="49" t="s">
        <v>57</v>
      </c>
      <c r="C124" s="65" t="s">
        <v>542</v>
      </c>
      <c r="D124" s="66" t="s">
        <v>543</v>
      </c>
      <c r="E124" s="65" t="s">
        <v>544</v>
      </c>
      <c r="F124" s="66" t="s">
        <v>6</v>
      </c>
      <c r="G124" s="67">
        <v>42845</v>
      </c>
      <c r="H124" s="67">
        <v>42935</v>
      </c>
      <c r="I124" s="67">
        <v>43854</v>
      </c>
      <c r="J124" s="66" t="s">
        <v>2798</v>
      </c>
      <c r="K124" s="66" t="s">
        <v>7</v>
      </c>
      <c r="L124" s="66" t="s">
        <v>1987</v>
      </c>
      <c r="M124" s="67" t="s">
        <v>2817</v>
      </c>
      <c r="N124" s="66" t="s">
        <v>2821</v>
      </c>
      <c r="O124" s="66" t="s">
        <v>7</v>
      </c>
      <c r="P124" s="66" t="s">
        <v>1987</v>
      </c>
      <c r="Q124" s="66" t="s">
        <v>65</v>
      </c>
      <c r="R124" s="67" cm="1">
        <f t="array" aca="1" ref="R124" ca="1">_xlfn.CHOOSECOLS(_xlfn.CHOOSEROWS(_xlfn._xlws.FILTER(표2[],표2[DWG No.]=C124,""),1),6)</f>
        <v>42872</v>
      </c>
      <c r="S124" s="67" cm="1">
        <f t="array" aca="1" ref="S124" ca="1">_xlfn.CHOOSECOLS(_xlfn.CHOOSEROWS(_xlfn._xlws.FILTER(표2[],(표2[DWG No.]=C124)*(ISNUMBER(표2[Rev.])),""),1),6)</f>
        <v>42962</v>
      </c>
    </row>
    <row r="125" spans="1:19" ht="18" customHeight="1" x14ac:dyDescent="0.45">
      <c r="A125" s="64">
        <v>120</v>
      </c>
      <c r="B125" s="49" t="s">
        <v>57</v>
      </c>
      <c r="C125" s="65" t="s">
        <v>545</v>
      </c>
      <c r="D125" s="66" t="s">
        <v>546</v>
      </c>
      <c r="E125" s="65" t="s">
        <v>547</v>
      </c>
      <c r="F125" s="66" t="s">
        <v>6</v>
      </c>
      <c r="G125" s="67">
        <v>42845</v>
      </c>
      <c r="H125" s="67">
        <v>42935</v>
      </c>
      <c r="I125" s="67">
        <v>42962</v>
      </c>
      <c r="J125" s="66" t="s">
        <v>548</v>
      </c>
      <c r="K125" s="66" t="s">
        <v>7</v>
      </c>
      <c r="L125" s="66" t="s">
        <v>62</v>
      </c>
      <c r="M125" s="67" t="s">
        <v>1402</v>
      </c>
      <c r="N125" s="66" t="s">
        <v>2822</v>
      </c>
      <c r="O125" s="66" t="s">
        <v>6</v>
      </c>
      <c r="P125" s="66" t="s">
        <v>160</v>
      </c>
      <c r="Q125" s="66" t="s">
        <v>65</v>
      </c>
      <c r="R125" s="67" cm="1">
        <f t="array" aca="1" ref="R125" ca="1">_xlfn.CHOOSECOLS(_xlfn.CHOOSEROWS(_xlfn._xlws.FILTER(표2[],표2[DWG No.]=C125,""),1),6)</f>
        <v>42872</v>
      </c>
      <c r="S125" s="67" cm="1">
        <f t="array" aca="1" ref="S125" ca="1">_xlfn.CHOOSECOLS(_xlfn.CHOOSEROWS(_xlfn._xlws.FILTER(표2[],(표2[DWG No.]=C125)*(ISNUMBER(표2[Rev.])),""),1),6)</f>
        <v>42962</v>
      </c>
    </row>
    <row r="126" spans="1:19" ht="18" customHeight="1" x14ac:dyDescent="0.45">
      <c r="A126" s="64">
        <v>121</v>
      </c>
      <c r="B126" s="49" t="s">
        <v>57</v>
      </c>
      <c r="C126" s="65" t="s">
        <v>549</v>
      </c>
      <c r="D126" s="66" t="s">
        <v>550</v>
      </c>
      <c r="E126" s="65" t="s">
        <v>551</v>
      </c>
      <c r="F126" s="66" t="s">
        <v>6</v>
      </c>
      <c r="G126" s="67">
        <v>42845</v>
      </c>
      <c r="H126" s="67">
        <v>42935</v>
      </c>
      <c r="I126" s="67">
        <v>42943</v>
      </c>
      <c r="J126" s="66" t="s">
        <v>552</v>
      </c>
      <c r="K126" s="66" t="s">
        <v>7</v>
      </c>
      <c r="L126" s="66" t="s">
        <v>62</v>
      </c>
      <c r="M126" s="67" t="s">
        <v>553</v>
      </c>
      <c r="N126" s="66" t="s">
        <v>81</v>
      </c>
      <c r="O126" s="66" t="s">
        <v>7</v>
      </c>
      <c r="P126" s="66" t="s">
        <v>62</v>
      </c>
      <c r="Q126" s="66" t="s">
        <v>5002</v>
      </c>
      <c r="R126" s="67" cm="1">
        <f t="array" aca="1" ref="R126" ca="1">_xlfn.CHOOSECOLS(_xlfn.CHOOSEROWS(_xlfn._xlws.FILTER(표2[],표2[DWG No.]=C126,""),1),6)</f>
        <v>42872</v>
      </c>
      <c r="S126" s="67" cm="1">
        <f t="array" aca="1" ref="S126" ca="1">_xlfn.CHOOSECOLS(_xlfn.CHOOSEROWS(_xlfn._xlws.FILTER(표2[],(표2[DWG No.]=C126)*(ISNUMBER(표2[Rev.])),""),1),6)</f>
        <v>42943</v>
      </c>
    </row>
    <row r="127" spans="1:19" ht="18" customHeight="1" x14ac:dyDescent="0.45">
      <c r="A127" s="64">
        <v>122</v>
      </c>
      <c r="B127" s="49" t="s">
        <v>57</v>
      </c>
      <c r="C127" s="65" t="s">
        <v>554</v>
      </c>
      <c r="D127" s="66" t="s">
        <v>555</v>
      </c>
      <c r="E127" s="65" t="s">
        <v>556</v>
      </c>
      <c r="F127" s="66" t="s">
        <v>6</v>
      </c>
      <c r="G127" s="67">
        <v>42845</v>
      </c>
      <c r="H127" s="67">
        <v>42935</v>
      </c>
      <c r="I127" s="67">
        <v>42943</v>
      </c>
      <c r="J127" s="66" t="s">
        <v>552</v>
      </c>
      <c r="K127" s="66" t="s">
        <v>7</v>
      </c>
      <c r="L127" s="66" t="s">
        <v>62</v>
      </c>
      <c r="M127" s="67" t="s">
        <v>553</v>
      </c>
      <c r="N127" s="66" t="s">
        <v>81</v>
      </c>
      <c r="O127" s="66" t="s">
        <v>7</v>
      </c>
      <c r="P127" s="66" t="s">
        <v>62</v>
      </c>
      <c r="Q127" s="66" t="s">
        <v>5003</v>
      </c>
      <c r="R127" s="67" cm="1">
        <f t="array" aca="1" ref="R127" ca="1">_xlfn.CHOOSECOLS(_xlfn.CHOOSEROWS(_xlfn._xlws.FILTER(표2[],표2[DWG No.]=C127,""),1),6)</f>
        <v>42872</v>
      </c>
      <c r="S127" s="67" cm="1">
        <f t="array" aca="1" ref="S127" ca="1">_xlfn.CHOOSECOLS(_xlfn.CHOOSEROWS(_xlfn._xlws.FILTER(표2[],(표2[DWG No.]=C127)*(ISNUMBER(표2[Rev.])),""),1),6)</f>
        <v>42943</v>
      </c>
    </row>
    <row r="128" spans="1:19" ht="18" customHeight="1" x14ac:dyDescent="0.45">
      <c r="A128" s="64">
        <v>123</v>
      </c>
      <c r="B128" s="49" t="s">
        <v>57</v>
      </c>
      <c r="C128" s="65" t="s">
        <v>557</v>
      </c>
      <c r="D128" s="66" t="s">
        <v>558</v>
      </c>
      <c r="E128" s="65" t="s">
        <v>559</v>
      </c>
      <c r="F128" s="66" t="s">
        <v>6</v>
      </c>
      <c r="G128" s="67">
        <v>42845</v>
      </c>
      <c r="H128" s="67">
        <v>42935</v>
      </c>
      <c r="I128" s="67">
        <v>42943</v>
      </c>
      <c r="J128" s="66" t="s">
        <v>552</v>
      </c>
      <c r="K128" s="66" t="s">
        <v>7</v>
      </c>
      <c r="L128" s="66" t="s">
        <v>62</v>
      </c>
      <c r="M128" s="67" t="s">
        <v>553</v>
      </c>
      <c r="N128" s="66" t="s">
        <v>81</v>
      </c>
      <c r="O128" s="66" t="s">
        <v>7</v>
      </c>
      <c r="P128" s="66" t="s">
        <v>62</v>
      </c>
      <c r="Q128" s="66" t="s">
        <v>5002</v>
      </c>
      <c r="R128" s="67" cm="1">
        <f t="array" aca="1" ref="R128" ca="1">_xlfn.CHOOSECOLS(_xlfn.CHOOSEROWS(_xlfn._xlws.FILTER(표2[],표2[DWG No.]=C128,""),1),6)</f>
        <v>42872</v>
      </c>
      <c r="S128" s="67" cm="1">
        <f t="array" aca="1" ref="S128" ca="1">_xlfn.CHOOSECOLS(_xlfn.CHOOSEROWS(_xlfn._xlws.FILTER(표2[],(표2[DWG No.]=C128)*(ISNUMBER(표2[Rev.])),""),1),6)</f>
        <v>42943</v>
      </c>
    </row>
    <row r="129" spans="1:19" ht="18" customHeight="1" x14ac:dyDescent="0.45">
      <c r="A129" s="64">
        <v>124</v>
      </c>
      <c r="B129" s="49" t="s">
        <v>57</v>
      </c>
      <c r="C129" s="65" t="s">
        <v>560</v>
      </c>
      <c r="D129" s="66" t="s">
        <v>561</v>
      </c>
      <c r="E129" s="65" t="s">
        <v>562</v>
      </c>
      <c r="F129" s="66" t="s">
        <v>6</v>
      </c>
      <c r="G129" s="67">
        <v>42845</v>
      </c>
      <c r="H129" s="67">
        <v>42935</v>
      </c>
      <c r="I129" s="67">
        <v>42943</v>
      </c>
      <c r="J129" s="66" t="s">
        <v>552</v>
      </c>
      <c r="K129" s="66" t="s">
        <v>7</v>
      </c>
      <c r="L129" s="66" t="s">
        <v>62</v>
      </c>
      <c r="M129" s="67" t="s">
        <v>553</v>
      </c>
      <c r="N129" s="66" t="s">
        <v>81</v>
      </c>
      <c r="O129" s="66" t="s">
        <v>7</v>
      </c>
      <c r="P129" s="66" t="s">
        <v>62</v>
      </c>
      <c r="Q129" s="66" t="s">
        <v>5002</v>
      </c>
      <c r="R129" s="67" cm="1">
        <f t="array" aca="1" ref="R129" ca="1">_xlfn.CHOOSECOLS(_xlfn.CHOOSEROWS(_xlfn._xlws.FILTER(표2[],표2[DWG No.]=C129,""),1),6)</f>
        <v>42872</v>
      </c>
      <c r="S129" s="67" cm="1">
        <f t="array" aca="1" ref="S129" ca="1">_xlfn.CHOOSECOLS(_xlfn.CHOOSEROWS(_xlfn._xlws.FILTER(표2[],(표2[DWG No.]=C129)*(ISNUMBER(표2[Rev.])),""),1),6)</f>
        <v>42943</v>
      </c>
    </row>
    <row r="130" spans="1:19" ht="18" customHeight="1" x14ac:dyDescent="0.45">
      <c r="A130" s="64">
        <v>125</v>
      </c>
      <c r="B130" s="49" t="s">
        <v>57</v>
      </c>
      <c r="C130" s="65" t="s">
        <v>563</v>
      </c>
      <c r="D130" s="66" t="s">
        <v>564</v>
      </c>
      <c r="E130" s="65" t="s">
        <v>565</v>
      </c>
      <c r="F130" s="66" t="s">
        <v>5</v>
      </c>
      <c r="G130" s="67">
        <v>42845</v>
      </c>
      <c r="H130" s="67">
        <v>42935</v>
      </c>
      <c r="I130" s="67">
        <v>42993</v>
      </c>
      <c r="J130" s="66" t="s">
        <v>566</v>
      </c>
      <c r="K130" s="66" t="s">
        <v>7</v>
      </c>
      <c r="L130" s="66" t="s">
        <v>89</v>
      </c>
      <c r="M130" s="67" t="s">
        <v>74</v>
      </c>
      <c r="N130" s="66" t="s">
        <v>567</v>
      </c>
      <c r="O130" s="66" t="s">
        <v>7</v>
      </c>
      <c r="P130" s="66" t="s">
        <v>89</v>
      </c>
      <c r="Q130" s="66" t="s">
        <v>5002</v>
      </c>
      <c r="R130" s="67" cm="1">
        <f t="array" aca="1" ref="R130" ca="1">_xlfn.CHOOSECOLS(_xlfn.CHOOSEROWS(_xlfn._xlws.FILTER(표2[],표2[DWG No.]=C130,""),1),6)</f>
        <v>42874</v>
      </c>
      <c r="S130" s="67" cm="1">
        <f t="array" aca="1" ref="S130" ca="1">_xlfn.CHOOSECOLS(_xlfn.CHOOSEROWS(_xlfn._xlws.FILTER(표2[],(표2[DWG No.]=C130)*(ISNUMBER(표2[Rev.])),""),1),6)</f>
        <v>42962</v>
      </c>
    </row>
    <row r="131" spans="1:19" ht="18" customHeight="1" x14ac:dyDescent="0.45">
      <c r="A131" s="64">
        <v>126</v>
      </c>
      <c r="B131" s="49" t="s">
        <v>57</v>
      </c>
      <c r="C131" s="65" t="s">
        <v>568</v>
      </c>
      <c r="D131" s="66" t="s">
        <v>569</v>
      </c>
      <c r="E131" s="65" t="s">
        <v>570</v>
      </c>
      <c r="F131" s="66" t="s">
        <v>6</v>
      </c>
      <c r="G131" s="67">
        <v>42875</v>
      </c>
      <c r="H131" s="67">
        <v>42995</v>
      </c>
      <c r="I131" s="67">
        <v>43854</v>
      </c>
      <c r="J131" s="66" t="s">
        <v>2798</v>
      </c>
      <c r="K131" s="66" t="s">
        <v>7</v>
      </c>
      <c r="L131" s="66" t="s">
        <v>89</v>
      </c>
      <c r="M131" s="67" t="s">
        <v>2817</v>
      </c>
      <c r="N131" s="66" t="s">
        <v>2823</v>
      </c>
      <c r="O131" s="66" t="s">
        <v>7</v>
      </c>
      <c r="P131" s="66" t="s">
        <v>89</v>
      </c>
      <c r="Q131" s="66" t="s">
        <v>65</v>
      </c>
      <c r="R131" s="67" cm="1">
        <f t="array" aca="1" ref="R131" ca="1">_xlfn.CHOOSECOLS(_xlfn.CHOOSEROWS(_xlfn._xlws.FILTER(표2[],표2[DWG No.]=C131,""),1),6)</f>
        <v>42906</v>
      </c>
      <c r="S131" s="67" cm="1">
        <f t="array" aca="1" ref="S131" ca="1">_xlfn.CHOOSECOLS(_xlfn.CHOOSEROWS(_xlfn._xlws.FILTER(표2[],(표2[DWG No.]=C131)*(ISNUMBER(표2[Rev.])),""),1),6)</f>
        <v>42998</v>
      </c>
    </row>
    <row r="132" spans="1:19" ht="18" customHeight="1" x14ac:dyDescent="0.45">
      <c r="A132" s="64">
        <v>127</v>
      </c>
      <c r="B132" s="49" t="s">
        <v>57</v>
      </c>
      <c r="C132" s="65" t="s">
        <v>572</v>
      </c>
      <c r="D132" s="66" t="s">
        <v>573</v>
      </c>
      <c r="E132" s="65" t="s">
        <v>574</v>
      </c>
      <c r="F132" s="66" t="s">
        <v>5</v>
      </c>
      <c r="G132" s="67">
        <v>42875</v>
      </c>
      <c r="H132" s="67">
        <v>43025</v>
      </c>
      <c r="I132" s="67">
        <v>43034</v>
      </c>
      <c r="J132" s="66" t="s">
        <v>575</v>
      </c>
      <c r="K132" s="66" t="s">
        <v>7</v>
      </c>
      <c r="L132" s="66" t="s">
        <v>62</v>
      </c>
      <c r="M132" s="67" t="s">
        <v>90</v>
      </c>
      <c r="N132" s="66" t="s">
        <v>576</v>
      </c>
      <c r="O132" s="66" t="s">
        <v>7</v>
      </c>
      <c r="P132" s="66" t="s">
        <v>62</v>
      </c>
      <c r="Q132" s="66" t="s">
        <v>5002</v>
      </c>
      <c r="R132" s="67" cm="1">
        <f t="array" aca="1" ref="R132" ca="1">_xlfn.CHOOSECOLS(_xlfn.CHOOSEROWS(_xlfn._xlws.FILTER(표2[],표2[DWG No.]=C132,""),1),6)</f>
        <v>42878</v>
      </c>
      <c r="S132" s="67" cm="1">
        <f t="array" aca="1" ref="S132" ca="1">_xlfn.CHOOSECOLS(_xlfn.CHOOSEROWS(_xlfn._xlws.FILTER(표2[],(표2[DWG No.]=C132)*(ISNUMBER(표2[Rev.])),""),1),6)</f>
        <v>43034</v>
      </c>
    </row>
    <row r="133" spans="1:19" ht="18" customHeight="1" x14ac:dyDescent="0.45">
      <c r="A133" s="64">
        <v>128</v>
      </c>
      <c r="B133" s="49" t="s">
        <v>57</v>
      </c>
      <c r="C133" s="65" t="s">
        <v>577</v>
      </c>
      <c r="D133" s="66" t="s">
        <v>578</v>
      </c>
      <c r="E133" s="65" t="s">
        <v>579</v>
      </c>
      <c r="F133" s="66" t="s">
        <v>5</v>
      </c>
      <c r="G133" s="67">
        <v>42875</v>
      </c>
      <c r="H133" s="67">
        <v>43025</v>
      </c>
      <c r="I133" s="67">
        <v>43034</v>
      </c>
      <c r="J133" s="66" t="s">
        <v>575</v>
      </c>
      <c r="K133" s="66" t="s">
        <v>7</v>
      </c>
      <c r="L133" s="66" t="s">
        <v>62</v>
      </c>
      <c r="M133" s="67" t="s">
        <v>90</v>
      </c>
      <c r="N133" s="66" t="s">
        <v>580</v>
      </c>
      <c r="O133" s="66" t="s">
        <v>7</v>
      </c>
      <c r="P133" s="66" t="s">
        <v>62</v>
      </c>
      <c r="Q133" s="66" t="s">
        <v>5002</v>
      </c>
      <c r="R133" s="67" cm="1">
        <f t="array" aca="1" ref="R133" ca="1">_xlfn.CHOOSECOLS(_xlfn.CHOOSEROWS(_xlfn._xlws.FILTER(표2[],표2[DWG No.]=C133,""),1),6)</f>
        <v>42878</v>
      </c>
      <c r="S133" s="67" cm="1">
        <f t="array" aca="1" ref="S133" ca="1">_xlfn.CHOOSECOLS(_xlfn.CHOOSEROWS(_xlfn._xlws.FILTER(표2[],(표2[DWG No.]=C133)*(ISNUMBER(표2[Rev.])),""),1),6)</f>
        <v>43034</v>
      </c>
    </row>
    <row r="134" spans="1:19" ht="18" customHeight="1" x14ac:dyDescent="0.45">
      <c r="A134" s="64">
        <v>129</v>
      </c>
      <c r="B134" s="49" t="s">
        <v>57</v>
      </c>
      <c r="C134" s="65" t="s">
        <v>581</v>
      </c>
      <c r="D134" s="66" t="s">
        <v>582</v>
      </c>
      <c r="E134" s="65" t="s">
        <v>583</v>
      </c>
      <c r="F134" s="66" t="s">
        <v>6</v>
      </c>
      <c r="G134" s="67">
        <v>42875</v>
      </c>
      <c r="H134" s="67">
        <v>42995</v>
      </c>
      <c r="I134" s="67">
        <v>43007</v>
      </c>
      <c r="J134" s="66" t="s">
        <v>584</v>
      </c>
      <c r="K134" s="66" t="s">
        <v>7</v>
      </c>
      <c r="L134" s="66" t="s">
        <v>62</v>
      </c>
      <c r="M134" s="67" t="s">
        <v>143</v>
      </c>
      <c r="N134" s="66" t="s">
        <v>585</v>
      </c>
      <c r="O134" s="66" t="s">
        <v>7</v>
      </c>
      <c r="P134" s="66" t="s">
        <v>62</v>
      </c>
      <c r="Q134" s="66" t="s">
        <v>5003</v>
      </c>
      <c r="R134" s="67" cm="1">
        <f t="array" aca="1" ref="R134" ca="1">_xlfn.CHOOSECOLS(_xlfn.CHOOSEROWS(_xlfn._xlws.FILTER(표2[],표2[DWG No.]=C134,""),1),6)</f>
        <v>42878</v>
      </c>
      <c r="S134" s="67" cm="1">
        <f t="array" aca="1" ref="S134" ca="1">_xlfn.CHOOSECOLS(_xlfn.CHOOSEROWS(_xlfn._xlws.FILTER(표2[],(표2[DWG No.]=C134)*(ISNUMBER(표2[Rev.])),""),1),6)</f>
        <v>43007</v>
      </c>
    </row>
    <row r="135" spans="1:19" ht="18" customHeight="1" x14ac:dyDescent="0.45">
      <c r="A135" s="64">
        <v>130</v>
      </c>
      <c r="B135" s="49" t="s">
        <v>57</v>
      </c>
      <c r="C135" s="65" t="s">
        <v>586</v>
      </c>
      <c r="D135" s="66" t="s">
        <v>587</v>
      </c>
      <c r="E135" s="65" t="s">
        <v>588</v>
      </c>
      <c r="F135" s="66" t="s">
        <v>6</v>
      </c>
      <c r="G135" s="67">
        <v>42906</v>
      </c>
      <c r="H135" s="67">
        <v>43026</v>
      </c>
      <c r="I135" s="67">
        <v>43034</v>
      </c>
      <c r="J135" s="66" t="s">
        <v>575</v>
      </c>
      <c r="K135" s="66" t="s">
        <v>7</v>
      </c>
      <c r="L135" s="66" t="s">
        <v>62</v>
      </c>
      <c r="M135" s="67" t="s">
        <v>90</v>
      </c>
      <c r="N135" s="66" t="s">
        <v>589</v>
      </c>
      <c r="O135" s="66" t="s">
        <v>7</v>
      </c>
      <c r="P135" s="66" t="s">
        <v>62</v>
      </c>
      <c r="Q135" s="66" t="s">
        <v>5002</v>
      </c>
      <c r="R135" s="67" cm="1">
        <f t="array" aca="1" ref="R135" ca="1">_xlfn.CHOOSECOLS(_xlfn.CHOOSEROWS(_xlfn._xlws.FILTER(표2[],표2[DWG No.]=C135,""),1),6)</f>
        <v>42922</v>
      </c>
      <c r="S135" s="67" cm="1">
        <f t="array" aca="1" ref="S135" ca="1">_xlfn.CHOOSECOLS(_xlfn.CHOOSEROWS(_xlfn._xlws.FILTER(표2[],(표2[DWG No.]=C135)*(ISNUMBER(표2[Rev.])),""),1),6)</f>
        <v>43034</v>
      </c>
    </row>
    <row r="136" spans="1:19" ht="18" customHeight="1" x14ac:dyDescent="0.45">
      <c r="A136" s="64">
        <v>131</v>
      </c>
      <c r="B136" s="49" t="s">
        <v>57</v>
      </c>
      <c r="C136" s="65" t="s">
        <v>590</v>
      </c>
      <c r="D136" s="66" t="s">
        <v>591</v>
      </c>
      <c r="E136" s="65" t="s">
        <v>592</v>
      </c>
      <c r="F136" s="66" t="s">
        <v>6</v>
      </c>
      <c r="G136" s="67">
        <v>42875</v>
      </c>
      <c r="H136" s="67">
        <v>42995</v>
      </c>
      <c r="I136" s="67">
        <v>42998</v>
      </c>
      <c r="J136" s="66" t="s">
        <v>571</v>
      </c>
      <c r="K136" s="66" t="s">
        <v>7</v>
      </c>
      <c r="L136" s="66" t="s">
        <v>62</v>
      </c>
      <c r="M136" s="67" t="s">
        <v>74</v>
      </c>
      <c r="N136" s="66" t="s">
        <v>593</v>
      </c>
      <c r="O136" s="66" t="s">
        <v>7</v>
      </c>
      <c r="P136" s="66" t="s">
        <v>62</v>
      </c>
      <c r="Q136" s="66" t="s">
        <v>5003</v>
      </c>
      <c r="R136" s="67" cm="1">
        <f t="array" aca="1" ref="R136" ca="1">_xlfn.CHOOSECOLS(_xlfn.CHOOSEROWS(_xlfn._xlws.FILTER(표2[],표2[DWG No.]=C136,""),1),6)</f>
        <v>42888</v>
      </c>
      <c r="S136" s="67" cm="1">
        <f t="array" aca="1" ref="S136" ca="1">_xlfn.CHOOSECOLS(_xlfn.CHOOSEROWS(_xlfn._xlws.FILTER(표2[],(표2[DWG No.]=C136)*(ISNUMBER(표2[Rev.])),""),1),6)</f>
        <v>42998</v>
      </c>
    </row>
    <row r="137" spans="1:19" ht="18" customHeight="1" x14ac:dyDescent="0.45">
      <c r="A137" s="64">
        <v>132</v>
      </c>
      <c r="B137" s="49" t="s">
        <v>57</v>
      </c>
      <c r="C137" s="65" t="s">
        <v>594</v>
      </c>
      <c r="D137" s="66" t="s">
        <v>595</v>
      </c>
      <c r="E137" s="65" t="s">
        <v>596</v>
      </c>
      <c r="F137" s="66" t="s">
        <v>6</v>
      </c>
      <c r="G137" s="67">
        <v>42875</v>
      </c>
      <c r="H137" s="67">
        <v>42995</v>
      </c>
      <c r="I137" s="67">
        <v>42998</v>
      </c>
      <c r="J137" s="66" t="s">
        <v>571</v>
      </c>
      <c r="K137" s="66" t="s">
        <v>7</v>
      </c>
      <c r="L137" s="66" t="s">
        <v>62</v>
      </c>
      <c r="M137" s="67" t="s">
        <v>74</v>
      </c>
      <c r="N137" s="66" t="s">
        <v>597</v>
      </c>
      <c r="O137" s="66" t="s">
        <v>7</v>
      </c>
      <c r="P137" s="66" t="s">
        <v>62</v>
      </c>
      <c r="Q137" s="66" t="s">
        <v>5003</v>
      </c>
      <c r="R137" s="67" cm="1">
        <f t="array" aca="1" ref="R137" ca="1">_xlfn.CHOOSECOLS(_xlfn.CHOOSEROWS(_xlfn._xlws.FILTER(표2[],표2[DWG No.]=C137,""),1),6)</f>
        <v>42888</v>
      </c>
      <c r="S137" s="67" cm="1">
        <f t="array" aca="1" ref="S137" ca="1">_xlfn.CHOOSECOLS(_xlfn.CHOOSEROWS(_xlfn._xlws.FILTER(표2[],(표2[DWG No.]=C137)*(ISNUMBER(표2[Rev.])),""),1),6)</f>
        <v>42998</v>
      </c>
    </row>
    <row r="138" spans="1:19" ht="18" customHeight="1" x14ac:dyDescent="0.45">
      <c r="A138" s="64">
        <v>133</v>
      </c>
      <c r="B138" s="49" t="s">
        <v>57</v>
      </c>
      <c r="C138" s="65" t="s">
        <v>598</v>
      </c>
      <c r="D138" s="66" t="s">
        <v>599</v>
      </c>
      <c r="E138" s="65" t="s">
        <v>600</v>
      </c>
      <c r="F138" s="66" t="s">
        <v>6</v>
      </c>
      <c r="G138" s="67">
        <v>42875</v>
      </c>
      <c r="H138" s="67">
        <v>42995</v>
      </c>
      <c r="I138" s="67">
        <v>43034</v>
      </c>
      <c r="J138" s="66" t="s">
        <v>575</v>
      </c>
      <c r="K138" s="66" t="s">
        <v>7</v>
      </c>
      <c r="L138" s="66" t="s">
        <v>62</v>
      </c>
      <c r="M138" s="67" t="s">
        <v>90</v>
      </c>
      <c r="N138" s="66" t="s">
        <v>601</v>
      </c>
      <c r="O138" s="66" t="s">
        <v>7</v>
      </c>
      <c r="P138" s="66" t="s">
        <v>62</v>
      </c>
      <c r="Q138" s="66" t="s">
        <v>5002</v>
      </c>
      <c r="R138" s="67" cm="1">
        <f t="array" aca="1" ref="R138" ca="1">_xlfn.CHOOSECOLS(_xlfn.CHOOSEROWS(_xlfn._xlws.FILTER(표2[],표2[DWG No.]=C138,""),1),6)</f>
        <v>42900</v>
      </c>
      <c r="S138" s="67" cm="1">
        <f t="array" aca="1" ref="S138" ca="1">_xlfn.CHOOSECOLS(_xlfn.CHOOSEROWS(_xlfn._xlws.FILTER(표2[],(표2[DWG No.]=C138)*(ISNUMBER(표2[Rev.])),""),1),6)</f>
        <v>43034</v>
      </c>
    </row>
    <row r="139" spans="1:19" ht="18" customHeight="1" x14ac:dyDescent="0.45">
      <c r="A139" s="64">
        <v>134</v>
      </c>
      <c r="B139" s="49" t="s">
        <v>57</v>
      </c>
      <c r="C139" s="65" t="s">
        <v>602</v>
      </c>
      <c r="D139" s="66" t="s">
        <v>603</v>
      </c>
      <c r="E139" s="65" t="s">
        <v>604</v>
      </c>
      <c r="F139" s="66" t="s">
        <v>5</v>
      </c>
      <c r="G139" s="67">
        <v>42875</v>
      </c>
      <c r="H139" s="67">
        <v>43025</v>
      </c>
      <c r="I139" s="67">
        <v>43854</v>
      </c>
      <c r="J139" s="66" t="s">
        <v>2798</v>
      </c>
      <c r="K139" s="66" t="s">
        <v>7</v>
      </c>
      <c r="L139" s="66" t="s">
        <v>230</v>
      </c>
      <c r="M139" s="67" t="s">
        <v>2817</v>
      </c>
      <c r="N139" s="66" t="s">
        <v>2824</v>
      </c>
      <c r="O139" s="66" t="s">
        <v>7</v>
      </c>
      <c r="P139" s="66" t="s">
        <v>230</v>
      </c>
      <c r="Q139" s="66" t="s">
        <v>65</v>
      </c>
      <c r="R139" s="67" cm="1">
        <f t="array" aca="1" ref="R139" ca="1">_xlfn.CHOOSECOLS(_xlfn.CHOOSEROWS(_xlfn._xlws.FILTER(표2[],표2[DWG No.]=C139,""),1),6)</f>
        <v>42900</v>
      </c>
      <c r="S139" s="67" cm="1">
        <f t="array" aca="1" ref="S139" ca="1">_xlfn.CHOOSECOLS(_xlfn.CHOOSEROWS(_xlfn._xlws.FILTER(표2[],(표2[DWG No.]=C139)*(ISNUMBER(표2[Rev.])),""),1),6)</f>
        <v>43034</v>
      </c>
    </row>
    <row r="140" spans="1:19" ht="18" customHeight="1" x14ac:dyDescent="0.45">
      <c r="A140" s="64">
        <v>135</v>
      </c>
      <c r="B140" s="49" t="s">
        <v>57</v>
      </c>
      <c r="C140" s="65" t="s">
        <v>605</v>
      </c>
      <c r="D140" s="66" t="s">
        <v>606</v>
      </c>
      <c r="E140" s="65" t="s">
        <v>607</v>
      </c>
      <c r="F140" s="66" t="s">
        <v>6</v>
      </c>
      <c r="G140" s="67">
        <v>42875</v>
      </c>
      <c r="H140" s="67">
        <v>42995</v>
      </c>
      <c r="I140" s="67">
        <v>43000</v>
      </c>
      <c r="J140" s="66" t="s">
        <v>608</v>
      </c>
      <c r="K140" s="66" t="s">
        <v>7</v>
      </c>
      <c r="L140" s="66" t="s">
        <v>62</v>
      </c>
      <c r="M140" s="67" t="s">
        <v>74</v>
      </c>
      <c r="N140" s="66" t="s">
        <v>609</v>
      </c>
      <c r="O140" s="66" t="s">
        <v>7</v>
      </c>
      <c r="P140" s="66" t="s">
        <v>62</v>
      </c>
      <c r="Q140" s="66" t="s">
        <v>5002</v>
      </c>
      <c r="R140" s="67" cm="1">
        <f t="array" aca="1" ref="R140" ca="1">_xlfn.CHOOSECOLS(_xlfn.CHOOSEROWS(_xlfn._xlws.FILTER(표2[],표2[DWG No.]=C140,""),1),6)</f>
        <v>42885</v>
      </c>
      <c r="S140" s="67" cm="1">
        <f t="array" aca="1" ref="S140" ca="1">_xlfn.CHOOSECOLS(_xlfn.CHOOSEROWS(_xlfn._xlws.FILTER(표2[],(표2[DWG No.]=C140)*(ISNUMBER(표2[Rev.])),""),1),6)</f>
        <v>43000</v>
      </c>
    </row>
    <row r="141" spans="1:19" ht="18" customHeight="1" x14ac:dyDescent="0.45">
      <c r="A141" s="64">
        <v>136</v>
      </c>
      <c r="B141" s="49" t="s">
        <v>57</v>
      </c>
      <c r="C141" s="65" t="s">
        <v>610</v>
      </c>
      <c r="D141" s="66" t="s">
        <v>611</v>
      </c>
      <c r="E141" s="65" t="s">
        <v>612</v>
      </c>
      <c r="F141" s="66" t="s">
        <v>6</v>
      </c>
      <c r="G141" s="67">
        <v>42875</v>
      </c>
      <c r="H141" s="67">
        <v>42995</v>
      </c>
      <c r="I141" s="67">
        <v>43000</v>
      </c>
      <c r="J141" s="66" t="s">
        <v>608</v>
      </c>
      <c r="K141" s="66" t="s">
        <v>7</v>
      </c>
      <c r="L141" s="66" t="s">
        <v>62</v>
      </c>
      <c r="M141" s="67" t="s">
        <v>74</v>
      </c>
      <c r="N141" s="66" t="s">
        <v>613</v>
      </c>
      <c r="O141" s="66" t="s">
        <v>7</v>
      </c>
      <c r="P141" s="66" t="s">
        <v>62</v>
      </c>
      <c r="Q141" s="66" t="s">
        <v>5002</v>
      </c>
      <c r="R141" s="67" cm="1">
        <f t="array" aca="1" ref="R141" ca="1">_xlfn.CHOOSECOLS(_xlfn.CHOOSEROWS(_xlfn._xlws.FILTER(표2[],표2[DWG No.]=C141,""),1),6)</f>
        <v>42885</v>
      </c>
      <c r="S141" s="67" cm="1">
        <f t="array" aca="1" ref="S141" ca="1">_xlfn.CHOOSECOLS(_xlfn.CHOOSEROWS(_xlfn._xlws.FILTER(표2[],(표2[DWG No.]=C141)*(ISNUMBER(표2[Rev.])),""),1),6)</f>
        <v>43000</v>
      </c>
    </row>
    <row r="142" spans="1:19" ht="18" customHeight="1" x14ac:dyDescent="0.45">
      <c r="A142" s="64">
        <v>137</v>
      </c>
      <c r="B142" s="49" t="s">
        <v>57</v>
      </c>
      <c r="C142" s="65" t="s">
        <v>614</v>
      </c>
      <c r="D142" s="66" t="s">
        <v>615</v>
      </c>
      <c r="E142" s="65" t="s">
        <v>616</v>
      </c>
      <c r="F142" s="66" t="s">
        <v>6</v>
      </c>
      <c r="G142" s="67">
        <v>42875</v>
      </c>
      <c r="H142" s="67">
        <v>42995</v>
      </c>
      <c r="I142" s="67">
        <v>43000</v>
      </c>
      <c r="J142" s="66" t="s">
        <v>608</v>
      </c>
      <c r="K142" s="66" t="s">
        <v>7</v>
      </c>
      <c r="L142" s="66" t="s">
        <v>62</v>
      </c>
      <c r="M142" s="67" t="s">
        <v>74</v>
      </c>
      <c r="N142" s="66" t="s">
        <v>617</v>
      </c>
      <c r="O142" s="66" t="s">
        <v>7</v>
      </c>
      <c r="P142" s="66" t="s">
        <v>62</v>
      </c>
      <c r="Q142" s="66" t="s">
        <v>5002</v>
      </c>
      <c r="R142" s="67" cm="1">
        <f t="array" aca="1" ref="R142" ca="1">_xlfn.CHOOSECOLS(_xlfn.CHOOSEROWS(_xlfn._xlws.FILTER(표2[],표2[DWG No.]=C142,""),1),6)</f>
        <v>42900</v>
      </c>
      <c r="S142" s="67" cm="1">
        <f t="array" aca="1" ref="S142" ca="1">_xlfn.CHOOSECOLS(_xlfn.CHOOSEROWS(_xlfn._xlws.FILTER(표2[],(표2[DWG No.]=C142)*(ISNUMBER(표2[Rev.])),""),1),6)</f>
        <v>43000</v>
      </c>
    </row>
    <row r="143" spans="1:19" ht="18" customHeight="1" x14ac:dyDescent="0.45">
      <c r="A143" s="64">
        <v>138</v>
      </c>
      <c r="B143" s="49" t="s">
        <v>57</v>
      </c>
      <c r="C143" s="65" t="s">
        <v>618</v>
      </c>
      <c r="D143" s="66" t="s">
        <v>619</v>
      </c>
      <c r="E143" s="65" t="s">
        <v>620</v>
      </c>
      <c r="F143" s="66" t="s">
        <v>6</v>
      </c>
      <c r="G143" s="67">
        <v>42875</v>
      </c>
      <c r="H143" s="67">
        <v>42995</v>
      </c>
      <c r="I143" s="67">
        <v>43066</v>
      </c>
      <c r="J143" s="66" t="s">
        <v>526</v>
      </c>
      <c r="K143" s="66" t="s">
        <v>7</v>
      </c>
      <c r="L143" s="66" t="s">
        <v>62</v>
      </c>
      <c r="M143" s="67" t="s">
        <v>527</v>
      </c>
      <c r="N143" s="66" t="s">
        <v>621</v>
      </c>
      <c r="O143" s="66" t="s">
        <v>7</v>
      </c>
      <c r="P143" s="66" t="s">
        <v>62</v>
      </c>
      <c r="Q143" s="66" t="s">
        <v>5003</v>
      </c>
      <c r="R143" s="67" cm="1">
        <f t="array" aca="1" ref="R143" ca="1">_xlfn.CHOOSECOLS(_xlfn.CHOOSEROWS(_xlfn._xlws.FILTER(표2[],표2[DWG No.]=C143,""),1),6)</f>
        <v>42900</v>
      </c>
      <c r="S143" s="67" cm="1">
        <f t="array" aca="1" ref="S143" ca="1">_xlfn.CHOOSECOLS(_xlfn.CHOOSEROWS(_xlfn._xlws.FILTER(표2[],(표2[DWG No.]=C143)*(ISNUMBER(표2[Rev.])),""),1),6)</f>
        <v>43066</v>
      </c>
    </row>
    <row r="144" spans="1:19" ht="18" customHeight="1" x14ac:dyDescent="0.45">
      <c r="A144" s="64">
        <v>139</v>
      </c>
      <c r="B144" s="49" t="s">
        <v>57</v>
      </c>
      <c r="C144" s="65" t="s">
        <v>622</v>
      </c>
      <c r="D144" s="66" t="s">
        <v>623</v>
      </c>
      <c r="E144" s="65" t="s">
        <v>624</v>
      </c>
      <c r="F144" s="66" t="s">
        <v>6</v>
      </c>
      <c r="G144" s="67">
        <v>42906</v>
      </c>
      <c r="H144" s="67">
        <v>43026</v>
      </c>
      <c r="I144" s="67">
        <v>43034</v>
      </c>
      <c r="J144" s="66" t="s">
        <v>575</v>
      </c>
      <c r="K144" s="66" t="s">
        <v>7</v>
      </c>
      <c r="L144" s="66" t="s">
        <v>62</v>
      </c>
      <c r="M144" s="67" t="s">
        <v>90</v>
      </c>
      <c r="N144" s="66" t="s">
        <v>625</v>
      </c>
      <c r="O144" s="66" t="s">
        <v>7</v>
      </c>
      <c r="P144" s="66" t="s">
        <v>62</v>
      </c>
      <c r="Q144" s="66" t="s">
        <v>5002</v>
      </c>
      <c r="R144" s="67" cm="1">
        <f t="array" aca="1" ref="R144" ca="1">_xlfn.CHOOSECOLS(_xlfn.CHOOSEROWS(_xlfn._xlws.FILTER(표2[],표2[DWG No.]=C144,""),1),6)</f>
        <v>42922</v>
      </c>
      <c r="S144" s="67" cm="1">
        <f t="array" aca="1" ref="S144" ca="1">_xlfn.CHOOSECOLS(_xlfn.CHOOSEROWS(_xlfn._xlws.FILTER(표2[],(표2[DWG No.]=C144)*(ISNUMBER(표2[Rev.])),""),1),6)</f>
        <v>43034</v>
      </c>
    </row>
    <row r="145" spans="1:19" ht="18" customHeight="1" x14ac:dyDescent="0.45">
      <c r="A145" s="64">
        <v>140</v>
      </c>
      <c r="B145" s="49" t="s">
        <v>57</v>
      </c>
      <c r="C145" s="65" t="s">
        <v>626</v>
      </c>
      <c r="D145" s="66" t="s">
        <v>627</v>
      </c>
      <c r="E145" s="65" t="s">
        <v>628</v>
      </c>
      <c r="F145" s="66" t="s">
        <v>5</v>
      </c>
      <c r="G145" s="67">
        <v>42875</v>
      </c>
      <c r="H145" s="67">
        <v>43025</v>
      </c>
      <c r="I145" s="67">
        <v>43034</v>
      </c>
      <c r="J145" s="66" t="s">
        <v>575</v>
      </c>
      <c r="K145" s="66" t="s">
        <v>7</v>
      </c>
      <c r="L145" s="66" t="s">
        <v>62</v>
      </c>
      <c r="M145" s="67" t="s">
        <v>90</v>
      </c>
      <c r="N145" s="66" t="s">
        <v>629</v>
      </c>
      <c r="O145" s="66" t="s">
        <v>7</v>
      </c>
      <c r="P145" s="66" t="s">
        <v>62</v>
      </c>
      <c r="Q145" s="66" t="s">
        <v>5002</v>
      </c>
      <c r="R145" s="67" cm="1">
        <f t="array" aca="1" ref="R145" ca="1">_xlfn.CHOOSECOLS(_xlfn.CHOOSEROWS(_xlfn._xlws.FILTER(표2[],표2[DWG No.]=C145,""),1),6)</f>
        <v>42885</v>
      </c>
      <c r="S145" s="67" cm="1">
        <f t="array" aca="1" ref="S145" ca="1">_xlfn.CHOOSECOLS(_xlfn.CHOOSEROWS(_xlfn._xlws.FILTER(표2[],(표2[DWG No.]=C145)*(ISNUMBER(표2[Rev.])),""),1),6)</f>
        <v>43034</v>
      </c>
    </row>
    <row r="146" spans="1:19" ht="18" customHeight="1" x14ac:dyDescent="0.45">
      <c r="A146" s="64">
        <v>141</v>
      </c>
      <c r="B146" s="49" t="s">
        <v>57</v>
      </c>
      <c r="C146" s="65" t="s">
        <v>630</v>
      </c>
      <c r="D146" s="66" t="s">
        <v>631</v>
      </c>
      <c r="E146" s="65" t="s">
        <v>632</v>
      </c>
      <c r="F146" s="66" t="s">
        <v>5</v>
      </c>
      <c r="G146" s="67">
        <v>42875</v>
      </c>
      <c r="H146" s="67">
        <v>43025</v>
      </c>
      <c r="I146" s="67">
        <v>43034</v>
      </c>
      <c r="J146" s="66" t="s">
        <v>575</v>
      </c>
      <c r="K146" s="66" t="s">
        <v>7</v>
      </c>
      <c r="L146" s="66" t="s">
        <v>62</v>
      </c>
      <c r="M146" s="67" t="s">
        <v>90</v>
      </c>
      <c r="N146" s="66" t="s">
        <v>633</v>
      </c>
      <c r="O146" s="66" t="s">
        <v>7</v>
      </c>
      <c r="P146" s="66" t="s">
        <v>62</v>
      </c>
      <c r="Q146" s="66" t="s">
        <v>5002</v>
      </c>
      <c r="R146" s="67" cm="1">
        <f t="array" aca="1" ref="R146" ca="1">_xlfn.CHOOSECOLS(_xlfn.CHOOSEROWS(_xlfn._xlws.FILTER(표2[],표2[DWG No.]=C146,""),1),6)</f>
        <v>42900</v>
      </c>
      <c r="S146" s="67" cm="1">
        <f t="array" aca="1" ref="S146" ca="1">_xlfn.CHOOSECOLS(_xlfn.CHOOSEROWS(_xlfn._xlws.FILTER(표2[],(표2[DWG No.]=C146)*(ISNUMBER(표2[Rev.])),""),1),6)</f>
        <v>43034</v>
      </c>
    </row>
    <row r="147" spans="1:19" ht="18" customHeight="1" x14ac:dyDescent="0.45">
      <c r="A147" s="64">
        <v>142</v>
      </c>
      <c r="B147" s="49" t="s">
        <v>57</v>
      </c>
      <c r="C147" s="65" t="s">
        <v>634</v>
      </c>
      <c r="D147" s="66" t="s">
        <v>635</v>
      </c>
      <c r="E147" s="65" t="s">
        <v>636</v>
      </c>
      <c r="F147" s="66" t="s">
        <v>6</v>
      </c>
      <c r="G147" s="67">
        <v>42936</v>
      </c>
      <c r="H147" s="67">
        <v>43056</v>
      </c>
      <c r="I147" s="67">
        <v>43066</v>
      </c>
      <c r="J147" s="66" t="s">
        <v>526</v>
      </c>
      <c r="K147" s="66" t="s">
        <v>7</v>
      </c>
      <c r="L147" s="66" t="s">
        <v>62</v>
      </c>
      <c r="M147" s="67" t="s">
        <v>527</v>
      </c>
      <c r="N147" s="66" t="s">
        <v>637</v>
      </c>
      <c r="O147" s="66" t="s">
        <v>7</v>
      </c>
      <c r="P147" s="66" t="s">
        <v>62</v>
      </c>
      <c r="Q147" s="66" t="s">
        <v>5002</v>
      </c>
      <c r="R147" s="67" cm="1">
        <f t="array" aca="1" ref="R147" ca="1">_xlfn.CHOOSECOLS(_xlfn.CHOOSEROWS(_xlfn._xlws.FILTER(표2[],표2[DWG No.]=C147,""),1),6)</f>
        <v>42993</v>
      </c>
      <c r="S147" s="67" cm="1">
        <f t="array" aca="1" ref="S147" ca="1">_xlfn.CHOOSECOLS(_xlfn.CHOOSEROWS(_xlfn._xlws.FILTER(표2[],(표2[DWG No.]=C147)*(ISNUMBER(표2[Rev.])),""),1),6)</f>
        <v>43066</v>
      </c>
    </row>
    <row r="148" spans="1:19" ht="18" customHeight="1" x14ac:dyDescent="0.45">
      <c r="A148" s="64">
        <v>143</v>
      </c>
      <c r="B148" s="49" t="s">
        <v>57</v>
      </c>
      <c r="C148" s="65" t="s">
        <v>638</v>
      </c>
      <c r="D148" s="66" t="s">
        <v>639</v>
      </c>
      <c r="E148" s="65" t="s">
        <v>640</v>
      </c>
      <c r="F148" s="66" t="s">
        <v>6</v>
      </c>
      <c r="G148" s="67">
        <v>42977</v>
      </c>
      <c r="H148" s="67">
        <v>43038</v>
      </c>
      <c r="I148" s="67">
        <v>43040</v>
      </c>
      <c r="J148" s="66" t="s">
        <v>641</v>
      </c>
      <c r="K148" s="66" t="s">
        <v>7</v>
      </c>
      <c r="L148" s="66" t="s">
        <v>62</v>
      </c>
      <c r="M148" s="67" t="s">
        <v>90</v>
      </c>
      <c r="N148" s="66" t="s">
        <v>642</v>
      </c>
      <c r="O148" s="66" t="s">
        <v>7</v>
      </c>
      <c r="P148" s="66" t="s">
        <v>62</v>
      </c>
      <c r="Q148" s="66" t="s">
        <v>5002</v>
      </c>
      <c r="R148" s="67" cm="1">
        <f t="array" aca="1" ref="R148" ca="1">_xlfn.CHOOSECOLS(_xlfn.CHOOSEROWS(_xlfn._xlws.FILTER(표2[],표2[DWG No.]=C148,""),1),6)</f>
        <v>42992</v>
      </c>
      <c r="S148" s="67" cm="1">
        <f t="array" aca="1" ref="S148" ca="1">_xlfn.CHOOSECOLS(_xlfn.CHOOSEROWS(_xlfn._xlws.FILTER(표2[],(표2[DWG No.]=C148)*(ISNUMBER(표2[Rev.])),""),1),6)</f>
        <v>43040</v>
      </c>
    </row>
    <row r="149" spans="1:19" ht="18" customHeight="1" x14ac:dyDescent="0.45">
      <c r="A149" s="64">
        <v>144</v>
      </c>
      <c r="B149" s="49" t="s">
        <v>57</v>
      </c>
      <c r="C149" s="65" t="s">
        <v>643</v>
      </c>
      <c r="D149" s="66" t="s">
        <v>644</v>
      </c>
      <c r="E149" s="65" t="s">
        <v>645</v>
      </c>
      <c r="F149" s="66" t="s">
        <v>6</v>
      </c>
      <c r="G149" s="67">
        <v>42845</v>
      </c>
      <c r="H149" s="67">
        <v>42936</v>
      </c>
      <c r="I149" s="67">
        <v>43034</v>
      </c>
      <c r="J149" s="66" t="s">
        <v>646</v>
      </c>
      <c r="K149" s="66" t="s">
        <v>7</v>
      </c>
      <c r="L149" s="66" t="s">
        <v>62</v>
      </c>
      <c r="M149" s="67" t="s">
        <v>155</v>
      </c>
      <c r="N149" s="66" t="s">
        <v>647</v>
      </c>
      <c r="O149" s="66" t="s">
        <v>7</v>
      </c>
      <c r="P149" s="66" t="s">
        <v>62</v>
      </c>
      <c r="Q149" s="66" t="s">
        <v>5002</v>
      </c>
      <c r="R149" s="67" cm="1">
        <f t="array" aca="1" ref="R149" ca="1">_xlfn.CHOOSECOLS(_xlfn.CHOOSEROWS(_xlfn._xlws.FILTER(표2[],표2[DWG No.]=C149,""),1),6)</f>
        <v>42874</v>
      </c>
      <c r="S149" s="67" cm="1">
        <f t="array" aca="1" ref="S149" ca="1">_xlfn.CHOOSECOLS(_xlfn.CHOOSEROWS(_xlfn._xlws.FILTER(표2[],(표2[DWG No.]=C149)*(ISNUMBER(표2[Rev.])),""),1),6)</f>
        <v>43034</v>
      </c>
    </row>
    <row r="150" spans="1:19" ht="18" customHeight="1" x14ac:dyDescent="0.45">
      <c r="A150" s="64">
        <v>145</v>
      </c>
      <c r="B150" s="49" t="s">
        <v>57</v>
      </c>
      <c r="C150" s="65" t="s">
        <v>648</v>
      </c>
      <c r="D150" s="66" t="s">
        <v>649</v>
      </c>
      <c r="E150" s="65" t="s">
        <v>650</v>
      </c>
      <c r="F150" s="66" t="s">
        <v>6</v>
      </c>
      <c r="G150" s="67">
        <v>42845</v>
      </c>
      <c r="H150" s="67">
        <v>42936</v>
      </c>
      <c r="I150" s="67">
        <v>43066</v>
      </c>
      <c r="J150" s="66" t="s">
        <v>651</v>
      </c>
      <c r="K150" s="66" t="s">
        <v>7</v>
      </c>
      <c r="L150" s="66" t="s">
        <v>89</v>
      </c>
      <c r="M150" s="67" t="s">
        <v>527</v>
      </c>
      <c r="N150" s="66" t="s">
        <v>652</v>
      </c>
      <c r="O150" s="66" t="s">
        <v>7</v>
      </c>
      <c r="P150" s="66" t="s">
        <v>89</v>
      </c>
      <c r="Q150" s="66" t="s">
        <v>5002</v>
      </c>
      <c r="R150" s="67" cm="1">
        <f t="array" aca="1" ref="R150" ca="1">_xlfn.CHOOSECOLS(_xlfn.CHOOSEROWS(_xlfn._xlws.FILTER(표2[],표2[DWG No.]=C150,""),1),6)</f>
        <v>42874</v>
      </c>
      <c r="S150" s="67" cm="1">
        <f t="array" aca="1" ref="S150" ca="1">_xlfn.CHOOSECOLS(_xlfn.CHOOSEROWS(_xlfn._xlws.FILTER(표2[],(표2[DWG No.]=C150)*(ISNUMBER(표2[Rev.])),""),1),6)</f>
        <v>42962</v>
      </c>
    </row>
    <row r="151" spans="1:19" ht="18" customHeight="1" x14ac:dyDescent="0.45">
      <c r="A151" s="64">
        <v>146</v>
      </c>
      <c r="B151" s="49" t="s">
        <v>57</v>
      </c>
      <c r="C151" s="65" t="s">
        <v>653</v>
      </c>
      <c r="D151" s="66" t="s">
        <v>654</v>
      </c>
      <c r="E151" s="65" t="s">
        <v>655</v>
      </c>
      <c r="F151" s="66" t="s">
        <v>5</v>
      </c>
      <c r="G151" s="67">
        <v>42845</v>
      </c>
      <c r="H151" s="67">
        <v>42936</v>
      </c>
      <c r="I151" s="67">
        <v>43040</v>
      </c>
      <c r="J151" s="66" t="s">
        <v>656</v>
      </c>
      <c r="K151" s="66" t="s">
        <v>7</v>
      </c>
      <c r="L151" s="66" t="s">
        <v>89</v>
      </c>
      <c r="M151" s="67" t="s">
        <v>155</v>
      </c>
      <c r="N151" s="66" t="s">
        <v>657</v>
      </c>
      <c r="O151" s="66" t="s">
        <v>7</v>
      </c>
      <c r="P151" s="66" t="s">
        <v>89</v>
      </c>
      <c r="Q151" s="66" t="s">
        <v>5002</v>
      </c>
      <c r="R151" s="67" cm="1">
        <f t="array" aca="1" ref="R151" ca="1">_xlfn.CHOOSECOLS(_xlfn.CHOOSEROWS(_xlfn._xlws.FILTER(표2[],표2[DWG No.]=C151,""),1),6)</f>
        <v>42874</v>
      </c>
      <c r="S151" s="67" cm="1">
        <f t="array" aca="1" ref="S151" ca="1">_xlfn.CHOOSECOLS(_xlfn.CHOOSEROWS(_xlfn._xlws.FILTER(표2[],(표2[DWG No.]=C151)*(ISNUMBER(표2[Rev.])),""),1),6)</f>
        <v>42962</v>
      </c>
    </row>
    <row r="152" spans="1:19" ht="18" customHeight="1" x14ac:dyDescent="0.45">
      <c r="A152" s="64">
        <v>147</v>
      </c>
      <c r="B152" s="49" t="s">
        <v>57</v>
      </c>
      <c r="C152" s="65" t="s">
        <v>658</v>
      </c>
      <c r="D152" s="66" t="s">
        <v>659</v>
      </c>
      <c r="E152" s="65" t="s">
        <v>660</v>
      </c>
      <c r="F152" s="66" t="s">
        <v>6</v>
      </c>
      <c r="G152" s="67">
        <v>42875</v>
      </c>
      <c r="H152" s="67">
        <v>42967</v>
      </c>
      <c r="I152" s="67">
        <v>42968</v>
      </c>
      <c r="J152" s="66" t="s">
        <v>661</v>
      </c>
      <c r="K152" s="66" t="s">
        <v>7</v>
      </c>
      <c r="L152" s="66" t="s">
        <v>62</v>
      </c>
      <c r="M152" s="67" t="s">
        <v>221</v>
      </c>
      <c r="N152" s="66" t="s">
        <v>81</v>
      </c>
      <c r="O152" s="66" t="s">
        <v>7</v>
      </c>
      <c r="P152" s="66" t="s">
        <v>62</v>
      </c>
      <c r="Q152" s="66" t="s">
        <v>5002</v>
      </c>
      <c r="R152" s="67" cm="1">
        <f t="array" aca="1" ref="R152" ca="1">_xlfn.CHOOSECOLS(_xlfn.CHOOSEROWS(_xlfn._xlws.FILTER(표2[],표2[DWG No.]=C152,""),1),6)</f>
        <v>42881</v>
      </c>
      <c r="S152" s="67" cm="1">
        <f t="array" aca="1" ref="S152" ca="1">_xlfn.CHOOSECOLS(_xlfn.CHOOSEROWS(_xlfn._xlws.FILTER(표2[],(표2[DWG No.]=C152)*(ISNUMBER(표2[Rev.])),""),1),6)</f>
        <v>42968</v>
      </c>
    </row>
    <row r="153" spans="1:19" ht="18" customHeight="1" x14ac:dyDescent="0.45">
      <c r="A153" s="64">
        <v>148</v>
      </c>
      <c r="B153" s="49" t="s">
        <v>57</v>
      </c>
      <c r="C153" s="65" t="s">
        <v>662</v>
      </c>
      <c r="D153" s="66" t="s">
        <v>663</v>
      </c>
      <c r="E153" s="65" t="s">
        <v>664</v>
      </c>
      <c r="F153" s="66" t="s">
        <v>6</v>
      </c>
      <c r="G153" s="67">
        <v>42906</v>
      </c>
      <c r="H153" s="67">
        <v>42998</v>
      </c>
      <c r="I153" s="67">
        <v>43040</v>
      </c>
      <c r="J153" s="66" t="s">
        <v>656</v>
      </c>
      <c r="K153" s="66" t="s">
        <v>7</v>
      </c>
      <c r="L153" s="66" t="s">
        <v>89</v>
      </c>
      <c r="M153" s="67" t="s">
        <v>155</v>
      </c>
      <c r="N153" s="66" t="s">
        <v>665</v>
      </c>
      <c r="O153" s="66" t="s">
        <v>7</v>
      </c>
      <c r="P153" s="66" t="s">
        <v>89</v>
      </c>
      <c r="Q153" s="66" t="s">
        <v>5002</v>
      </c>
      <c r="R153" s="67" cm="1">
        <f t="array" aca="1" ref="R153" ca="1">_xlfn.CHOOSECOLS(_xlfn.CHOOSEROWS(_xlfn._xlws.FILTER(표2[],표2[DWG No.]=C153,""),1),6)</f>
        <v>42922</v>
      </c>
      <c r="S153" s="67" cm="1">
        <f t="array" aca="1" ref="S153" ca="1">_xlfn.CHOOSECOLS(_xlfn.CHOOSEROWS(_xlfn._xlws.FILTER(표2[],(표2[DWG No.]=C153)*(ISNUMBER(표2[Rev.])),""),1),6)</f>
        <v>42970</v>
      </c>
    </row>
    <row r="154" spans="1:19" ht="18" customHeight="1" x14ac:dyDescent="0.45">
      <c r="A154" s="64">
        <v>149</v>
      </c>
      <c r="B154" s="49" t="s">
        <v>57</v>
      </c>
      <c r="C154" s="65" t="s">
        <v>666</v>
      </c>
      <c r="D154" s="66" t="s">
        <v>667</v>
      </c>
      <c r="E154" s="65" t="s">
        <v>668</v>
      </c>
      <c r="F154" s="66" t="s">
        <v>5</v>
      </c>
      <c r="G154" s="67">
        <v>42875</v>
      </c>
      <c r="H154" s="67">
        <v>42967</v>
      </c>
      <c r="I154" s="67">
        <v>42968</v>
      </c>
      <c r="J154" s="66" t="s">
        <v>661</v>
      </c>
      <c r="K154" s="66" t="s">
        <v>7</v>
      </c>
      <c r="L154" s="66" t="s">
        <v>62</v>
      </c>
      <c r="M154" s="67" t="s">
        <v>221</v>
      </c>
      <c r="N154" s="66" t="s">
        <v>81</v>
      </c>
      <c r="O154" s="66" t="s">
        <v>7</v>
      </c>
      <c r="P154" s="66" t="s">
        <v>62</v>
      </c>
      <c r="Q154" s="66" t="s">
        <v>5002</v>
      </c>
      <c r="R154" s="67" cm="1">
        <f t="array" aca="1" ref="R154" ca="1">_xlfn.CHOOSECOLS(_xlfn.CHOOSEROWS(_xlfn._xlws.FILTER(표2[],표2[DWG No.]=C154,""),1),6)</f>
        <v>42881</v>
      </c>
      <c r="S154" s="67" cm="1">
        <f t="array" aca="1" ref="S154" ca="1">_xlfn.CHOOSECOLS(_xlfn.CHOOSEROWS(_xlfn._xlws.FILTER(표2[],(표2[DWG No.]=C154)*(ISNUMBER(표2[Rev.])),""),1),6)</f>
        <v>42968</v>
      </c>
    </row>
    <row r="155" spans="1:19" ht="18" customHeight="1" x14ac:dyDescent="0.45">
      <c r="A155" s="64">
        <v>150</v>
      </c>
      <c r="B155" s="49" t="s">
        <v>57</v>
      </c>
      <c r="C155" s="65" t="s">
        <v>669</v>
      </c>
      <c r="D155" s="66" t="s">
        <v>670</v>
      </c>
      <c r="E155" s="65" t="s">
        <v>671</v>
      </c>
      <c r="F155" s="66" t="s">
        <v>5</v>
      </c>
      <c r="G155" s="67">
        <v>42906</v>
      </c>
      <c r="H155" s="67">
        <v>42998</v>
      </c>
      <c r="I155" s="67">
        <v>43066</v>
      </c>
      <c r="J155" s="66" t="s">
        <v>651</v>
      </c>
      <c r="K155" s="66" t="s">
        <v>7</v>
      </c>
      <c r="L155" s="66" t="s">
        <v>62</v>
      </c>
      <c r="M155" s="67" t="s">
        <v>527</v>
      </c>
      <c r="N155" s="66" t="s">
        <v>672</v>
      </c>
      <c r="O155" s="66" t="s">
        <v>7</v>
      </c>
      <c r="P155" s="66" t="s">
        <v>62</v>
      </c>
      <c r="Q155" s="66" t="s">
        <v>5002</v>
      </c>
      <c r="R155" s="67" cm="1">
        <f t="array" aca="1" ref="R155" ca="1">_xlfn.CHOOSECOLS(_xlfn.CHOOSEROWS(_xlfn._xlws.FILTER(표2[],표2[DWG No.]=C155,""),1),6)</f>
        <v>42922</v>
      </c>
      <c r="S155" s="67" cm="1">
        <f t="array" aca="1" ref="S155" ca="1">_xlfn.CHOOSECOLS(_xlfn.CHOOSEROWS(_xlfn._xlws.FILTER(표2[],(표2[DWG No.]=C155)*(ISNUMBER(표2[Rev.])),""),1),6)</f>
        <v>43066</v>
      </c>
    </row>
    <row r="156" spans="1:19" ht="18" customHeight="1" x14ac:dyDescent="0.45">
      <c r="A156" s="64">
        <v>151</v>
      </c>
      <c r="B156" s="49" t="s">
        <v>57</v>
      </c>
      <c r="C156" s="65" t="s">
        <v>673</v>
      </c>
      <c r="D156" s="66" t="s">
        <v>674</v>
      </c>
      <c r="E156" s="65" t="s">
        <v>675</v>
      </c>
      <c r="F156" s="66" t="s">
        <v>6</v>
      </c>
      <c r="G156" s="67">
        <v>42845</v>
      </c>
      <c r="H156" s="67">
        <v>42936</v>
      </c>
      <c r="I156" s="67">
        <v>42962</v>
      </c>
      <c r="J156" s="66" t="s">
        <v>676</v>
      </c>
      <c r="K156" s="66" t="s">
        <v>7</v>
      </c>
      <c r="L156" s="66" t="s">
        <v>62</v>
      </c>
      <c r="M156" s="67" t="s">
        <v>519</v>
      </c>
      <c r="N156" s="66" t="s">
        <v>81</v>
      </c>
      <c r="O156" s="66" t="s">
        <v>7</v>
      </c>
      <c r="P156" s="66" t="s">
        <v>62</v>
      </c>
      <c r="Q156" s="66" t="s">
        <v>5002</v>
      </c>
      <c r="R156" s="67" cm="1">
        <f t="array" aca="1" ref="R156" ca="1">_xlfn.CHOOSECOLS(_xlfn.CHOOSEROWS(_xlfn._xlws.FILTER(표2[],표2[DWG No.]=C156,""),1),6)</f>
        <v>42874</v>
      </c>
      <c r="S156" s="67" cm="1">
        <f t="array" aca="1" ref="S156" ca="1">_xlfn.CHOOSECOLS(_xlfn.CHOOSEROWS(_xlfn._xlws.FILTER(표2[],(표2[DWG No.]=C156)*(ISNUMBER(표2[Rev.])),""),1),6)</f>
        <v>42962</v>
      </c>
    </row>
    <row r="157" spans="1:19" ht="18" customHeight="1" x14ac:dyDescent="0.45">
      <c r="A157" s="64">
        <v>152</v>
      </c>
      <c r="B157" s="49" t="s">
        <v>57</v>
      </c>
      <c r="C157" s="65" t="s">
        <v>677</v>
      </c>
      <c r="D157" s="66" t="s">
        <v>678</v>
      </c>
      <c r="E157" s="65" t="s">
        <v>679</v>
      </c>
      <c r="F157" s="66" t="s">
        <v>6</v>
      </c>
      <c r="G157" s="67">
        <v>42875</v>
      </c>
      <c r="H157" s="67">
        <v>42998</v>
      </c>
      <c r="I157" s="67">
        <v>43040</v>
      </c>
      <c r="J157" s="66" t="s">
        <v>656</v>
      </c>
      <c r="K157" s="66" t="s">
        <v>7</v>
      </c>
      <c r="L157" s="66" t="s">
        <v>62</v>
      </c>
      <c r="M157" s="67" t="s">
        <v>155</v>
      </c>
      <c r="N157" s="66" t="s">
        <v>680</v>
      </c>
      <c r="O157" s="66" t="s">
        <v>7</v>
      </c>
      <c r="P157" s="66" t="s">
        <v>62</v>
      </c>
      <c r="Q157" s="66" t="s">
        <v>5002</v>
      </c>
      <c r="R157" s="67" cm="1">
        <f t="array" aca="1" ref="R157" ca="1">_xlfn.CHOOSECOLS(_xlfn.CHOOSEROWS(_xlfn._xlws.FILTER(표2[],표2[DWG No.]=C157,""),1),6)</f>
        <v>42881</v>
      </c>
      <c r="S157" s="67" cm="1">
        <f t="array" aca="1" ref="S157" ca="1">_xlfn.CHOOSECOLS(_xlfn.CHOOSEROWS(_xlfn._xlws.FILTER(표2[],(표2[DWG No.]=C157)*(ISNUMBER(표2[Rev.])),""),1),6)</f>
        <v>43040</v>
      </c>
    </row>
    <row r="158" spans="1:19" ht="18" customHeight="1" x14ac:dyDescent="0.45">
      <c r="A158" s="64">
        <v>153</v>
      </c>
      <c r="B158" s="49" t="s">
        <v>57</v>
      </c>
      <c r="C158" s="65" t="s">
        <v>681</v>
      </c>
      <c r="D158" s="66" t="s">
        <v>682</v>
      </c>
      <c r="E158" s="65" t="s">
        <v>683</v>
      </c>
      <c r="F158" s="66" t="s">
        <v>5</v>
      </c>
      <c r="G158" s="67">
        <v>42906</v>
      </c>
      <c r="H158" s="67">
        <v>43028</v>
      </c>
      <c r="I158" s="67">
        <v>43034</v>
      </c>
      <c r="J158" s="66" t="s">
        <v>684</v>
      </c>
      <c r="K158" s="66" t="s">
        <v>7</v>
      </c>
      <c r="L158" s="66" t="s">
        <v>62</v>
      </c>
      <c r="M158" s="67" t="s">
        <v>90</v>
      </c>
      <c r="N158" s="66" t="s">
        <v>685</v>
      </c>
      <c r="O158" s="66" t="s">
        <v>7</v>
      </c>
      <c r="P158" s="66" t="s">
        <v>62</v>
      </c>
      <c r="Q158" s="66" t="s">
        <v>5002</v>
      </c>
      <c r="R158" s="67" cm="1">
        <f t="array" aca="1" ref="R158" ca="1">_xlfn.CHOOSECOLS(_xlfn.CHOOSEROWS(_xlfn._xlws.FILTER(표2[],표2[DWG No.]=C158,""),1),6)</f>
        <v>42928</v>
      </c>
      <c r="S158" s="67" cm="1">
        <f t="array" aca="1" ref="S158" ca="1">_xlfn.CHOOSECOLS(_xlfn.CHOOSEROWS(_xlfn._xlws.FILTER(표2[],(표2[DWG No.]=C158)*(ISNUMBER(표2[Rev.])),""),1),6)</f>
        <v>43034</v>
      </c>
    </row>
    <row r="159" spans="1:19" ht="18" customHeight="1" x14ac:dyDescent="0.45">
      <c r="A159" s="64">
        <v>154</v>
      </c>
      <c r="B159" s="49" t="s">
        <v>57</v>
      </c>
      <c r="C159" s="65" t="s">
        <v>686</v>
      </c>
      <c r="D159" s="66" t="s">
        <v>687</v>
      </c>
      <c r="E159" s="65" t="s">
        <v>688</v>
      </c>
      <c r="F159" s="66" t="s">
        <v>5</v>
      </c>
      <c r="G159" s="67">
        <v>42906</v>
      </c>
      <c r="H159" s="67">
        <v>43028</v>
      </c>
      <c r="I159" s="67">
        <v>43066</v>
      </c>
      <c r="J159" s="66" t="s">
        <v>651</v>
      </c>
      <c r="K159" s="66" t="s">
        <v>7</v>
      </c>
      <c r="L159" s="66" t="s">
        <v>62</v>
      </c>
      <c r="M159" s="67" t="s">
        <v>527</v>
      </c>
      <c r="N159" s="66" t="s">
        <v>689</v>
      </c>
      <c r="O159" s="66" t="s">
        <v>7</v>
      </c>
      <c r="P159" s="66" t="s">
        <v>62</v>
      </c>
      <c r="Q159" s="66" t="s">
        <v>5002</v>
      </c>
      <c r="R159" s="67" cm="1">
        <f t="array" aca="1" ref="R159" ca="1">_xlfn.CHOOSECOLS(_xlfn.CHOOSEROWS(_xlfn._xlws.FILTER(표2[],표2[DWG No.]=C159,""),1),6)</f>
        <v>42928</v>
      </c>
      <c r="S159" s="67" cm="1">
        <f t="array" aca="1" ref="S159" ca="1">_xlfn.CHOOSECOLS(_xlfn.CHOOSEROWS(_xlfn._xlws.FILTER(표2[],(표2[DWG No.]=C159)*(ISNUMBER(표2[Rev.])),""),1),6)</f>
        <v>43066</v>
      </c>
    </row>
    <row r="160" spans="1:19" ht="18" customHeight="1" x14ac:dyDescent="0.45">
      <c r="A160" s="64">
        <v>155</v>
      </c>
      <c r="B160" s="49" t="s">
        <v>57</v>
      </c>
      <c r="C160" s="65" t="s">
        <v>690</v>
      </c>
      <c r="D160" s="66" t="s">
        <v>691</v>
      </c>
      <c r="E160" s="65" t="s">
        <v>692</v>
      </c>
      <c r="F160" s="66" t="s">
        <v>5</v>
      </c>
      <c r="G160" s="67">
        <v>42906</v>
      </c>
      <c r="H160" s="67">
        <v>43028</v>
      </c>
      <c r="I160" s="67">
        <v>43034</v>
      </c>
      <c r="J160" s="66" t="s">
        <v>684</v>
      </c>
      <c r="K160" s="66" t="s">
        <v>7</v>
      </c>
      <c r="L160" s="66" t="s">
        <v>62</v>
      </c>
      <c r="M160" s="67" t="s">
        <v>90</v>
      </c>
      <c r="N160" s="66" t="s">
        <v>693</v>
      </c>
      <c r="O160" s="66" t="s">
        <v>7</v>
      </c>
      <c r="P160" s="66" t="s">
        <v>62</v>
      </c>
      <c r="Q160" s="66" t="s">
        <v>5002</v>
      </c>
      <c r="R160" s="67" cm="1">
        <f t="array" aca="1" ref="R160" ca="1">_xlfn.CHOOSECOLS(_xlfn.CHOOSEROWS(_xlfn._xlws.FILTER(표2[],표2[DWG No.]=C160,""),1),6)</f>
        <v>42922</v>
      </c>
      <c r="S160" s="67" cm="1">
        <f t="array" aca="1" ref="S160" ca="1">_xlfn.CHOOSECOLS(_xlfn.CHOOSEROWS(_xlfn._xlws.FILTER(표2[],(표2[DWG No.]=C160)*(ISNUMBER(표2[Rev.])),""),1),6)</f>
        <v>43034</v>
      </c>
    </row>
    <row r="161" spans="1:19" ht="18" customHeight="1" x14ac:dyDescent="0.45">
      <c r="A161" s="64">
        <v>156</v>
      </c>
      <c r="B161" s="49" t="s">
        <v>57</v>
      </c>
      <c r="C161" s="65" t="s">
        <v>694</v>
      </c>
      <c r="D161" s="66" t="s">
        <v>695</v>
      </c>
      <c r="E161" s="65" t="s">
        <v>696</v>
      </c>
      <c r="F161" s="66" t="s">
        <v>6</v>
      </c>
      <c r="G161" s="67">
        <v>43122</v>
      </c>
      <c r="H161" s="67">
        <v>43212</v>
      </c>
      <c r="I161" s="67">
        <v>43375</v>
      </c>
      <c r="J161" s="66" t="s">
        <v>2472</v>
      </c>
      <c r="K161" s="66" t="s">
        <v>7</v>
      </c>
      <c r="L161" s="66" t="s">
        <v>89</v>
      </c>
      <c r="M161" s="67" t="s">
        <v>2436</v>
      </c>
      <c r="N161" s="66" t="s">
        <v>2473</v>
      </c>
      <c r="O161" s="66" t="s">
        <v>7</v>
      </c>
      <c r="P161" s="66" t="s">
        <v>89</v>
      </c>
      <c r="Q161" s="66" t="s">
        <v>65</v>
      </c>
      <c r="R161" s="67" cm="1">
        <f t="array" aca="1" ref="R161" ca="1">_xlfn.CHOOSECOLS(_xlfn.CHOOSEROWS(_xlfn._xlws.FILTER(표2[],표2[DWG No.]=C161,""),1),6)</f>
        <v>43160</v>
      </c>
      <c r="S161" s="67" cm="1">
        <f t="array" aca="1" ref="S161" ca="1">_xlfn.CHOOSECOLS(_xlfn.CHOOSEROWS(_xlfn._xlws.FILTER(표2[],(표2[DWG No.]=C161)*(ISNUMBER(표2[Rev.])),""),1),6)</f>
        <v>43215</v>
      </c>
    </row>
    <row r="162" spans="1:19" ht="18" customHeight="1" x14ac:dyDescent="0.45">
      <c r="A162" s="64">
        <v>157</v>
      </c>
      <c r="B162" s="49" t="s">
        <v>57</v>
      </c>
      <c r="C162" s="65" t="s">
        <v>697</v>
      </c>
      <c r="D162" s="66" t="s">
        <v>698</v>
      </c>
      <c r="E162" s="65" t="s">
        <v>699</v>
      </c>
      <c r="F162" s="66" t="s">
        <v>5</v>
      </c>
      <c r="G162" s="67">
        <v>42972</v>
      </c>
      <c r="H162" s="67">
        <v>43033</v>
      </c>
      <c r="I162" s="67">
        <v>43084</v>
      </c>
      <c r="J162" s="66" t="s">
        <v>700</v>
      </c>
      <c r="K162" s="66" t="s">
        <v>7</v>
      </c>
      <c r="L162" s="66" t="s">
        <v>89</v>
      </c>
      <c r="M162" s="67" t="s">
        <v>155</v>
      </c>
      <c r="N162" s="66" t="s">
        <v>701</v>
      </c>
      <c r="O162" s="66" t="s">
        <v>7</v>
      </c>
      <c r="P162" s="66" t="s">
        <v>89</v>
      </c>
      <c r="Q162" s="66" t="s">
        <v>5002</v>
      </c>
      <c r="R162" s="67" cm="1">
        <f t="array" aca="1" ref="R162" ca="1">_xlfn.CHOOSECOLS(_xlfn.CHOOSEROWS(_xlfn._xlws.FILTER(표2[],표2[DWG No.]=C162,""),1),6)</f>
        <v>43018</v>
      </c>
      <c r="S162" s="67" cm="1">
        <f t="array" aca="1" ref="S162" ca="1">_xlfn.CHOOSECOLS(_xlfn.CHOOSEROWS(_xlfn._xlws.FILTER(표2[],(표2[DWG No.]=C162)*(ISNUMBER(표2[Rev.])),""),1),6)</f>
        <v>43040</v>
      </c>
    </row>
    <row r="163" spans="1:19" ht="18" customHeight="1" x14ac:dyDescent="0.45">
      <c r="A163" s="64">
        <v>158</v>
      </c>
      <c r="B163" s="49" t="s">
        <v>57</v>
      </c>
      <c r="C163" s="65" t="s">
        <v>702</v>
      </c>
      <c r="D163" s="66" t="s">
        <v>703</v>
      </c>
      <c r="E163" s="65" t="s">
        <v>704</v>
      </c>
      <c r="F163" s="66" t="s">
        <v>6</v>
      </c>
      <c r="G163" s="67">
        <v>42845</v>
      </c>
      <c r="H163" s="67">
        <v>42936</v>
      </c>
      <c r="I163" s="67">
        <v>43040</v>
      </c>
      <c r="J163" s="66" t="s">
        <v>705</v>
      </c>
      <c r="K163" s="66" t="s">
        <v>7</v>
      </c>
      <c r="L163" s="66" t="s">
        <v>62</v>
      </c>
      <c r="M163" s="67" t="s">
        <v>155</v>
      </c>
      <c r="N163" s="66" t="s">
        <v>706</v>
      </c>
      <c r="O163" s="66" t="s">
        <v>7</v>
      </c>
      <c r="P163" s="66" t="s">
        <v>62</v>
      </c>
      <c r="Q163" s="66" t="s">
        <v>5002</v>
      </c>
      <c r="R163" s="67" cm="1">
        <f t="array" aca="1" ref="R163" ca="1">_xlfn.CHOOSECOLS(_xlfn.CHOOSEROWS(_xlfn._xlws.FILTER(표2[],표2[DWG No.]=C163,""),1),6)</f>
        <v>42874</v>
      </c>
      <c r="S163" s="67" cm="1">
        <f t="array" aca="1" ref="S163" ca="1">_xlfn.CHOOSECOLS(_xlfn.CHOOSEROWS(_xlfn._xlws.FILTER(표2[],(표2[DWG No.]=C163)*(ISNUMBER(표2[Rev.])),""),1),6)</f>
        <v>43040</v>
      </c>
    </row>
    <row r="164" spans="1:19" ht="18" customHeight="1" x14ac:dyDescent="0.45">
      <c r="A164" s="64">
        <v>159</v>
      </c>
      <c r="B164" s="49" t="s">
        <v>57</v>
      </c>
      <c r="C164" s="65" t="s">
        <v>707</v>
      </c>
      <c r="D164" s="66" t="s">
        <v>708</v>
      </c>
      <c r="E164" s="65" t="s">
        <v>709</v>
      </c>
      <c r="F164" s="66" t="s">
        <v>6</v>
      </c>
      <c r="G164" s="67">
        <v>42875</v>
      </c>
      <c r="H164" s="67">
        <v>42967</v>
      </c>
      <c r="I164" s="67">
        <v>43040</v>
      </c>
      <c r="J164" s="66" t="s">
        <v>705</v>
      </c>
      <c r="K164" s="66" t="s">
        <v>7</v>
      </c>
      <c r="L164" s="66" t="s">
        <v>62</v>
      </c>
      <c r="M164" s="67" t="s">
        <v>155</v>
      </c>
      <c r="N164" s="66" t="s">
        <v>710</v>
      </c>
      <c r="O164" s="66" t="s">
        <v>7</v>
      </c>
      <c r="P164" s="66" t="s">
        <v>62</v>
      </c>
      <c r="Q164" s="66" t="s">
        <v>5002</v>
      </c>
      <c r="R164" s="67" cm="1">
        <f t="array" aca="1" ref="R164" ca="1">_xlfn.CHOOSECOLS(_xlfn.CHOOSEROWS(_xlfn._xlws.FILTER(표2[],표2[DWG No.]=C164,""),1),6)</f>
        <v>42885</v>
      </c>
      <c r="S164" s="67" cm="1">
        <f t="array" aca="1" ref="S164" ca="1">_xlfn.CHOOSECOLS(_xlfn.CHOOSEROWS(_xlfn._xlws.FILTER(표2[],(표2[DWG No.]=C164)*(ISNUMBER(표2[Rev.])),""),1),6)</f>
        <v>43040</v>
      </c>
    </row>
    <row r="165" spans="1:19" ht="18" customHeight="1" x14ac:dyDescent="0.45">
      <c r="A165" s="64">
        <v>160</v>
      </c>
      <c r="B165" s="49" t="s">
        <v>57</v>
      </c>
      <c r="C165" s="65" t="s">
        <v>711</v>
      </c>
      <c r="D165" s="66" t="s">
        <v>712</v>
      </c>
      <c r="E165" s="65" t="s">
        <v>713</v>
      </c>
      <c r="F165" s="66" t="s">
        <v>6</v>
      </c>
      <c r="G165" s="67">
        <v>42845</v>
      </c>
      <c r="H165" s="67">
        <v>42936</v>
      </c>
      <c r="I165" s="67">
        <v>43052</v>
      </c>
      <c r="J165" s="66" t="s">
        <v>714</v>
      </c>
      <c r="K165" s="66" t="s">
        <v>7</v>
      </c>
      <c r="L165" s="66" t="s">
        <v>62</v>
      </c>
      <c r="M165" s="67" t="s">
        <v>715</v>
      </c>
      <c r="N165" s="66" t="s">
        <v>716</v>
      </c>
      <c r="O165" s="66" t="s">
        <v>7</v>
      </c>
      <c r="P165" s="66" t="s">
        <v>62</v>
      </c>
      <c r="Q165" s="66" t="s">
        <v>5003</v>
      </c>
      <c r="R165" s="67" cm="1">
        <f t="array" aca="1" ref="R165" ca="1">_xlfn.CHOOSECOLS(_xlfn.CHOOSEROWS(_xlfn._xlws.FILTER(표2[],표2[DWG No.]=C165,""),1),6)</f>
        <v>42874</v>
      </c>
      <c r="S165" s="67" cm="1">
        <f t="array" aca="1" ref="S165" ca="1">_xlfn.CHOOSECOLS(_xlfn.CHOOSEROWS(_xlfn._xlws.FILTER(표2[],(표2[DWG No.]=C165)*(ISNUMBER(표2[Rev.])),""),1),6)</f>
        <v>43052</v>
      </c>
    </row>
    <row r="166" spans="1:19" ht="18" customHeight="1" x14ac:dyDescent="0.45">
      <c r="A166" s="64">
        <v>161</v>
      </c>
      <c r="B166" s="49" t="s">
        <v>57</v>
      </c>
      <c r="C166" s="65" t="s">
        <v>717</v>
      </c>
      <c r="D166" s="66" t="s">
        <v>718</v>
      </c>
      <c r="E166" s="65" t="s">
        <v>719</v>
      </c>
      <c r="F166" s="66" t="s">
        <v>6</v>
      </c>
      <c r="G166" s="67">
        <v>42875</v>
      </c>
      <c r="H166" s="67">
        <v>42967</v>
      </c>
      <c r="I166" s="67">
        <v>43003</v>
      </c>
      <c r="J166" s="66" t="s">
        <v>720</v>
      </c>
      <c r="K166" s="66" t="s">
        <v>7</v>
      </c>
      <c r="L166" s="66" t="s">
        <v>62</v>
      </c>
      <c r="M166" s="67" t="s">
        <v>74</v>
      </c>
      <c r="N166" s="66" t="s">
        <v>721</v>
      </c>
      <c r="O166" s="66" t="s">
        <v>7</v>
      </c>
      <c r="P166" s="66" t="s">
        <v>62</v>
      </c>
      <c r="Q166" s="66" t="s">
        <v>5002</v>
      </c>
      <c r="R166" s="67" cm="1">
        <f t="array" aca="1" ref="R166" ca="1">_xlfn.CHOOSECOLS(_xlfn.CHOOSEROWS(_xlfn._xlws.FILTER(표2[],표2[DWG No.]=C166,""),1),6)</f>
        <v>42885</v>
      </c>
      <c r="S166" s="67" cm="1">
        <f t="array" aca="1" ref="S166" ca="1">_xlfn.CHOOSECOLS(_xlfn.CHOOSEROWS(_xlfn._xlws.FILTER(표2[],(표2[DWG No.]=C166)*(ISNUMBER(표2[Rev.])),""),1),6)</f>
        <v>43003</v>
      </c>
    </row>
    <row r="167" spans="1:19" ht="18" customHeight="1" x14ac:dyDescent="0.45">
      <c r="A167" s="64">
        <v>162</v>
      </c>
      <c r="B167" s="49" t="s">
        <v>57</v>
      </c>
      <c r="C167" s="65" t="s">
        <v>722</v>
      </c>
      <c r="D167" s="66" t="s">
        <v>723</v>
      </c>
      <c r="E167" s="65" t="s">
        <v>724</v>
      </c>
      <c r="F167" s="66" t="s">
        <v>6</v>
      </c>
      <c r="G167" s="67">
        <v>42845</v>
      </c>
      <c r="H167" s="67">
        <v>42936</v>
      </c>
      <c r="I167" s="67">
        <v>43040</v>
      </c>
      <c r="J167" s="66" t="s">
        <v>705</v>
      </c>
      <c r="K167" s="66" t="s">
        <v>7</v>
      </c>
      <c r="L167" s="66" t="s">
        <v>62</v>
      </c>
      <c r="M167" s="67" t="s">
        <v>155</v>
      </c>
      <c r="N167" s="66" t="s">
        <v>725</v>
      </c>
      <c r="O167" s="66" t="s">
        <v>7</v>
      </c>
      <c r="P167" s="66" t="s">
        <v>62</v>
      </c>
      <c r="Q167" s="66" t="s">
        <v>5002</v>
      </c>
      <c r="R167" s="67" cm="1">
        <f t="array" aca="1" ref="R167" ca="1">_xlfn.CHOOSECOLS(_xlfn.CHOOSEROWS(_xlfn._xlws.FILTER(표2[],표2[DWG No.]=C167,""),1),6)</f>
        <v>42874</v>
      </c>
      <c r="S167" s="67" cm="1">
        <f t="array" aca="1" ref="S167" ca="1">_xlfn.CHOOSECOLS(_xlfn.CHOOSEROWS(_xlfn._xlws.FILTER(표2[],(표2[DWG No.]=C167)*(ISNUMBER(표2[Rev.])),""),1),6)</f>
        <v>43040</v>
      </c>
    </row>
    <row r="168" spans="1:19" ht="18" customHeight="1" x14ac:dyDescent="0.45">
      <c r="A168" s="64">
        <v>163</v>
      </c>
      <c r="B168" s="49" t="s">
        <v>57</v>
      </c>
      <c r="C168" s="65" t="s">
        <v>726</v>
      </c>
      <c r="D168" s="66" t="s">
        <v>727</v>
      </c>
      <c r="E168" s="65" t="s">
        <v>728</v>
      </c>
      <c r="F168" s="66" t="s">
        <v>6</v>
      </c>
      <c r="G168" s="67">
        <v>42906</v>
      </c>
      <c r="H168" s="67">
        <v>43028</v>
      </c>
      <c r="I168" s="67">
        <v>43034</v>
      </c>
      <c r="J168" s="66" t="s">
        <v>729</v>
      </c>
      <c r="K168" s="66" t="s">
        <v>7</v>
      </c>
      <c r="L168" s="66" t="s">
        <v>62</v>
      </c>
      <c r="M168" s="67" t="s">
        <v>90</v>
      </c>
      <c r="N168" s="66" t="s">
        <v>730</v>
      </c>
      <c r="O168" s="66" t="s">
        <v>7</v>
      </c>
      <c r="P168" s="66" t="s">
        <v>62</v>
      </c>
      <c r="Q168" s="66" t="s">
        <v>5002</v>
      </c>
      <c r="R168" s="67" cm="1">
        <f t="array" aca="1" ref="R168" ca="1">_xlfn.CHOOSECOLS(_xlfn.CHOOSEROWS(_xlfn._xlws.FILTER(표2[],표2[DWG No.]=C168,""),1),6)</f>
        <v>42944</v>
      </c>
      <c r="S168" s="67" cm="1">
        <f t="array" aca="1" ref="S168" ca="1">_xlfn.CHOOSECOLS(_xlfn.CHOOSEROWS(_xlfn._xlws.FILTER(표2[],(표2[DWG No.]=C168)*(ISNUMBER(표2[Rev.])),""),1),6)</f>
        <v>43034</v>
      </c>
    </row>
    <row r="169" spans="1:19" ht="18" customHeight="1" x14ac:dyDescent="0.45">
      <c r="A169" s="64">
        <v>164</v>
      </c>
      <c r="B169" s="49" t="s">
        <v>57</v>
      </c>
      <c r="C169" s="65" t="s">
        <v>731</v>
      </c>
      <c r="D169" s="66" t="s">
        <v>732</v>
      </c>
      <c r="E169" s="65" t="s">
        <v>733</v>
      </c>
      <c r="F169" s="66" t="s">
        <v>6</v>
      </c>
      <c r="G169" s="67">
        <v>42906</v>
      </c>
      <c r="H169" s="67">
        <v>42998</v>
      </c>
      <c r="I169" s="67">
        <v>43003</v>
      </c>
      <c r="J169" s="66" t="s">
        <v>734</v>
      </c>
      <c r="K169" s="66" t="s">
        <v>7</v>
      </c>
      <c r="L169" s="66" t="s">
        <v>62</v>
      </c>
      <c r="M169" s="67" t="s">
        <v>74</v>
      </c>
      <c r="N169" s="66" t="s">
        <v>735</v>
      </c>
      <c r="O169" s="66" t="s">
        <v>7</v>
      </c>
      <c r="P169" s="66" t="s">
        <v>62</v>
      </c>
      <c r="Q169" s="66" t="s">
        <v>5002</v>
      </c>
      <c r="R169" s="67" cm="1">
        <f t="array" aca="1" ref="R169" ca="1">_xlfn.CHOOSECOLS(_xlfn.CHOOSEROWS(_xlfn._xlws.FILTER(표2[],표2[DWG No.]=C169,""),1),6)</f>
        <v>42944</v>
      </c>
      <c r="S169" s="67" cm="1">
        <f t="array" aca="1" ref="S169" ca="1">_xlfn.CHOOSECOLS(_xlfn.CHOOSEROWS(_xlfn._xlws.FILTER(표2[],(표2[DWG No.]=C169)*(ISNUMBER(표2[Rev.])),""),1),6)</f>
        <v>43003</v>
      </c>
    </row>
    <row r="170" spans="1:19" ht="18" customHeight="1" x14ac:dyDescent="0.45">
      <c r="A170" s="64">
        <v>165</v>
      </c>
      <c r="B170" s="49" t="s">
        <v>57</v>
      </c>
      <c r="C170" s="65" t="s">
        <v>736</v>
      </c>
      <c r="D170" s="66" t="s">
        <v>737</v>
      </c>
      <c r="E170" s="65" t="s">
        <v>738</v>
      </c>
      <c r="F170" s="66" t="s">
        <v>6</v>
      </c>
      <c r="G170" s="67">
        <v>43039</v>
      </c>
      <c r="H170" s="67">
        <v>43069</v>
      </c>
      <c r="I170" s="67">
        <v>43300</v>
      </c>
      <c r="J170" s="66" t="s">
        <v>2474</v>
      </c>
      <c r="K170" s="66" t="s">
        <v>7</v>
      </c>
      <c r="L170" s="66" t="s">
        <v>89</v>
      </c>
      <c r="M170" s="67" t="s">
        <v>2452</v>
      </c>
      <c r="N170" s="66" t="s">
        <v>2475</v>
      </c>
      <c r="O170" s="66" t="s">
        <v>7</v>
      </c>
      <c r="P170" s="66" t="s">
        <v>89</v>
      </c>
      <c r="Q170" s="66" t="s">
        <v>65</v>
      </c>
      <c r="R170" s="67" cm="1">
        <f t="array" aca="1" ref="R170" ca="1">_xlfn.CHOOSECOLS(_xlfn.CHOOSEROWS(_xlfn._xlws.FILTER(표2[],표2[DWG No.]=C170,""),1),6)</f>
        <v>43052</v>
      </c>
      <c r="S170" s="67" cm="1">
        <f t="array" aca="1" ref="S170" ca="1">_xlfn.CHOOSECOLS(_xlfn.CHOOSEROWS(_xlfn._xlws.FILTER(표2[],(표2[DWG No.]=C170)*(ISNUMBER(표2[Rev.])),""),1),6)</f>
        <v>43066</v>
      </c>
    </row>
    <row r="171" spans="1:19" ht="18" customHeight="1" x14ac:dyDescent="0.45">
      <c r="A171" s="64">
        <v>166</v>
      </c>
      <c r="B171" s="49" t="s">
        <v>57</v>
      </c>
      <c r="C171" s="65" t="s">
        <v>739</v>
      </c>
      <c r="D171" s="66" t="s">
        <v>740</v>
      </c>
      <c r="E171" s="65" t="s">
        <v>741</v>
      </c>
      <c r="F171" s="66" t="s">
        <v>5</v>
      </c>
      <c r="G171" s="67">
        <v>43210</v>
      </c>
      <c r="H171" s="67">
        <v>43251</v>
      </c>
      <c r="I171" s="67">
        <v>43328</v>
      </c>
      <c r="J171" s="66" t="s">
        <v>2476</v>
      </c>
      <c r="K171" s="66" t="s">
        <v>7</v>
      </c>
      <c r="L171" s="66" t="s">
        <v>62</v>
      </c>
      <c r="M171" s="67" t="s">
        <v>2458</v>
      </c>
      <c r="N171" s="66" t="s">
        <v>2477</v>
      </c>
      <c r="O171" s="66" t="s">
        <v>7</v>
      </c>
      <c r="P171" s="66" t="s">
        <v>62</v>
      </c>
      <c r="Q171" s="66" t="s">
        <v>65</v>
      </c>
      <c r="R171" s="67" cm="1">
        <f t="array" aca="1" ref="R171" ca="1">_xlfn.CHOOSECOLS(_xlfn.CHOOSEROWS(_xlfn._xlws.FILTER(표2[],표2[DWG No.]=C171,""),1),6)</f>
        <v>43286</v>
      </c>
      <c r="S171" s="67" t="e" cm="1">
        <f t="array" ref="S171">_xlfn.CHOOSECOLS(_xlfn.CHOOSEROWS(_xlfn._xlws.FILTER(표2[],(표2[DWG No.]=C171)*(ISNUMBER(표2[Rev.])),""),1),6)</f>
        <v>#VALUE!</v>
      </c>
    </row>
    <row r="172" spans="1:19" ht="18" customHeight="1" x14ac:dyDescent="0.45">
      <c r="A172" s="64">
        <v>167</v>
      </c>
      <c r="B172" s="49" t="s">
        <v>57</v>
      </c>
      <c r="C172" s="65" t="s">
        <v>742</v>
      </c>
      <c r="D172" s="66" t="s">
        <v>743</v>
      </c>
      <c r="E172" s="65" t="s">
        <v>744</v>
      </c>
      <c r="F172" s="66" t="s">
        <v>6</v>
      </c>
      <c r="G172" s="67">
        <v>42845</v>
      </c>
      <c r="H172" s="67">
        <v>42936</v>
      </c>
      <c r="I172" s="67">
        <v>43040</v>
      </c>
      <c r="J172" s="66" t="s">
        <v>705</v>
      </c>
      <c r="K172" s="66" t="s">
        <v>7</v>
      </c>
      <c r="L172" s="66" t="s">
        <v>62</v>
      </c>
      <c r="M172" s="67" t="s">
        <v>155</v>
      </c>
      <c r="N172" s="66" t="s">
        <v>745</v>
      </c>
      <c r="O172" s="66" t="s">
        <v>7</v>
      </c>
      <c r="P172" s="66" t="s">
        <v>62</v>
      </c>
      <c r="Q172" s="66" t="s">
        <v>5002</v>
      </c>
      <c r="R172" s="67" cm="1">
        <f t="array" aca="1" ref="R172" ca="1">_xlfn.CHOOSECOLS(_xlfn.CHOOSEROWS(_xlfn._xlws.FILTER(표2[],표2[DWG No.]=C172,""),1),6)</f>
        <v>42874</v>
      </c>
      <c r="S172" s="67" cm="1">
        <f t="array" aca="1" ref="S172" ca="1">_xlfn.CHOOSECOLS(_xlfn.CHOOSEROWS(_xlfn._xlws.FILTER(표2[],(표2[DWG No.]=C172)*(ISNUMBER(표2[Rev.])),""),1),6)</f>
        <v>43040</v>
      </c>
    </row>
    <row r="173" spans="1:19" ht="18" customHeight="1" x14ac:dyDescent="0.45">
      <c r="A173" s="64">
        <v>168</v>
      </c>
      <c r="B173" s="49" t="s">
        <v>57</v>
      </c>
      <c r="C173" s="65" t="s">
        <v>746</v>
      </c>
      <c r="D173" s="66" t="s">
        <v>747</v>
      </c>
      <c r="E173" s="65" t="s">
        <v>748</v>
      </c>
      <c r="F173" s="66" t="s">
        <v>6</v>
      </c>
      <c r="G173" s="67">
        <v>42875</v>
      </c>
      <c r="H173" s="67">
        <v>42967</v>
      </c>
      <c r="I173" s="67">
        <v>43040</v>
      </c>
      <c r="J173" s="66" t="s">
        <v>705</v>
      </c>
      <c r="K173" s="66" t="s">
        <v>7</v>
      </c>
      <c r="L173" s="66" t="s">
        <v>62</v>
      </c>
      <c r="M173" s="67" t="s">
        <v>155</v>
      </c>
      <c r="N173" s="66" t="s">
        <v>749</v>
      </c>
      <c r="O173" s="66" t="s">
        <v>7</v>
      </c>
      <c r="P173" s="66" t="s">
        <v>62</v>
      </c>
      <c r="Q173" s="66" t="s">
        <v>5002</v>
      </c>
      <c r="R173" s="67" cm="1">
        <f t="array" aca="1" ref="R173" ca="1">_xlfn.CHOOSECOLS(_xlfn.CHOOSEROWS(_xlfn._xlws.FILTER(표2[],표2[DWG No.]=C173,""),1),6)</f>
        <v>42885</v>
      </c>
      <c r="S173" s="67" cm="1">
        <f t="array" aca="1" ref="S173" ca="1">_xlfn.CHOOSECOLS(_xlfn.CHOOSEROWS(_xlfn._xlws.FILTER(표2[],(표2[DWG No.]=C173)*(ISNUMBER(표2[Rev.])),""),1),6)</f>
        <v>43040</v>
      </c>
    </row>
    <row r="174" spans="1:19" ht="18" customHeight="1" x14ac:dyDescent="0.45">
      <c r="A174" s="64">
        <v>169</v>
      </c>
      <c r="B174" s="49" t="s">
        <v>57</v>
      </c>
      <c r="C174" s="65" t="s">
        <v>750</v>
      </c>
      <c r="D174" s="66" t="s">
        <v>751</v>
      </c>
      <c r="E174" s="65" t="s">
        <v>752</v>
      </c>
      <c r="F174" s="66" t="s">
        <v>6</v>
      </c>
      <c r="G174" s="67">
        <v>42845</v>
      </c>
      <c r="H174" s="67">
        <v>42936</v>
      </c>
      <c r="I174" s="67">
        <v>43052</v>
      </c>
      <c r="J174" s="66" t="s">
        <v>714</v>
      </c>
      <c r="K174" s="66" t="s">
        <v>7</v>
      </c>
      <c r="L174" s="66" t="s">
        <v>62</v>
      </c>
      <c r="M174" s="67" t="s">
        <v>715</v>
      </c>
      <c r="N174" s="66" t="s">
        <v>753</v>
      </c>
      <c r="O174" s="66" t="s">
        <v>7</v>
      </c>
      <c r="P174" s="66" t="s">
        <v>62</v>
      </c>
      <c r="Q174" s="66" t="s">
        <v>5003</v>
      </c>
      <c r="R174" s="67" cm="1">
        <f t="array" aca="1" ref="R174" ca="1">_xlfn.CHOOSECOLS(_xlfn.CHOOSEROWS(_xlfn._xlws.FILTER(표2[],표2[DWG No.]=C174,""),1),6)</f>
        <v>42874</v>
      </c>
      <c r="S174" s="67" cm="1">
        <f t="array" aca="1" ref="S174" ca="1">_xlfn.CHOOSECOLS(_xlfn.CHOOSEROWS(_xlfn._xlws.FILTER(표2[],(표2[DWG No.]=C174)*(ISNUMBER(표2[Rev.])),""),1),6)</f>
        <v>43052</v>
      </c>
    </row>
    <row r="175" spans="1:19" ht="18" customHeight="1" x14ac:dyDescent="0.45">
      <c r="A175" s="64">
        <v>170</v>
      </c>
      <c r="B175" s="49" t="s">
        <v>57</v>
      </c>
      <c r="C175" s="65" t="s">
        <v>754</v>
      </c>
      <c r="D175" s="66" t="s">
        <v>755</v>
      </c>
      <c r="E175" s="65" t="s">
        <v>756</v>
      </c>
      <c r="F175" s="66" t="s">
        <v>6</v>
      </c>
      <c r="G175" s="67">
        <v>42875</v>
      </c>
      <c r="H175" s="67">
        <v>42967</v>
      </c>
      <c r="I175" s="67">
        <v>43040</v>
      </c>
      <c r="J175" s="66" t="s">
        <v>705</v>
      </c>
      <c r="K175" s="66" t="s">
        <v>7</v>
      </c>
      <c r="L175" s="66" t="s">
        <v>62</v>
      </c>
      <c r="M175" s="67" t="s">
        <v>155</v>
      </c>
      <c r="N175" s="66" t="s">
        <v>757</v>
      </c>
      <c r="O175" s="66" t="s">
        <v>7</v>
      </c>
      <c r="P175" s="66" t="s">
        <v>62</v>
      </c>
      <c r="Q175" s="66" t="s">
        <v>5002</v>
      </c>
      <c r="R175" s="67" cm="1">
        <f t="array" aca="1" ref="R175" ca="1">_xlfn.CHOOSECOLS(_xlfn.CHOOSEROWS(_xlfn._xlws.FILTER(표2[],표2[DWG No.]=C175,""),1),6)</f>
        <v>42885</v>
      </c>
      <c r="S175" s="67" cm="1">
        <f t="array" aca="1" ref="S175" ca="1">_xlfn.CHOOSECOLS(_xlfn.CHOOSEROWS(_xlfn._xlws.FILTER(표2[],(표2[DWG No.]=C175)*(ISNUMBER(표2[Rev.])),""),1),6)</f>
        <v>43040</v>
      </c>
    </row>
    <row r="176" spans="1:19" ht="18" customHeight="1" x14ac:dyDescent="0.45">
      <c r="A176" s="64">
        <v>171</v>
      </c>
      <c r="B176" s="49" t="s">
        <v>57</v>
      </c>
      <c r="C176" s="65" t="s">
        <v>758</v>
      </c>
      <c r="D176" s="66" t="s">
        <v>759</v>
      </c>
      <c r="E176" s="65" t="s">
        <v>760</v>
      </c>
      <c r="F176" s="66" t="s">
        <v>6</v>
      </c>
      <c r="G176" s="67">
        <v>42845</v>
      </c>
      <c r="H176" s="67">
        <v>42936</v>
      </c>
      <c r="I176" s="67">
        <v>43040</v>
      </c>
      <c r="J176" s="66" t="s">
        <v>705</v>
      </c>
      <c r="K176" s="66" t="s">
        <v>7</v>
      </c>
      <c r="L176" s="66" t="s">
        <v>62</v>
      </c>
      <c r="M176" s="67" t="s">
        <v>155</v>
      </c>
      <c r="N176" s="66" t="s">
        <v>761</v>
      </c>
      <c r="O176" s="66" t="s">
        <v>7</v>
      </c>
      <c r="P176" s="66" t="s">
        <v>62</v>
      </c>
      <c r="Q176" s="66" t="s">
        <v>5002</v>
      </c>
      <c r="R176" s="67" cm="1">
        <f t="array" aca="1" ref="R176" ca="1">_xlfn.CHOOSECOLS(_xlfn.CHOOSEROWS(_xlfn._xlws.FILTER(표2[],표2[DWG No.]=C176,""),1),6)</f>
        <v>42874</v>
      </c>
      <c r="S176" s="67" cm="1">
        <f t="array" aca="1" ref="S176" ca="1">_xlfn.CHOOSECOLS(_xlfn.CHOOSEROWS(_xlfn._xlws.FILTER(표2[],(표2[DWG No.]=C176)*(ISNUMBER(표2[Rev.])),""),1),6)</f>
        <v>43040</v>
      </c>
    </row>
    <row r="177" spans="1:19" ht="18" customHeight="1" x14ac:dyDescent="0.45">
      <c r="A177" s="64">
        <v>172</v>
      </c>
      <c r="B177" s="49" t="s">
        <v>57</v>
      </c>
      <c r="C177" s="65" t="s">
        <v>762</v>
      </c>
      <c r="D177" s="66" t="s">
        <v>763</v>
      </c>
      <c r="E177" s="65" t="s">
        <v>764</v>
      </c>
      <c r="F177" s="66" t="s">
        <v>6</v>
      </c>
      <c r="G177" s="67">
        <v>42906</v>
      </c>
      <c r="H177" s="67">
        <v>43028</v>
      </c>
      <c r="I177" s="67">
        <v>43034</v>
      </c>
      <c r="J177" s="66" t="s">
        <v>729</v>
      </c>
      <c r="K177" s="66" t="s">
        <v>7</v>
      </c>
      <c r="L177" s="66" t="s">
        <v>62</v>
      </c>
      <c r="M177" s="67" t="s">
        <v>90</v>
      </c>
      <c r="N177" s="66" t="s">
        <v>765</v>
      </c>
      <c r="O177" s="66" t="s">
        <v>7</v>
      </c>
      <c r="P177" s="66" t="s">
        <v>62</v>
      </c>
      <c r="Q177" s="66" t="s">
        <v>5002</v>
      </c>
      <c r="R177" s="67" cm="1">
        <f t="array" aca="1" ref="R177" ca="1">_xlfn.CHOOSECOLS(_xlfn.CHOOSEROWS(_xlfn._xlws.FILTER(표2[],표2[DWG No.]=C177,""),1),6)</f>
        <v>42944</v>
      </c>
      <c r="S177" s="67" cm="1">
        <f t="array" aca="1" ref="S177" ca="1">_xlfn.CHOOSECOLS(_xlfn.CHOOSEROWS(_xlfn._xlws.FILTER(표2[],(표2[DWG No.]=C177)*(ISNUMBER(표2[Rev.])),""),1),6)</f>
        <v>43034</v>
      </c>
    </row>
    <row r="178" spans="1:19" ht="18" customHeight="1" x14ac:dyDescent="0.45">
      <c r="A178" s="64">
        <v>173</v>
      </c>
      <c r="B178" s="49" t="s">
        <v>57</v>
      </c>
      <c r="C178" s="65" t="s">
        <v>766</v>
      </c>
      <c r="D178" s="66" t="s">
        <v>767</v>
      </c>
      <c r="E178" s="65" t="s">
        <v>768</v>
      </c>
      <c r="F178" s="66" t="s">
        <v>6</v>
      </c>
      <c r="G178" s="67">
        <v>42906</v>
      </c>
      <c r="H178" s="67">
        <v>42998</v>
      </c>
      <c r="I178" s="67">
        <v>43003</v>
      </c>
      <c r="J178" s="66" t="s">
        <v>734</v>
      </c>
      <c r="K178" s="66" t="s">
        <v>7</v>
      </c>
      <c r="L178" s="66" t="s">
        <v>62</v>
      </c>
      <c r="M178" s="67" t="s">
        <v>74</v>
      </c>
      <c r="N178" s="66" t="s">
        <v>769</v>
      </c>
      <c r="O178" s="66" t="s">
        <v>7</v>
      </c>
      <c r="P178" s="66" t="s">
        <v>62</v>
      </c>
      <c r="Q178" s="66" t="s">
        <v>5002</v>
      </c>
      <c r="R178" s="67" cm="1">
        <f t="array" aca="1" ref="R178" ca="1">_xlfn.CHOOSECOLS(_xlfn.CHOOSEROWS(_xlfn._xlws.FILTER(표2[],표2[DWG No.]=C178,""),1),6)</f>
        <v>42944</v>
      </c>
      <c r="S178" s="67" cm="1">
        <f t="array" aca="1" ref="S178" ca="1">_xlfn.CHOOSECOLS(_xlfn.CHOOSEROWS(_xlfn._xlws.FILTER(표2[],(표2[DWG No.]=C178)*(ISNUMBER(표2[Rev.])),""),1),6)</f>
        <v>43003</v>
      </c>
    </row>
    <row r="179" spans="1:19" ht="18" customHeight="1" x14ac:dyDescent="0.45">
      <c r="A179" s="64">
        <v>174</v>
      </c>
      <c r="B179" s="49" t="s">
        <v>57</v>
      </c>
      <c r="C179" s="65" t="s">
        <v>770</v>
      </c>
      <c r="D179" s="66" t="s">
        <v>771</v>
      </c>
      <c r="E179" s="65" t="s">
        <v>772</v>
      </c>
      <c r="F179" s="66" t="s">
        <v>5</v>
      </c>
      <c r="G179" s="67">
        <v>42972</v>
      </c>
      <c r="H179" s="67">
        <v>43033</v>
      </c>
      <c r="I179" s="67">
        <v>43307</v>
      </c>
      <c r="J179" s="66" t="s">
        <v>2478</v>
      </c>
      <c r="K179" s="66" t="s">
        <v>7</v>
      </c>
      <c r="L179" s="66" t="s">
        <v>89</v>
      </c>
      <c r="M179" s="67" t="s">
        <v>2452</v>
      </c>
      <c r="N179" s="66" t="s">
        <v>2479</v>
      </c>
      <c r="O179" s="66" t="s">
        <v>7</v>
      </c>
      <c r="P179" s="66" t="s">
        <v>89</v>
      </c>
      <c r="Q179" s="66" t="s">
        <v>5002</v>
      </c>
      <c r="R179" s="67" cm="1">
        <f t="array" aca="1" ref="R179" ca="1">_xlfn.CHOOSECOLS(_xlfn.CHOOSEROWS(_xlfn._xlws.FILTER(표2[],표2[DWG No.]=C179,""),1),6)</f>
        <v>43021</v>
      </c>
      <c r="S179" s="67" cm="1">
        <f t="array" aca="1" ref="S179" ca="1">_xlfn.CHOOSECOLS(_xlfn.CHOOSEROWS(_xlfn._xlws.FILTER(표2[],(표2[DWG No.]=C179)*(ISNUMBER(표2[Rev.])),""),1),6)</f>
        <v>43091</v>
      </c>
    </row>
    <row r="180" spans="1:19" ht="18" customHeight="1" x14ac:dyDescent="0.45">
      <c r="A180" s="64">
        <v>175</v>
      </c>
      <c r="B180" s="49" t="s">
        <v>57</v>
      </c>
      <c r="C180" s="65" t="s">
        <v>773</v>
      </c>
      <c r="D180" s="66" t="s">
        <v>774</v>
      </c>
      <c r="E180" s="65" t="s">
        <v>775</v>
      </c>
      <c r="F180" s="66" t="s">
        <v>5</v>
      </c>
      <c r="G180" s="67">
        <v>43210</v>
      </c>
      <c r="H180" s="67">
        <v>43251</v>
      </c>
      <c r="I180" s="67">
        <v>43328</v>
      </c>
      <c r="J180" s="66" t="s">
        <v>2476</v>
      </c>
      <c r="K180" s="66" t="s">
        <v>7</v>
      </c>
      <c r="L180" s="66" t="s">
        <v>62</v>
      </c>
      <c r="M180" s="67" t="s">
        <v>2458</v>
      </c>
      <c r="N180" s="66" t="s">
        <v>2480</v>
      </c>
      <c r="O180" s="66" t="s">
        <v>7</v>
      </c>
      <c r="P180" s="66" t="s">
        <v>62</v>
      </c>
      <c r="Q180" s="66" t="s">
        <v>65</v>
      </c>
      <c r="R180" s="67" cm="1">
        <f t="array" aca="1" ref="R180" ca="1">_xlfn.CHOOSECOLS(_xlfn.CHOOSEROWS(_xlfn._xlws.FILTER(표2[],표2[DWG No.]=C180,""),1),6)</f>
        <v>43286</v>
      </c>
      <c r="S180" s="67" t="e" cm="1">
        <f t="array" ref="S180">_xlfn.CHOOSECOLS(_xlfn.CHOOSEROWS(_xlfn._xlws.FILTER(표2[],(표2[DWG No.]=C180)*(ISNUMBER(표2[Rev.])),""),1),6)</f>
        <v>#VALUE!</v>
      </c>
    </row>
    <row r="181" spans="1:19" ht="18" customHeight="1" x14ac:dyDescent="0.45">
      <c r="A181" s="64">
        <v>176</v>
      </c>
      <c r="B181" s="49" t="s">
        <v>57</v>
      </c>
      <c r="C181" s="65" t="s">
        <v>776</v>
      </c>
      <c r="D181" s="66" t="s">
        <v>777</v>
      </c>
      <c r="E181" s="65" t="s">
        <v>778</v>
      </c>
      <c r="F181" s="66" t="s">
        <v>6</v>
      </c>
      <c r="G181" s="67">
        <v>42874</v>
      </c>
      <c r="H181" s="67">
        <v>42965</v>
      </c>
      <c r="I181" s="67">
        <v>43034</v>
      </c>
      <c r="J181" s="66" t="s">
        <v>779</v>
      </c>
      <c r="K181" s="66" t="s">
        <v>7</v>
      </c>
      <c r="L181" s="66" t="s">
        <v>62</v>
      </c>
      <c r="M181" s="67" t="s">
        <v>90</v>
      </c>
      <c r="N181" s="66" t="s">
        <v>780</v>
      </c>
      <c r="O181" s="66" t="s">
        <v>7</v>
      </c>
      <c r="P181" s="66" t="s">
        <v>62</v>
      </c>
      <c r="Q181" s="66" t="s">
        <v>5003</v>
      </c>
      <c r="R181" s="67" cm="1">
        <f t="array" aca="1" ref="R181" ca="1">_xlfn.CHOOSECOLS(_xlfn.CHOOSEROWS(_xlfn._xlws.FILTER(표2[],표2[DWG No.]=C181,""),1),6)</f>
        <v>42907</v>
      </c>
      <c r="S181" s="67" cm="1">
        <f t="array" aca="1" ref="S181" ca="1">_xlfn.CHOOSECOLS(_xlfn.CHOOSEROWS(_xlfn._xlws.FILTER(표2[],(표2[DWG No.]=C181)*(ISNUMBER(표2[Rev.])),""),1),6)</f>
        <v>43034</v>
      </c>
    </row>
    <row r="182" spans="1:19" ht="18" customHeight="1" x14ac:dyDescent="0.45">
      <c r="A182" s="64">
        <v>177</v>
      </c>
      <c r="B182" s="49" t="s">
        <v>57</v>
      </c>
      <c r="C182" s="65" t="s">
        <v>781</v>
      </c>
      <c r="D182" s="66" t="s">
        <v>782</v>
      </c>
      <c r="E182" s="65" t="s">
        <v>783</v>
      </c>
      <c r="F182" s="66" t="s">
        <v>6</v>
      </c>
      <c r="G182" s="67">
        <v>42874</v>
      </c>
      <c r="H182" s="67">
        <v>42965</v>
      </c>
      <c r="I182" s="67">
        <v>43034</v>
      </c>
      <c r="J182" s="66" t="s">
        <v>779</v>
      </c>
      <c r="K182" s="66" t="s">
        <v>7</v>
      </c>
      <c r="L182" s="66" t="s">
        <v>62</v>
      </c>
      <c r="M182" s="67" t="s">
        <v>90</v>
      </c>
      <c r="N182" s="66" t="s">
        <v>784</v>
      </c>
      <c r="O182" s="66" t="s">
        <v>7</v>
      </c>
      <c r="P182" s="66" t="s">
        <v>62</v>
      </c>
      <c r="Q182" s="66" t="s">
        <v>5003</v>
      </c>
      <c r="R182" s="67" cm="1">
        <f t="array" aca="1" ref="R182" ca="1">_xlfn.CHOOSECOLS(_xlfn.CHOOSEROWS(_xlfn._xlws.FILTER(표2[],표2[DWG No.]=C182,""),1),6)</f>
        <v>42907</v>
      </c>
      <c r="S182" s="67" cm="1">
        <f t="array" aca="1" ref="S182" ca="1">_xlfn.CHOOSECOLS(_xlfn.CHOOSEROWS(_xlfn._xlws.FILTER(표2[],(표2[DWG No.]=C182)*(ISNUMBER(표2[Rev.])),""),1),6)</f>
        <v>43034</v>
      </c>
    </row>
    <row r="183" spans="1:19" ht="18" customHeight="1" x14ac:dyDescent="0.45">
      <c r="A183" s="64">
        <v>178</v>
      </c>
      <c r="B183" s="49" t="s">
        <v>57</v>
      </c>
      <c r="C183" s="65" t="s">
        <v>785</v>
      </c>
      <c r="D183" s="66" t="s">
        <v>786</v>
      </c>
      <c r="E183" s="65" t="s">
        <v>787</v>
      </c>
      <c r="F183" s="66" t="s">
        <v>5</v>
      </c>
      <c r="G183" s="67">
        <v>43210</v>
      </c>
      <c r="H183" s="67">
        <v>43251</v>
      </c>
      <c r="I183" s="67">
        <v>43256</v>
      </c>
      <c r="J183" s="66" t="s">
        <v>2481</v>
      </c>
      <c r="K183" s="66" t="s">
        <v>7</v>
      </c>
      <c r="L183" s="66" t="s">
        <v>62</v>
      </c>
      <c r="M183" s="67" t="s">
        <v>2482</v>
      </c>
      <c r="N183" s="66" t="s">
        <v>2483</v>
      </c>
      <c r="O183" s="66" t="s">
        <v>7</v>
      </c>
      <c r="P183" s="66" t="s">
        <v>62</v>
      </c>
      <c r="Q183" s="66" t="s">
        <v>5002</v>
      </c>
      <c r="R183" s="67" cm="1">
        <f t="array" aca="1" ref="R183" ca="1">_xlfn.CHOOSECOLS(_xlfn.CHOOSEROWS(_xlfn._xlws.FILTER(표2[],표2[DWG No.]=C183,""),1),6)</f>
        <v>43224</v>
      </c>
      <c r="S183" s="67" cm="1">
        <f t="array" aca="1" ref="S183" ca="1">_xlfn.CHOOSECOLS(_xlfn.CHOOSEROWS(_xlfn._xlws.FILTER(표2[],(표2[DWG No.]=C183)*(ISNUMBER(표2[Rev.])),""),1),6)</f>
        <v>43256</v>
      </c>
    </row>
    <row r="184" spans="1:19" ht="18" customHeight="1" x14ac:dyDescent="0.45">
      <c r="A184" s="64">
        <v>179</v>
      </c>
      <c r="B184" s="49" t="s">
        <v>57</v>
      </c>
      <c r="C184" s="65" t="s">
        <v>788</v>
      </c>
      <c r="D184" s="66" t="s">
        <v>789</v>
      </c>
      <c r="E184" s="65" t="s">
        <v>790</v>
      </c>
      <c r="F184" s="66" t="s">
        <v>6</v>
      </c>
      <c r="G184" s="67">
        <v>42927</v>
      </c>
      <c r="H184" s="67">
        <v>43031</v>
      </c>
      <c r="I184" s="67">
        <v>43119</v>
      </c>
      <c r="J184" s="66" t="s">
        <v>791</v>
      </c>
      <c r="K184" s="66" t="s">
        <v>7</v>
      </c>
      <c r="L184" s="66" t="s">
        <v>89</v>
      </c>
      <c r="M184" s="67" t="s">
        <v>237</v>
      </c>
      <c r="N184" s="66" t="s">
        <v>792</v>
      </c>
      <c r="O184" s="66" t="s">
        <v>7</v>
      </c>
      <c r="P184" s="66" t="s">
        <v>89</v>
      </c>
      <c r="Q184" s="66" t="s">
        <v>5002</v>
      </c>
      <c r="R184" s="67" cm="1">
        <f t="array" aca="1" ref="R184" ca="1">_xlfn.CHOOSECOLS(_xlfn.CHOOSEROWS(_xlfn._xlws.FILTER(표2[],표2[DWG No.]=C184,""),1),6)</f>
        <v>42929</v>
      </c>
      <c r="S184" s="67" cm="1">
        <f t="array" aca="1" ref="S184" ca="1">_xlfn.CHOOSECOLS(_xlfn.CHOOSEROWS(_xlfn._xlws.FILTER(표2[],(표2[DWG No.]=C184)*(ISNUMBER(표2[Rev.])),""),1),6)</f>
        <v>43040</v>
      </c>
    </row>
    <row r="185" spans="1:19" ht="18" customHeight="1" x14ac:dyDescent="0.45">
      <c r="A185" s="64">
        <v>180</v>
      </c>
      <c r="B185" s="49" t="s">
        <v>57</v>
      </c>
      <c r="C185" s="65" t="s">
        <v>793</v>
      </c>
      <c r="D185" s="66" t="s">
        <v>794</v>
      </c>
      <c r="E185" s="65" t="s">
        <v>795</v>
      </c>
      <c r="F185" s="66" t="s">
        <v>6</v>
      </c>
      <c r="G185" s="67">
        <v>42927</v>
      </c>
      <c r="H185" s="67">
        <v>43031</v>
      </c>
      <c r="I185" s="67">
        <v>43119</v>
      </c>
      <c r="J185" s="66" t="s">
        <v>791</v>
      </c>
      <c r="K185" s="66" t="s">
        <v>7</v>
      </c>
      <c r="L185" s="66" t="s">
        <v>89</v>
      </c>
      <c r="M185" s="67" t="s">
        <v>237</v>
      </c>
      <c r="N185" s="66" t="s">
        <v>796</v>
      </c>
      <c r="O185" s="66" t="s">
        <v>7</v>
      </c>
      <c r="P185" s="66" t="s">
        <v>89</v>
      </c>
      <c r="Q185" s="66" t="s">
        <v>5002</v>
      </c>
      <c r="R185" s="67" cm="1">
        <f t="array" aca="1" ref="R185" ca="1">_xlfn.CHOOSECOLS(_xlfn.CHOOSEROWS(_xlfn._xlws.FILTER(표2[],표2[DWG No.]=C185,""),1),6)</f>
        <v>42929</v>
      </c>
      <c r="S185" s="67" cm="1">
        <f t="array" aca="1" ref="S185" ca="1">_xlfn.CHOOSECOLS(_xlfn.CHOOSEROWS(_xlfn._xlws.FILTER(표2[],(표2[DWG No.]=C185)*(ISNUMBER(표2[Rev.])),""),1),6)</f>
        <v>43040</v>
      </c>
    </row>
    <row r="186" spans="1:19" ht="18" customHeight="1" x14ac:dyDescent="0.45">
      <c r="A186" s="64">
        <v>181</v>
      </c>
      <c r="B186" s="49" t="s">
        <v>57</v>
      </c>
      <c r="C186" s="65" t="s">
        <v>797</v>
      </c>
      <c r="D186" s="66" t="s">
        <v>798</v>
      </c>
      <c r="E186" s="65" t="s">
        <v>799</v>
      </c>
      <c r="F186" s="66" t="s">
        <v>6</v>
      </c>
      <c r="G186" s="67">
        <v>42927</v>
      </c>
      <c r="H186" s="67">
        <v>43031</v>
      </c>
      <c r="I186" s="67">
        <v>43119</v>
      </c>
      <c r="J186" s="66" t="s">
        <v>791</v>
      </c>
      <c r="K186" s="66" t="s">
        <v>7</v>
      </c>
      <c r="L186" s="66" t="s">
        <v>89</v>
      </c>
      <c r="M186" s="67" t="s">
        <v>237</v>
      </c>
      <c r="N186" s="66" t="s">
        <v>800</v>
      </c>
      <c r="O186" s="66" t="s">
        <v>7</v>
      </c>
      <c r="P186" s="66" t="s">
        <v>89</v>
      </c>
      <c r="Q186" s="66" t="s">
        <v>5002</v>
      </c>
      <c r="R186" s="67" cm="1">
        <f t="array" aca="1" ref="R186" ca="1">_xlfn.CHOOSECOLS(_xlfn.CHOOSEROWS(_xlfn._xlws.FILTER(표2[],표2[DWG No.]=C186,""),1),6)</f>
        <v>42929</v>
      </c>
      <c r="S186" s="67" cm="1">
        <f t="array" aca="1" ref="S186" ca="1">_xlfn.CHOOSECOLS(_xlfn.CHOOSEROWS(_xlfn._xlws.FILTER(표2[],(표2[DWG No.]=C186)*(ISNUMBER(표2[Rev.])),""),1),6)</f>
        <v>43040</v>
      </c>
    </row>
    <row r="187" spans="1:19" ht="18" customHeight="1" x14ac:dyDescent="0.45">
      <c r="A187" s="64">
        <v>182</v>
      </c>
      <c r="B187" s="49" t="s">
        <v>57</v>
      </c>
      <c r="C187" s="65" t="s">
        <v>801</v>
      </c>
      <c r="D187" s="66" t="s">
        <v>802</v>
      </c>
      <c r="E187" s="65" t="s">
        <v>803</v>
      </c>
      <c r="F187" s="66" t="s">
        <v>6</v>
      </c>
      <c r="G187" s="67">
        <v>42927</v>
      </c>
      <c r="H187" s="67">
        <v>43031</v>
      </c>
      <c r="I187" s="67">
        <v>43040</v>
      </c>
      <c r="J187" s="66" t="s">
        <v>804</v>
      </c>
      <c r="K187" s="66" t="s">
        <v>7</v>
      </c>
      <c r="L187" s="66" t="s">
        <v>62</v>
      </c>
      <c r="M187" s="67" t="s">
        <v>805</v>
      </c>
      <c r="N187" s="66" t="s">
        <v>806</v>
      </c>
      <c r="O187" s="66" t="s">
        <v>7</v>
      </c>
      <c r="P187" s="66" t="s">
        <v>62</v>
      </c>
      <c r="Q187" s="66" t="s">
        <v>5003</v>
      </c>
      <c r="R187" s="67" cm="1">
        <f t="array" aca="1" ref="R187" ca="1">_xlfn.CHOOSECOLS(_xlfn.CHOOSEROWS(_xlfn._xlws.FILTER(표2[],표2[DWG No.]=C187,""),1),6)</f>
        <v>42929</v>
      </c>
      <c r="S187" s="67" cm="1">
        <f t="array" aca="1" ref="S187" ca="1">_xlfn.CHOOSECOLS(_xlfn.CHOOSEROWS(_xlfn._xlws.FILTER(표2[],(표2[DWG No.]=C187)*(ISNUMBER(표2[Rev.])),""),1),6)</f>
        <v>43040</v>
      </c>
    </row>
    <row r="188" spans="1:19" ht="18" customHeight="1" x14ac:dyDescent="0.45">
      <c r="A188" s="64">
        <v>183</v>
      </c>
      <c r="B188" s="49" t="s">
        <v>57</v>
      </c>
      <c r="C188" s="65" t="s">
        <v>807</v>
      </c>
      <c r="D188" s="66" t="s">
        <v>808</v>
      </c>
      <c r="E188" s="65" t="s">
        <v>809</v>
      </c>
      <c r="F188" s="66" t="s">
        <v>6</v>
      </c>
      <c r="G188" s="67">
        <v>42927</v>
      </c>
      <c r="H188" s="67">
        <v>43031</v>
      </c>
      <c r="I188" s="67">
        <v>43158</v>
      </c>
      <c r="J188" s="66" t="s">
        <v>810</v>
      </c>
      <c r="K188" s="66" t="s">
        <v>7</v>
      </c>
      <c r="L188" s="66" t="s">
        <v>89</v>
      </c>
      <c r="M188" s="67" t="s">
        <v>811</v>
      </c>
      <c r="N188" s="66" t="s">
        <v>812</v>
      </c>
      <c r="O188" s="66" t="s">
        <v>7</v>
      </c>
      <c r="P188" s="66" t="s">
        <v>89</v>
      </c>
      <c r="Q188" s="66" t="s">
        <v>5002</v>
      </c>
      <c r="R188" s="67" cm="1">
        <f t="array" aca="1" ref="R188" ca="1">_xlfn.CHOOSECOLS(_xlfn.CHOOSEROWS(_xlfn._xlws.FILTER(표2[],표2[DWG No.]=C188,""),1),6)</f>
        <v>42929</v>
      </c>
      <c r="S188" s="67" cm="1">
        <f t="array" aca="1" ref="S188" ca="1">_xlfn.CHOOSECOLS(_xlfn.CHOOSEROWS(_xlfn._xlws.FILTER(표2[],(표2[DWG No.]=C188)*(ISNUMBER(표2[Rev.])),""),1),6)</f>
        <v>43040</v>
      </c>
    </row>
    <row r="189" spans="1:19" ht="18" customHeight="1" x14ac:dyDescent="0.45">
      <c r="A189" s="64">
        <v>184</v>
      </c>
      <c r="B189" s="49" t="s">
        <v>57</v>
      </c>
      <c r="C189" s="65" t="s">
        <v>813</v>
      </c>
      <c r="D189" s="66" t="s">
        <v>814</v>
      </c>
      <c r="E189" s="65" t="s">
        <v>815</v>
      </c>
      <c r="F189" s="66" t="s">
        <v>6</v>
      </c>
      <c r="G189" s="67">
        <v>42927</v>
      </c>
      <c r="H189" s="67">
        <v>43031</v>
      </c>
      <c r="I189" s="67">
        <v>43091</v>
      </c>
      <c r="J189" s="66" t="s">
        <v>816</v>
      </c>
      <c r="K189" s="66" t="s">
        <v>7</v>
      </c>
      <c r="L189" s="66" t="s">
        <v>89</v>
      </c>
      <c r="M189" s="67" t="s">
        <v>155</v>
      </c>
      <c r="N189" s="66" t="s">
        <v>817</v>
      </c>
      <c r="O189" s="66" t="s">
        <v>7</v>
      </c>
      <c r="P189" s="66" t="s">
        <v>89</v>
      </c>
      <c r="Q189" s="66" t="s">
        <v>5002</v>
      </c>
      <c r="R189" s="67" cm="1">
        <f t="array" aca="1" ref="R189" ca="1">_xlfn.CHOOSECOLS(_xlfn.CHOOSEROWS(_xlfn._xlws.FILTER(표2[],표2[DWG No.]=C189,""),1),6)</f>
        <v>42929</v>
      </c>
      <c r="S189" s="67" cm="1">
        <f t="array" aca="1" ref="S189" ca="1">_xlfn.CHOOSECOLS(_xlfn.CHOOSEROWS(_xlfn._xlws.FILTER(표2[],(표2[DWG No.]=C189)*(ISNUMBER(표2[Rev.])),""),1),6)</f>
        <v>43069</v>
      </c>
    </row>
    <row r="190" spans="1:19" ht="18" customHeight="1" x14ac:dyDescent="0.45">
      <c r="A190" s="64">
        <v>185</v>
      </c>
      <c r="B190" s="49" t="s">
        <v>57</v>
      </c>
      <c r="C190" s="65" t="s">
        <v>818</v>
      </c>
      <c r="D190" s="66" t="s">
        <v>819</v>
      </c>
      <c r="E190" s="65" t="s">
        <v>820</v>
      </c>
      <c r="F190" s="66" t="s">
        <v>5</v>
      </c>
      <c r="G190" s="67">
        <v>42927</v>
      </c>
      <c r="H190" s="67">
        <v>43031</v>
      </c>
      <c r="I190" s="67">
        <v>43119</v>
      </c>
      <c r="J190" s="66" t="s">
        <v>791</v>
      </c>
      <c r="K190" s="66" t="s">
        <v>7</v>
      </c>
      <c r="L190" s="66" t="s">
        <v>89</v>
      </c>
      <c r="M190" s="67" t="s">
        <v>155</v>
      </c>
      <c r="N190" s="66" t="s">
        <v>821</v>
      </c>
      <c r="O190" s="66" t="s">
        <v>7</v>
      </c>
      <c r="P190" s="66" t="s">
        <v>89</v>
      </c>
      <c r="Q190" s="66" t="s">
        <v>5002</v>
      </c>
      <c r="R190" s="67" cm="1">
        <f t="array" aca="1" ref="R190" ca="1">_xlfn.CHOOSECOLS(_xlfn.CHOOSEROWS(_xlfn._xlws.FILTER(표2[],표2[DWG No.]=C190,""),1),6)</f>
        <v>42929</v>
      </c>
      <c r="S190" s="67" cm="1">
        <f t="array" aca="1" ref="S190" ca="1">_xlfn.CHOOSECOLS(_xlfn.CHOOSEROWS(_xlfn._xlws.FILTER(표2[],(표2[DWG No.]=C190)*(ISNUMBER(표2[Rev.])),""),1),6)</f>
        <v>43040</v>
      </c>
    </row>
    <row r="191" spans="1:19" ht="18" customHeight="1" x14ac:dyDescent="0.45">
      <c r="A191" s="64">
        <v>186</v>
      </c>
      <c r="B191" s="49" t="s">
        <v>57</v>
      </c>
      <c r="C191" s="65" t="s">
        <v>822</v>
      </c>
      <c r="D191" s="66" t="s">
        <v>823</v>
      </c>
      <c r="E191" s="65" t="s">
        <v>824</v>
      </c>
      <c r="F191" s="66" t="s">
        <v>5</v>
      </c>
      <c r="G191" s="67">
        <v>42927</v>
      </c>
      <c r="H191" s="67">
        <v>43031</v>
      </c>
      <c r="I191" s="67">
        <v>43158</v>
      </c>
      <c r="J191" s="66" t="s">
        <v>810</v>
      </c>
      <c r="K191" s="66" t="s">
        <v>7</v>
      </c>
      <c r="L191" s="66" t="s">
        <v>89</v>
      </c>
      <c r="M191" s="67" t="s">
        <v>825</v>
      </c>
      <c r="N191" s="66" t="s">
        <v>826</v>
      </c>
      <c r="O191" s="66" t="s">
        <v>7</v>
      </c>
      <c r="P191" s="66" t="s">
        <v>89</v>
      </c>
      <c r="Q191" s="66" t="s">
        <v>5002</v>
      </c>
      <c r="R191" s="67" cm="1">
        <f t="array" aca="1" ref="R191" ca="1">_xlfn.CHOOSECOLS(_xlfn.CHOOSEROWS(_xlfn._xlws.FILTER(표2[],표2[DWG No.]=C191,""),1),6)</f>
        <v>42929</v>
      </c>
      <c r="S191" s="67" cm="1">
        <f t="array" aca="1" ref="S191" ca="1">_xlfn.CHOOSECOLS(_xlfn.CHOOSEROWS(_xlfn._xlws.FILTER(표2[],(표2[DWG No.]=C191)*(ISNUMBER(표2[Rev.])),""),1),6)</f>
        <v>43040</v>
      </c>
    </row>
    <row r="192" spans="1:19" ht="18" customHeight="1" x14ac:dyDescent="0.45">
      <c r="A192" s="64">
        <v>187</v>
      </c>
      <c r="B192" s="49" t="s">
        <v>57</v>
      </c>
      <c r="C192" s="65" t="s">
        <v>827</v>
      </c>
      <c r="D192" s="66" t="s">
        <v>828</v>
      </c>
      <c r="E192" s="65" t="s">
        <v>829</v>
      </c>
      <c r="F192" s="66" t="s">
        <v>5</v>
      </c>
      <c r="G192" s="67">
        <v>42957</v>
      </c>
      <c r="H192" s="67">
        <v>43061</v>
      </c>
      <c r="I192" s="67">
        <v>43119</v>
      </c>
      <c r="J192" s="66" t="s">
        <v>791</v>
      </c>
      <c r="K192" s="66" t="s">
        <v>7</v>
      </c>
      <c r="L192" s="66" t="s">
        <v>89</v>
      </c>
      <c r="M192" s="67" t="s">
        <v>830</v>
      </c>
      <c r="N192" s="66" t="s">
        <v>831</v>
      </c>
      <c r="O192" s="66" t="s">
        <v>7</v>
      </c>
      <c r="P192" s="66" t="s">
        <v>89</v>
      </c>
      <c r="Q192" s="66" t="s">
        <v>5003</v>
      </c>
      <c r="R192" s="67" cm="1">
        <f t="array" aca="1" ref="R192" ca="1">_xlfn.CHOOSECOLS(_xlfn.CHOOSEROWS(_xlfn._xlws.FILTER(표2[],표2[DWG No.]=C192,""),1),6)</f>
        <v>42984</v>
      </c>
      <c r="S192" s="67" cm="1">
        <f t="array" aca="1" ref="S192" ca="1">_xlfn.CHOOSECOLS(_xlfn.CHOOSEROWS(_xlfn._xlws.FILTER(표2[],(표2[DWG No.]=C192)*(ISNUMBER(표2[Rev.])),""),1),6)</f>
        <v>43069</v>
      </c>
    </row>
    <row r="193" spans="1:19" ht="18" customHeight="1" x14ac:dyDescent="0.45">
      <c r="A193" s="64">
        <v>188</v>
      </c>
      <c r="B193" s="49" t="s">
        <v>57</v>
      </c>
      <c r="C193" s="65" t="s">
        <v>832</v>
      </c>
      <c r="D193" s="66" t="s">
        <v>833</v>
      </c>
      <c r="E193" s="65" t="s">
        <v>834</v>
      </c>
      <c r="F193" s="66" t="s">
        <v>5</v>
      </c>
      <c r="G193" s="67">
        <v>42957</v>
      </c>
      <c r="H193" s="67">
        <v>43061</v>
      </c>
      <c r="I193" s="67">
        <v>43180</v>
      </c>
      <c r="J193" s="66" t="s">
        <v>835</v>
      </c>
      <c r="K193" s="66" t="s">
        <v>7</v>
      </c>
      <c r="L193" s="66" t="s">
        <v>230</v>
      </c>
      <c r="M193" s="67" t="s">
        <v>241</v>
      </c>
      <c r="N193" s="66" t="s">
        <v>836</v>
      </c>
      <c r="O193" s="66" t="s">
        <v>7</v>
      </c>
      <c r="P193" s="66" t="s">
        <v>230</v>
      </c>
      <c r="Q193" s="66" t="s">
        <v>5002</v>
      </c>
      <c r="R193" s="67" cm="1">
        <f t="array" aca="1" ref="R193" ca="1">_xlfn.CHOOSECOLS(_xlfn.CHOOSEROWS(_xlfn._xlws.FILTER(표2[],표2[DWG No.]=C193,""),1),6)</f>
        <v>42984</v>
      </c>
      <c r="S193" s="67" cm="1">
        <f t="array" aca="1" ref="S193" ca="1">_xlfn.CHOOSECOLS(_xlfn.CHOOSEROWS(_xlfn._xlws.FILTER(표2[],(표2[DWG No.]=C193)*(ISNUMBER(표2[Rev.])),""),1),6)</f>
        <v>43069</v>
      </c>
    </row>
    <row r="194" spans="1:19" ht="18" customHeight="1" x14ac:dyDescent="0.45">
      <c r="A194" s="64">
        <v>189</v>
      </c>
      <c r="B194" s="49" t="s">
        <v>57</v>
      </c>
      <c r="C194" s="65" t="s">
        <v>837</v>
      </c>
      <c r="D194" s="66" t="s">
        <v>838</v>
      </c>
      <c r="E194" s="65" t="s">
        <v>839</v>
      </c>
      <c r="F194" s="66" t="s">
        <v>5</v>
      </c>
      <c r="G194" s="67">
        <v>42957</v>
      </c>
      <c r="H194" s="67">
        <v>43061</v>
      </c>
      <c r="I194" s="67">
        <v>43119</v>
      </c>
      <c r="J194" s="66" t="s">
        <v>791</v>
      </c>
      <c r="K194" s="66" t="s">
        <v>7</v>
      </c>
      <c r="L194" s="66" t="s">
        <v>89</v>
      </c>
      <c r="M194" s="67" t="s">
        <v>237</v>
      </c>
      <c r="N194" s="66" t="s">
        <v>840</v>
      </c>
      <c r="O194" s="66" t="s">
        <v>7</v>
      </c>
      <c r="P194" s="66" t="s">
        <v>89</v>
      </c>
      <c r="Q194" s="66" t="s">
        <v>5002</v>
      </c>
      <c r="R194" s="67" cm="1">
        <f t="array" aca="1" ref="R194" ca="1">_xlfn.CHOOSECOLS(_xlfn.CHOOSEROWS(_xlfn._xlws.FILTER(표2[],표2[DWG No.]=C194,""),1),6)</f>
        <v>42970</v>
      </c>
      <c r="S194" s="67" cm="1">
        <f t="array" aca="1" ref="S194" ca="1">_xlfn.CHOOSECOLS(_xlfn.CHOOSEROWS(_xlfn._xlws.FILTER(표2[],(표2[DWG No.]=C194)*(ISNUMBER(표2[Rev.])),""),1),6)</f>
        <v>43069</v>
      </c>
    </row>
    <row r="195" spans="1:19" ht="18" customHeight="1" x14ac:dyDescent="0.45">
      <c r="A195" s="64">
        <v>190</v>
      </c>
      <c r="B195" s="49" t="s">
        <v>57</v>
      </c>
      <c r="C195" s="65" t="s">
        <v>841</v>
      </c>
      <c r="D195" s="66" t="s">
        <v>842</v>
      </c>
      <c r="E195" s="65" t="s">
        <v>843</v>
      </c>
      <c r="F195" s="66" t="s">
        <v>6</v>
      </c>
      <c r="G195" s="67">
        <v>42957</v>
      </c>
      <c r="H195" s="67">
        <v>43061</v>
      </c>
      <c r="I195" s="67">
        <v>43052</v>
      </c>
      <c r="J195" s="66" t="s">
        <v>844</v>
      </c>
      <c r="K195" s="66" t="s">
        <v>7</v>
      </c>
      <c r="L195" s="66" t="s">
        <v>62</v>
      </c>
      <c r="M195" s="67" t="s">
        <v>715</v>
      </c>
      <c r="N195" s="66" t="s">
        <v>845</v>
      </c>
      <c r="O195" s="66" t="s">
        <v>7</v>
      </c>
      <c r="P195" s="66" t="s">
        <v>62</v>
      </c>
      <c r="Q195" s="66" t="s">
        <v>5002</v>
      </c>
      <c r="R195" s="67" cm="1">
        <f t="array" aca="1" ref="R195" ca="1">_xlfn.CHOOSECOLS(_xlfn.CHOOSEROWS(_xlfn._xlws.FILTER(표2[],표2[DWG No.]=C195,""),1),6)</f>
        <v>42984</v>
      </c>
      <c r="S195" s="67" cm="1">
        <f t="array" aca="1" ref="S195" ca="1">_xlfn.CHOOSECOLS(_xlfn.CHOOSEROWS(_xlfn._xlws.FILTER(표2[],(표2[DWG No.]=C195)*(ISNUMBER(표2[Rev.])),""),1),6)</f>
        <v>43052</v>
      </c>
    </row>
    <row r="196" spans="1:19" ht="18" customHeight="1" x14ac:dyDescent="0.45">
      <c r="A196" s="64">
        <v>191</v>
      </c>
      <c r="B196" s="49" t="s">
        <v>57</v>
      </c>
      <c r="C196" s="65" t="s">
        <v>846</v>
      </c>
      <c r="D196" s="66" t="s">
        <v>847</v>
      </c>
      <c r="E196" s="65" t="s">
        <v>848</v>
      </c>
      <c r="F196" s="66" t="s">
        <v>6</v>
      </c>
      <c r="G196" s="67">
        <v>42957</v>
      </c>
      <c r="H196" s="67">
        <v>43061</v>
      </c>
      <c r="I196" s="67">
        <v>43052</v>
      </c>
      <c r="J196" s="66" t="s">
        <v>844</v>
      </c>
      <c r="K196" s="66" t="s">
        <v>7</v>
      </c>
      <c r="L196" s="66" t="s">
        <v>62</v>
      </c>
      <c r="M196" s="67" t="s">
        <v>715</v>
      </c>
      <c r="N196" s="66" t="s">
        <v>849</v>
      </c>
      <c r="O196" s="66" t="s">
        <v>7</v>
      </c>
      <c r="P196" s="66" t="s">
        <v>62</v>
      </c>
      <c r="Q196" s="66" t="s">
        <v>5002</v>
      </c>
      <c r="R196" s="67" cm="1">
        <f t="array" aca="1" ref="R196" ca="1">_xlfn.CHOOSECOLS(_xlfn.CHOOSEROWS(_xlfn._xlws.FILTER(표2[],표2[DWG No.]=C196,""),1),6)</f>
        <v>42970</v>
      </c>
      <c r="S196" s="67" cm="1">
        <f t="array" aca="1" ref="S196" ca="1">_xlfn.CHOOSECOLS(_xlfn.CHOOSEROWS(_xlfn._xlws.FILTER(표2[],(표2[DWG No.]=C196)*(ISNUMBER(표2[Rev.])),""),1),6)</f>
        <v>43052</v>
      </c>
    </row>
    <row r="197" spans="1:19" ht="18" customHeight="1" x14ac:dyDescent="0.45">
      <c r="A197" s="64">
        <v>192</v>
      </c>
      <c r="B197" s="49" t="s">
        <v>57</v>
      </c>
      <c r="C197" s="65" t="s">
        <v>850</v>
      </c>
      <c r="D197" s="66" t="s">
        <v>851</v>
      </c>
      <c r="E197" s="65" t="s">
        <v>852</v>
      </c>
      <c r="F197" s="66" t="s">
        <v>6</v>
      </c>
      <c r="G197" s="67">
        <v>42957</v>
      </c>
      <c r="H197" s="67">
        <v>43061</v>
      </c>
      <c r="I197" s="67">
        <v>43069</v>
      </c>
      <c r="J197" s="66" t="s">
        <v>853</v>
      </c>
      <c r="K197" s="66" t="s">
        <v>7</v>
      </c>
      <c r="L197" s="66" t="s">
        <v>62</v>
      </c>
      <c r="M197" s="67" t="s">
        <v>527</v>
      </c>
      <c r="N197" s="66" t="s">
        <v>854</v>
      </c>
      <c r="O197" s="66" t="s">
        <v>7</v>
      </c>
      <c r="P197" s="66" t="s">
        <v>62</v>
      </c>
      <c r="Q197" s="66" t="s">
        <v>5003</v>
      </c>
      <c r="R197" s="67" cm="1">
        <f t="array" aca="1" ref="R197" ca="1">_xlfn.CHOOSECOLS(_xlfn.CHOOSEROWS(_xlfn._xlws.FILTER(표2[],표2[DWG No.]=C197,""),1),6)</f>
        <v>42970</v>
      </c>
      <c r="S197" s="67" cm="1">
        <f t="array" aca="1" ref="S197" ca="1">_xlfn.CHOOSECOLS(_xlfn.CHOOSEROWS(_xlfn._xlws.FILTER(표2[],(표2[DWG No.]=C197)*(ISNUMBER(표2[Rev.])),""),1),6)</f>
        <v>43069</v>
      </c>
    </row>
    <row r="198" spans="1:19" ht="18" customHeight="1" x14ac:dyDescent="0.45">
      <c r="A198" s="64">
        <v>193</v>
      </c>
      <c r="B198" s="49" t="s">
        <v>57</v>
      </c>
      <c r="C198" s="65" t="s">
        <v>855</v>
      </c>
      <c r="D198" s="66" t="s">
        <v>856</v>
      </c>
      <c r="E198" s="65" t="s">
        <v>857</v>
      </c>
      <c r="F198" s="66" t="s">
        <v>6</v>
      </c>
      <c r="G198" s="67">
        <v>42957</v>
      </c>
      <c r="H198" s="67">
        <v>43061</v>
      </c>
      <c r="I198" s="67">
        <v>43158</v>
      </c>
      <c r="J198" s="66" t="s">
        <v>810</v>
      </c>
      <c r="K198" s="66" t="s">
        <v>7</v>
      </c>
      <c r="L198" s="66" t="s">
        <v>89</v>
      </c>
      <c r="M198" s="67" t="s">
        <v>825</v>
      </c>
      <c r="N198" s="66" t="s">
        <v>858</v>
      </c>
      <c r="O198" s="66" t="s">
        <v>7</v>
      </c>
      <c r="P198" s="66" t="s">
        <v>89</v>
      </c>
      <c r="Q198" s="66" t="s">
        <v>5002</v>
      </c>
      <c r="R198" s="67" cm="1">
        <f t="array" aca="1" ref="R198" ca="1">_xlfn.CHOOSECOLS(_xlfn.CHOOSEROWS(_xlfn._xlws.FILTER(표2[],표2[DWG No.]=C198,""),1),6)</f>
        <v>42970</v>
      </c>
      <c r="S198" s="67" cm="1">
        <f t="array" aca="1" ref="S198" ca="1">_xlfn.CHOOSECOLS(_xlfn.CHOOSEROWS(_xlfn._xlws.FILTER(표2[],(표2[DWG No.]=C198)*(ISNUMBER(표2[Rev.])),""),1),6)</f>
        <v>43069</v>
      </c>
    </row>
    <row r="199" spans="1:19" ht="18" customHeight="1" x14ac:dyDescent="0.45">
      <c r="A199" s="64">
        <v>194</v>
      </c>
      <c r="B199" s="49" t="s">
        <v>57</v>
      </c>
      <c r="C199" s="65" t="s">
        <v>859</v>
      </c>
      <c r="D199" s="66" t="s">
        <v>860</v>
      </c>
      <c r="E199" s="65" t="s">
        <v>861</v>
      </c>
      <c r="F199" s="66" t="s">
        <v>6</v>
      </c>
      <c r="G199" s="67">
        <v>42957</v>
      </c>
      <c r="H199" s="67">
        <v>43061</v>
      </c>
      <c r="I199" s="67">
        <v>43158</v>
      </c>
      <c r="J199" s="66" t="s">
        <v>810</v>
      </c>
      <c r="K199" s="66" t="s">
        <v>7</v>
      </c>
      <c r="L199" s="66" t="s">
        <v>89</v>
      </c>
      <c r="M199" s="67" t="s">
        <v>825</v>
      </c>
      <c r="N199" s="66" t="s">
        <v>862</v>
      </c>
      <c r="O199" s="66" t="s">
        <v>7</v>
      </c>
      <c r="P199" s="66" t="s">
        <v>89</v>
      </c>
      <c r="Q199" s="66" t="s">
        <v>5002</v>
      </c>
      <c r="R199" s="67" cm="1">
        <f t="array" aca="1" ref="R199" ca="1">_xlfn.CHOOSECOLS(_xlfn.CHOOSEROWS(_xlfn._xlws.FILTER(표2[],표2[DWG No.]=C199,""),1),6)</f>
        <v>42970</v>
      </c>
      <c r="S199" s="67" cm="1">
        <f t="array" aca="1" ref="S199" ca="1">_xlfn.CHOOSECOLS(_xlfn.CHOOSEROWS(_xlfn._xlws.FILTER(표2[],(표2[DWG No.]=C199)*(ISNUMBER(표2[Rev.])),""),1),6)</f>
        <v>43069</v>
      </c>
    </row>
    <row r="200" spans="1:19" ht="18" customHeight="1" x14ac:dyDescent="0.45">
      <c r="A200" s="64">
        <v>195</v>
      </c>
      <c r="B200" s="49" t="s">
        <v>57</v>
      </c>
      <c r="C200" s="65" t="s">
        <v>2655</v>
      </c>
      <c r="D200" s="66" t="s">
        <v>863</v>
      </c>
      <c r="E200" s="65" t="s">
        <v>864</v>
      </c>
      <c r="F200" s="66" t="s">
        <v>5</v>
      </c>
      <c r="G200" s="67">
        <v>42987</v>
      </c>
      <c r="H200" s="67">
        <v>43091</v>
      </c>
      <c r="I200" s="67">
        <v>43556</v>
      </c>
      <c r="J200" s="66" t="s">
        <v>2675</v>
      </c>
      <c r="K200" s="66" t="s">
        <v>7</v>
      </c>
      <c r="L200" s="66" t="s">
        <v>89</v>
      </c>
      <c r="M200" s="67" t="s">
        <v>2676</v>
      </c>
      <c r="N200" s="66" t="s">
        <v>2677</v>
      </c>
      <c r="O200" s="66" t="s">
        <v>7</v>
      </c>
      <c r="P200" s="66" t="s">
        <v>89</v>
      </c>
      <c r="Q200" s="66" t="s">
        <v>65</v>
      </c>
      <c r="R200" s="67" cm="1">
        <f t="array" aca="1" ref="R200" ca="1">_xlfn.CHOOSECOLS(_xlfn.CHOOSEROWS(_xlfn._xlws.FILTER(표2[],표2[DWG No.]=C200,""),1),6)</f>
        <v>42993</v>
      </c>
      <c r="S200" s="67" cm="1">
        <f t="array" aca="1" ref="S200" ca="1">_xlfn.CHOOSECOLS(_xlfn.CHOOSEROWS(_xlfn._xlws.FILTER(표2[],(표2[DWG No.]=C200)*(ISNUMBER(표2[Rev.])),""),1),6)</f>
        <v>43091</v>
      </c>
    </row>
    <row r="201" spans="1:19" ht="18" customHeight="1" x14ac:dyDescent="0.45">
      <c r="A201" s="64">
        <v>196</v>
      </c>
      <c r="B201" s="49" t="s">
        <v>57</v>
      </c>
      <c r="C201" s="65" t="s">
        <v>866</v>
      </c>
      <c r="D201" s="66" t="s">
        <v>867</v>
      </c>
      <c r="E201" s="65" t="s">
        <v>868</v>
      </c>
      <c r="F201" s="66" t="s">
        <v>5</v>
      </c>
      <c r="G201" s="67">
        <v>42987</v>
      </c>
      <c r="H201" s="67">
        <v>43091</v>
      </c>
      <c r="I201" s="67">
        <v>43180</v>
      </c>
      <c r="J201" s="66" t="s">
        <v>869</v>
      </c>
      <c r="K201" s="66" t="s">
        <v>7</v>
      </c>
      <c r="L201" s="66" t="s">
        <v>89</v>
      </c>
      <c r="M201" s="67" t="s">
        <v>241</v>
      </c>
      <c r="N201" s="66" t="s">
        <v>870</v>
      </c>
      <c r="O201" s="66" t="s">
        <v>7</v>
      </c>
      <c r="P201" s="66" t="s">
        <v>89</v>
      </c>
      <c r="Q201" s="66" t="s">
        <v>5002</v>
      </c>
      <c r="R201" s="67" cm="1">
        <f t="array" aca="1" ref="R201" ca="1">_xlfn.CHOOSECOLS(_xlfn.CHOOSEROWS(_xlfn._xlws.FILTER(표2[],표2[DWG No.]=C201,""),1),6)</f>
        <v>42993</v>
      </c>
      <c r="S201" s="67" cm="1">
        <f t="array" aca="1" ref="S201" ca="1">_xlfn.CHOOSECOLS(_xlfn.CHOOSEROWS(_xlfn._xlws.FILTER(표2[],(표2[DWG No.]=C201)*(ISNUMBER(표2[Rev.])),""),1),6)</f>
        <v>43091</v>
      </c>
    </row>
    <row r="202" spans="1:19" ht="18" customHeight="1" x14ac:dyDescent="0.45">
      <c r="A202" s="64">
        <v>197</v>
      </c>
      <c r="B202" s="49" t="s">
        <v>57</v>
      </c>
      <c r="C202" s="65" t="s">
        <v>871</v>
      </c>
      <c r="D202" s="66" t="s">
        <v>872</v>
      </c>
      <c r="E202" s="65" t="s">
        <v>873</v>
      </c>
      <c r="F202" s="66" t="s">
        <v>5</v>
      </c>
      <c r="G202" s="67">
        <v>42987</v>
      </c>
      <c r="H202" s="67">
        <v>43091</v>
      </c>
      <c r="I202" s="67">
        <v>43158</v>
      </c>
      <c r="J202" s="66" t="s">
        <v>810</v>
      </c>
      <c r="K202" s="66" t="s">
        <v>7</v>
      </c>
      <c r="L202" s="66" t="s">
        <v>89</v>
      </c>
      <c r="M202" s="67" t="s">
        <v>825</v>
      </c>
      <c r="N202" s="66" t="s">
        <v>874</v>
      </c>
      <c r="O202" s="66" t="s">
        <v>7</v>
      </c>
      <c r="P202" s="66" t="s">
        <v>89</v>
      </c>
      <c r="Q202" s="66" t="s">
        <v>5002</v>
      </c>
      <c r="R202" s="67" cm="1">
        <f t="array" aca="1" ref="R202" ca="1">_xlfn.CHOOSECOLS(_xlfn.CHOOSEROWS(_xlfn._xlws.FILTER(표2[],표2[DWG No.]=C202,""),1),6)</f>
        <v>42993</v>
      </c>
      <c r="S202" s="67" cm="1">
        <f t="array" aca="1" ref="S202" ca="1">_xlfn.CHOOSECOLS(_xlfn.CHOOSEROWS(_xlfn._xlws.FILTER(표2[],(표2[DWG No.]=C202)*(ISNUMBER(표2[Rev.])),""),1),6)</f>
        <v>43091</v>
      </c>
    </row>
    <row r="203" spans="1:19" ht="18" customHeight="1" x14ac:dyDescent="0.45">
      <c r="A203" s="64">
        <v>198</v>
      </c>
      <c r="B203" s="49" t="s">
        <v>57</v>
      </c>
      <c r="C203" s="65" t="s">
        <v>875</v>
      </c>
      <c r="D203" s="66" t="s">
        <v>876</v>
      </c>
      <c r="E203" s="65" t="s">
        <v>877</v>
      </c>
      <c r="F203" s="66" t="s">
        <v>5</v>
      </c>
      <c r="G203" s="67">
        <v>42987</v>
      </c>
      <c r="H203" s="67">
        <v>43091</v>
      </c>
      <c r="I203" s="67">
        <v>43509</v>
      </c>
      <c r="J203" s="66" t="s">
        <v>2686</v>
      </c>
      <c r="K203" s="66" t="s">
        <v>7</v>
      </c>
      <c r="L203" s="66" t="s">
        <v>230</v>
      </c>
      <c r="M203" s="67" t="s">
        <v>2656</v>
      </c>
      <c r="N203" s="66" t="s">
        <v>2687</v>
      </c>
      <c r="O203" s="66" t="s">
        <v>7</v>
      </c>
      <c r="P203" s="66" t="s">
        <v>230</v>
      </c>
      <c r="Q203" s="66" t="s">
        <v>65</v>
      </c>
      <c r="R203" s="67" cm="1">
        <f t="array" aca="1" ref="R203" ca="1">_xlfn.CHOOSECOLS(_xlfn.CHOOSEROWS(_xlfn._xlws.FILTER(표2[],표2[DWG No.]=C203,""),1),6)</f>
        <v>42993</v>
      </c>
      <c r="S203" s="67" cm="1">
        <f t="array" aca="1" ref="S203" ca="1">_xlfn.CHOOSECOLS(_xlfn.CHOOSEROWS(_xlfn._xlws.FILTER(표2[],(표2[DWG No.]=C203)*(ISNUMBER(표2[Rev.])),""),1),6)</f>
        <v>43091</v>
      </c>
    </row>
    <row r="204" spans="1:19" ht="18" customHeight="1" x14ac:dyDescent="0.45">
      <c r="A204" s="64">
        <v>199</v>
      </c>
      <c r="B204" s="49" t="s">
        <v>57</v>
      </c>
      <c r="C204" s="65" t="s">
        <v>878</v>
      </c>
      <c r="D204" s="66" t="s">
        <v>879</v>
      </c>
      <c r="E204" s="65" t="s">
        <v>880</v>
      </c>
      <c r="F204" s="66" t="s">
        <v>5</v>
      </c>
      <c r="G204" s="67">
        <v>42987</v>
      </c>
      <c r="H204" s="67">
        <v>43091</v>
      </c>
      <c r="I204" s="67">
        <v>43091</v>
      </c>
      <c r="J204" s="66" t="s">
        <v>865</v>
      </c>
      <c r="K204" s="66" t="s">
        <v>7</v>
      </c>
      <c r="L204" s="66" t="s">
        <v>62</v>
      </c>
      <c r="M204" s="67" t="s">
        <v>155</v>
      </c>
      <c r="N204" s="66" t="s">
        <v>881</v>
      </c>
      <c r="O204" s="66" t="s">
        <v>7</v>
      </c>
      <c r="P204" s="66" t="s">
        <v>62</v>
      </c>
      <c r="Q204" s="66" t="s">
        <v>5002</v>
      </c>
      <c r="R204" s="67" cm="1">
        <f t="array" aca="1" ref="R204" ca="1">_xlfn.CHOOSECOLS(_xlfn.CHOOSEROWS(_xlfn._xlws.FILTER(표2[],표2[DWG No.]=C204,""),1),6)</f>
        <v>42993</v>
      </c>
      <c r="S204" s="67" cm="1">
        <f t="array" aca="1" ref="S204" ca="1">_xlfn.CHOOSECOLS(_xlfn.CHOOSEROWS(_xlfn._xlws.FILTER(표2[],(표2[DWG No.]=C204)*(ISNUMBER(표2[Rev.])),""),1),6)</f>
        <v>43091</v>
      </c>
    </row>
    <row r="205" spans="1:19" ht="18" customHeight="1" x14ac:dyDescent="0.45">
      <c r="A205" s="64">
        <v>200</v>
      </c>
      <c r="B205" s="49" t="s">
        <v>57</v>
      </c>
      <c r="C205" s="65" t="s">
        <v>882</v>
      </c>
      <c r="D205" s="66" t="s">
        <v>883</v>
      </c>
      <c r="E205" s="65" t="s">
        <v>884</v>
      </c>
      <c r="F205" s="66" t="s">
        <v>5</v>
      </c>
      <c r="G205" s="67">
        <v>42987</v>
      </c>
      <c r="H205" s="67">
        <v>43091</v>
      </c>
      <c r="I205" s="67">
        <v>43180</v>
      </c>
      <c r="J205" s="66" t="s">
        <v>835</v>
      </c>
      <c r="K205" s="66" t="s">
        <v>7</v>
      </c>
      <c r="L205" s="66" t="s">
        <v>230</v>
      </c>
      <c r="M205" s="67" t="s">
        <v>241</v>
      </c>
      <c r="N205" s="66" t="s">
        <v>885</v>
      </c>
      <c r="O205" s="66" t="s">
        <v>7</v>
      </c>
      <c r="P205" s="66" t="s">
        <v>230</v>
      </c>
      <c r="Q205" s="66" t="s">
        <v>5002</v>
      </c>
      <c r="R205" s="67" cm="1">
        <f t="array" aca="1" ref="R205" ca="1">_xlfn.CHOOSECOLS(_xlfn.CHOOSEROWS(_xlfn._xlws.FILTER(표2[],표2[DWG No.]=C205,""),1),6)</f>
        <v>42993</v>
      </c>
      <c r="S205" s="67" cm="1">
        <f t="array" aca="1" ref="S205" ca="1">_xlfn.CHOOSECOLS(_xlfn.CHOOSEROWS(_xlfn._xlws.FILTER(표2[],(표2[DWG No.]=C205)*(ISNUMBER(표2[Rev.])),""),1),6)</f>
        <v>43091</v>
      </c>
    </row>
    <row r="206" spans="1:19" ht="18" customHeight="1" x14ac:dyDescent="0.45">
      <c r="A206" s="64">
        <v>201</v>
      </c>
      <c r="B206" s="49" t="s">
        <v>57</v>
      </c>
      <c r="C206" s="65" t="s">
        <v>886</v>
      </c>
      <c r="D206" s="66" t="s">
        <v>887</v>
      </c>
      <c r="E206" s="65" t="s">
        <v>888</v>
      </c>
      <c r="F206" s="66" t="s">
        <v>5</v>
      </c>
      <c r="G206" s="67">
        <v>43117</v>
      </c>
      <c r="H206" s="67">
        <v>43221</v>
      </c>
      <c r="I206" s="67">
        <v>43217</v>
      </c>
      <c r="J206" s="66" t="s">
        <v>2484</v>
      </c>
      <c r="K206" s="66" t="s">
        <v>7</v>
      </c>
      <c r="L206" s="66" t="s">
        <v>62</v>
      </c>
      <c r="M206" s="67" t="s">
        <v>2485</v>
      </c>
      <c r="N206" s="66" t="s">
        <v>2486</v>
      </c>
      <c r="O206" s="66" t="s">
        <v>7</v>
      </c>
      <c r="P206" s="66" t="s">
        <v>62</v>
      </c>
      <c r="Q206" s="66" t="s">
        <v>5003</v>
      </c>
      <c r="R206" s="67" cm="1">
        <f t="array" aca="1" ref="R206" ca="1">_xlfn.CHOOSECOLS(_xlfn.CHOOSEROWS(_xlfn._xlws.FILTER(표2[],표2[DWG No.]=C206,""),1),6)</f>
        <v>43117</v>
      </c>
      <c r="S206" s="67" cm="1">
        <f t="array" aca="1" ref="S206" ca="1">_xlfn.CHOOSECOLS(_xlfn.CHOOSEROWS(_xlfn._xlws.FILTER(표2[],(표2[DWG No.]=C206)*(ISNUMBER(표2[Rev.])),""),1),6)</f>
        <v>43217</v>
      </c>
    </row>
    <row r="207" spans="1:19" ht="18" customHeight="1" x14ac:dyDescent="0.45">
      <c r="A207" s="64">
        <v>202</v>
      </c>
      <c r="B207" s="49" t="s">
        <v>57</v>
      </c>
      <c r="C207" s="65" t="s">
        <v>889</v>
      </c>
      <c r="D207" s="66" t="s">
        <v>890</v>
      </c>
      <c r="E207" s="65" t="s">
        <v>891</v>
      </c>
      <c r="F207" s="66" t="s">
        <v>6</v>
      </c>
      <c r="G207" s="67">
        <v>42906</v>
      </c>
      <c r="H207" s="67">
        <v>43010</v>
      </c>
      <c r="I207" s="67">
        <v>43066</v>
      </c>
      <c r="J207" s="66" t="s">
        <v>892</v>
      </c>
      <c r="K207" s="66" t="s">
        <v>7</v>
      </c>
      <c r="L207" s="66" t="s">
        <v>62</v>
      </c>
      <c r="M207" s="67" t="s">
        <v>155</v>
      </c>
      <c r="N207" s="66" t="s">
        <v>893</v>
      </c>
      <c r="O207" s="66" t="s">
        <v>7</v>
      </c>
      <c r="P207" s="66" t="s">
        <v>62</v>
      </c>
      <c r="Q207" s="66" t="s">
        <v>5002</v>
      </c>
      <c r="R207" s="67" cm="1">
        <f t="array" aca="1" ref="R207" ca="1">_xlfn.CHOOSECOLS(_xlfn.CHOOSEROWS(_xlfn._xlws.FILTER(표2[],표2[DWG No.]=C207,""),1),6)</f>
        <v>42922</v>
      </c>
      <c r="S207" s="67" cm="1">
        <f t="array" aca="1" ref="S207" ca="1">_xlfn.CHOOSECOLS(_xlfn.CHOOSEROWS(_xlfn._xlws.FILTER(표2[],(표2[DWG No.]=C207)*(ISNUMBER(표2[Rev.])),""),1),6)</f>
        <v>43066</v>
      </c>
    </row>
    <row r="208" spans="1:19" ht="18" customHeight="1" x14ac:dyDescent="0.45">
      <c r="A208" s="64">
        <v>203</v>
      </c>
      <c r="B208" s="49" t="s">
        <v>57</v>
      </c>
      <c r="C208" s="65" t="s">
        <v>894</v>
      </c>
      <c r="D208" s="66" t="s">
        <v>895</v>
      </c>
      <c r="E208" s="65" t="s">
        <v>896</v>
      </c>
      <c r="F208" s="66" t="s">
        <v>6</v>
      </c>
      <c r="G208" s="67">
        <v>42906</v>
      </c>
      <c r="H208" s="67">
        <v>43010</v>
      </c>
      <c r="I208" s="67">
        <v>43192</v>
      </c>
      <c r="J208" s="66" t="s">
        <v>897</v>
      </c>
      <c r="K208" s="66" t="s">
        <v>7</v>
      </c>
      <c r="L208" s="66" t="s">
        <v>89</v>
      </c>
      <c r="M208" s="67" t="s">
        <v>898</v>
      </c>
      <c r="N208" s="66" t="s">
        <v>899</v>
      </c>
      <c r="O208" s="66" t="s">
        <v>7</v>
      </c>
      <c r="P208" s="66" t="s">
        <v>89</v>
      </c>
      <c r="Q208" s="66" t="s">
        <v>5002</v>
      </c>
      <c r="R208" s="67" cm="1">
        <f t="array" aca="1" ref="R208" ca="1">_xlfn.CHOOSECOLS(_xlfn.CHOOSEROWS(_xlfn._xlws.FILTER(표2[],표2[DWG No.]=C208,""),1),6)</f>
        <v>42922</v>
      </c>
      <c r="S208" s="67" cm="1">
        <f t="array" aca="1" ref="S208" ca="1">_xlfn.CHOOSECOLS(_xlfn.CHOOSEROWS(_xlfn._xlws.FILTER(표2[],(표2[DWG No.]=C208)*(ISNUMBER(표2[Rev.])),""),1),6)</f>
        <v>43066</v>
      </c>
    </row>
    <row r="209" spans="1:19" ht="18" customHeight="1" x14ac:dyDescent="0.45">
      <c r="A209" s="64">
        <v>204</v>
      </c>
      <c r="B209" s="49" t="s">
        <v>57</v>
      </c>
      <c r="C209" s="65" t="s">
        <v>900</v>
      </c>
      <c r="D209" s="66" t="s">
        <v>901</v>
      </c>
      <c r="E209" s="65" t="s">
        <v>902</v>
      </c>
      <c r="F209" s="66" t="s">
        <v>6</v>
      </c>
      <c r="G209" s="67">
        <v>42906</v>
      </c>
      <c r="H209" s="67">
        <v>43010</v>
      </c>
      <c r="I209" s="67">
        <v>43066</v>
      </c>
      <c r="J209" s="66" t="s">
        <v>892</v>
      </c>
      <c r="K209" s="66" t="s">
        <v>7</v>
      </c>
      <c r="L209" s="66" t="s">
        <v>62</v>
      </c>
      <c r="M209" s="67" t="s">
        <v>155</v>
      </c>
      <c r="N209" s="66" t="s">
        <v>903</v>
      </c>
      <c r="O209" s="66" t="s">
        <v>7</v>
      </c>
      <c r="P209" s="66" t="s">
        <v>62</v>
      </c>
      <c r="Q209" s="66" t="s">
        <v>5002</v>
      </c>
      <c r="R209" s="67" cm="1">
        <f t="array" aca="1" ref="R209" ca="1">_xlfn.CHOOSECOLS(_xlfn.CHOOSEROWS(_xlfn._xlws.FILTER(표2[],표2[DWG No.]=C209,""),1),6)</f>
        <v>42922</v>
      </c>
      <c r="S209" s="67" cm="1">
        <f t="array" aca="1" ref="S209" ca="1">_xlfn.CHOOSECOLS(_xlfn.CHOOSEROWS(_xlfn._xlws.FILTER(표2[],(표2[DWG No.]=C209)*(ISNUMBER(표2[Rev.])),""),1),6)</f>
        <v>43066</v>
      </c>
    </row>
    <row r="210" spans="1:19" ht="18" customHeight="1" x14ac:dyDescent="0.45">
      <c r="A210" s="64">
        <v>205</v>
      </c>
      <c r="B210" s="49" t="s">
        <v>57</v>
      </c>
      <c r="C210" s="65" t="s">
        <v>904</v>
      </c>
      <c r="D210" s="66" t="s">
        <v>905</v>
      </c>
      <c r="E210" s="65" t="s">
        <v>906</v>
      </c>
      <c r="F210" s="66" t="s">
        <v>6</v>
      </c>
      <c r="G210" s="67">
        <v>42936</v>
      </c>
      <c r="H210" s="67">
        <v>43040</v>
      </c>
      <c r="I210" s="67">
        <v>43066</v>
      </c>
      <c r="J210" s="66" t="s">
        <v>892</v>
      </c>
      <c r="K210" s="66" t="s">
        <v>7</v>
      </c>
      <c r="L210" s="66" t="s">
        <v>62</v>
      </c>
      <c r="M210" s="67" t="s">
        <v>155</v>
      </c>
      <c r="N210" s="66" t="s">
        <v>907</v>
      </c>
      <c r="O210" s="66" t="s">
        <v>7</v>
      </c>
      <c r="P210" s="66" t="s">
        <v>62</v>
      </c>
      <c r="Q210" s="66" t="s">
        <v>5002</v>
      </c>
      <c r="R210" s="67" cm="1">
        <f t="array" aca="1" ref="R210" ca="1">_xlfn.CHOOSECOLS(_xlfn.CHOOSEROWS(_xlfn._xlws.FILTER(표2[],표2[DWG No.]=C210,""),1),6)</f>
        <v>42942</v>
      </c>
      <c r="S210" s="67" cm="1">
        <f t="array" aca="1" ref="S210" ca="1">_xlfn.CHOOSECOLS(_xlfn.CHOOSEROWS(_xlfn._xlws.FILTER(표2[],(표2[DWG No.]=C210)*(ISNUMBER(표2[Rev.])),""),1),6)</f>
        <v>43066</v>
      </c>
    </row>
    <row r="211" spans="1:19" ht="18" customHeight="1" x14ac:dyDescent="0.45">
      <c r="A211" s="64">
        <v>206</v>
      </c>
      <c r="B211" s="49" t="s">
        <v>57</v>
      </c>
      <c r="C211" s="65" t="s">
        <v>908</v>
      </c>
      <c r="D211" s="66" t="s">
        <v>909</v>
      </c>
      <c r="E211" s="65" t="s">
        <v>910</v>
      </c>
      <c r="F211" s="66" t="s">
        <v>5</v>
      </c>
      <c r="G211" s="67">
        <v>42936</v>
      </c>
      <c r="H211" s="67">
        <v>43040</v>
      </c>
      <c r="I211" s="67">
        <v>43066</v>
      </c>
      <c r="J211" s="66" t="s">
        <v>892</v>
      </c>
      <c r="K211" s="66" t="s">
        <v>7</v>
      </c>
      <c r="L211" s="66" t="s">
        <v>62</v>
      </c>
      <c r="M211" s="67" t="s">
        <v>155</v>
      </c>
      <c r="N211" s="66" t="s">
        <v>911</v>
      </c>
      <c r="O211" s="66" t="s">
        <v>7</v>
      </c>
      <c r="P211" s="66" t="s">
        <v>62</v>
      </c>
      <c r="Q211" s="66" t="s">
        <v>5002</v>
      </c>
      <c r="R211" s="67" cm="1">
        <f t="array" aca="1" ref="R211" ca="1">_xlfn.CHOOSECOLS(_xlfn.CHOOSEROWS(_xlfn._xlws.FILTER(표2[],표2[DWG No.]=C211,""),1),6)</f>
        <v>42942</v>
      </c>
      <c r="S211" s="67" cm="1">
        <f t="array" aca="1" ref="S211" ca="1">_xlfn.CHOOSECOLS(_xlfn.CHOOSEROWS(_xlfn._xlws.FILTER(표2[],(표2[DWG No.]=C211)*(ISNUMBER(표2[Rev.])),""),1),6)</f>
        <v>43066</v>
      </c>
    </row>
    <row r="212" spans="1:19" ht="18" customHeight="1" x14ac:dyDescent="0.45">
      <c r="A212" s="64">
        <v>207</v>
      </c>
      <c r="B212" s="49" t="s">
        <v>57</v>
      </c>
      <c r="C212" s="65" t="s">
        <v>912</v>
      </c>
      <c r="D212" s="66" t="s">
        <v>913</v>
      </c>
      <c r="E212" s="65" t="s">
        <v>914</v>
      </c>
      <c r="F212" s="66" t="s">
        <v>5</v>
      </c>
      <c r="G212" s="67">
        <v>42936</v>
      </c>
      <c r="H212" s="67">
        <v>43040</v>
      </c>
      <c r="I212" s="67">
        <v>43066</v>
      </c>
      <c r="J212" s="66" t="s">
        <v>892</v>
      </c>
      <c r="K212" s="66" t="s">
        <v>7</v>
      </c>
      <c r="L212" s="66" t="s">
        <v>62</v>
      </c>
      <c r="M212" s="67" t="s">
        <v>155</v>
      </c>
      <c r="N212" s="66" t="s">
        <v>915</v>
      </c>
      <c r="O212" s="66" t="s">
        <v>7</v>
      </c>
      <c r="P212" s="66" t="s">
        <v>62</v>
      </c>
      <c r="Q212" s="66" t="s">
        <v>5002</v>
      </c>
      <c r="R212" s="67" cm="1">
        <f t="array" aca="1" ref="R212" ca="1">_xlfn.CHOOSECOLS(_xlfn.CHOOSEROWS(_xlfn._xlws.FILTER(표2[],표2[DWG No.]=C212,""),1),6)</f>
        <v>42942</v>
      </c>
      <c r="S212" s="67" cm="1">
        <f t="array" aca="1" ref="S212" ca="1">_xlfn.CHOOSECOLS(_xlfn.CHOOSEROWS(_xlfn._xlws.FILTER(표2[],(표2[DWG No.]=C212)*(ISNUMBER(표2[Rev.])),""),1),6)</f>
        <v>43066</v>
      </c>
    </row>
    <row r="213" spans="1:19" ht="18" customHeight="1" x14ac:dyDescent="0.45">
      <c r="A213" s="64">
        <v>208</v>
      </c>
      <c r="B213" s="49" t="s">
        <v>57</v>
      </c>
      <c r="C213" s="65" t="s">
        <v>916</v>
      </c>
      <c r="D213" s="66" t="s">
        <v>917</v>
      </c>
      <c r="E213" s="65" t="s">
        <v>918</v>
      </c>
      <c r="F213" s="66" t="s">
        <v>6</v>
      </c>
      <c r="G213" s="67">
        <v>42966</v>
      </c>
      <c r="H213" s="67">
        <v>43070</v>
      </c>
      <c r="I213" s="67">
        <v>43066</v>
      </c>
      <c r="J213" s="66" t="s">
        <v>892</v>
      </c>
      <c r="K213" s="66" t="s">
        <v>7</v>
      </c>
      <c r="L213" s="66" t="s">
        <v>62</v>
      </c>
      <c r="M213" s="67" t="s">
        <v>155</v>
      </c>
      <c r="N213" s="66" t="s">
        <v>919</v>
      </c>
      <c r="O213" s="66" t="s">
        <v>7</v>
      </c>
      <c r="P213" s="66" t="s">
        <v>62</v>
      </c>
      <c r="Q213" s="66" t="s">
        <v>5002</v>
      </c>
      <c r="R213" s="67" cm="1">
        <f t="array" aca="1" ref="R213" ca="1">_xlfn.CHOOSECOLS(_xlfn.CHOOSEROWS(_xlfn._xlws.FILTER(표2[],표2[DWG No.]=C213,""),1),6)</f>
        <v>42970</v>
      </c>
      <c r="S213" s="67" cm="1">
        <f t="array" aca="1" ref="S213" ca="1">_xlfn.CHOOSECOLS(_xlfn.CHOOSEROWS(_xlfn._xlws.FILTER(표2[],(표2[DWG No.]=C213)*(ISNUMBER(표2[Rev.])),""),1),6)</f>
        <v>43066</v>
      </c>
    </row>
    <row r="214" spans="1:19" ht="18" customHeight="1" x14ac:dyDescent="0.45">
      <c r="A214" s="64">
        <v>209</v>
      </c>
      <c r="B214" s="49" t="s">
        <v>57</v>
      </c>
      <c r="C214" s="65" t="s">
        <v>920</v>
      </c>
      <c r="D214" s="66" t="s">
        <v>921</v>
      </c>
      <c r="E214" s="65" t="s">
        <v>922</v>
      </c>
      <c r="F214" s="66" t="s">
        <v>6</v>
      </c>
      <c r="G214" s="67">
        <v>42966</v>
      </c>
      <c r="H214" s="67">
        <v>43070</v>
      </c>
      <c r="I214" s="67">
        <v>43066</v>
      </c>
      <c r="J214" s="66" t="s">
        <v>892</v>
      </c>
      <c r="K214" s="66" t="s">
        <v>7</v>
      </c>
      <c r="L214" s="66" t="s">
        <v>62</v>
      </c>
      <c r="M214" s="67" t="s">
        <v>155</v>
      </c>
      <c r="N214" s="66" t="s">
        <v>923</v>
      </c>
      <c r="O214" s="66" t="s">
        <v>7</v>
      </c>
      <c r="P214" s="66" t="s">
        <v>62</v>
      </c>
      <c r="Q214" s="66" t="s">
        <v>5002</v>
      </c>
      <c r="R214" s="67" cm="1">
        <f t="array" aca="1" ref="R214" ca="1">_xlfn.CHOOSECOLS(_xlfn.CHOOSEROWS(_xlfn._xlws.FILTER(표2[],표2[DWG No.]=C214,""),1),6)</f>
        <v>42970</v>
      </c>
      <c r="S214" s="67" cm="1">
        <f t="array" aca="1" ref="S214" ca="1">_xlfn.CHOOSECOLS(_xlfn.CHOOSEROWS(_xlfn._xlws.FILTER(표2[],(표2[DWG No.]=C214)*(ISNUMBER(표2[Rev.])),""),1),6)</f>
        <v>43066</v>
      </c>
    </row>
    <row r="215" spans="1:19" ht="18" customHeight="1" x14ac:dyDescent="0.45">
      <c r="A215" s="64">
        <v>210</v>
      </c>
      <c r="B215" s="49" t="s">
        <v>57</v>
      </c>
      <c r="C215" s="65" t="s">
        <v>924</v>
      </c>
      <c r="D215" s="66" t="s">
        <v>925</v>
      </c>
      <c r="E215" s="65" t="s">
        <v>926</v>
      </c>
      <c r="F215" s="66" t="s">
        <v>5</v>
      </c>
      <c r="G215" s="67">
        <v>42996</v>
      </c>
      <c r="H215" s="67">
        <v>43100</v>
      </c>
      <c r="I215" s="67">
        <v>43203</v>
      </c>
      <c r="J215" s="66" t="s">
        <v>927</v>
      </c>
      <c r="K215" s="66" t="s">
        <v>7</v>
      </c>
      <c r="L215" s="66" t="s">
        <v>89</v>
      </c>
      <c r="M215" s="67" t="s">
        <v>2487</v>
      </c>
      <c r="N215" s="66" t="s">
        <v>2488</v>
      </c>
      <c r="O215" s="66" t="s">
        <v>7</v>
      </c>
      <c r="P215" s="66" t="s">
        <v>89</v>
      </c>
      <c r="Q215" s="66" t="s">
        <v>5002</v>
      </c>
      <c r="R215" s="67" cm="1">
        <f t="array" aca="1" ref="R215" ca="1">_xlfn.CHOOSECOLS(_xlfn.CHOOSEROWS(_xlfn._xlws.FILTER(표2[],표2[DWG No.]=C215,""),1),6)</f>
        <v>43007</v>
      </c>
      <c r="S215" s="67" cm="1">
        <f t="array" aca="1" ref="S215" ca="1">_xlfn.CHOOSECOLS(_xlfn.CHOOSEROWS(_xlfn._xlws.FILTER(표2[],(표2[DWG No.]=C215)*(ISNUMBER(표2[Rev.])),""),1),6)</f>
        <v>43052</v>
      </c>
    </row>
    <row r="216" spans="1:19" ht="18" customHeight="1" x14ac:dyDescent="0.45">
      <c r="A216" s="64">
        <v>211</v>
      </c>
      <c r="B216" s="49" t="s">
        <v>57</v>
      </c>
      <c r="C216" s="65" t="s">
        <v>928</v>
      </c>
      <c r="D216" s="66" t="s">
        <v>929</v>
      </c>
      <c r="E216" s="65" t="s">
        <v>930</v>
      </c>
      <c r="F216" s="66" t="s">
        <v>5</v>
      </c>
      <c r="G216" s="67">
        <v>42996</v>
      </c>
      <c r="H216" s="67">
        <v>43100</v>
      </c>
      <c r="I216" s="67">
        <v>43052</v>
      </c>
      <c r="J216" s="66" t="s">
        <v>931</v>
      </c>
      <c r="K216" s="66" t="s">
        <v>7</v>
      </c>
      <c r="L216" s="66" t="s">
        <v>62</v>
      </c>
      <c r="M216" s="67" t="s">
        <v>715</v>
      </c>
      <c r="N216" s="66" t="s">
        <v>932</v>
      </c>
      <c r="O216" s="66" t="s">
        <v>7</v>
      </c>
      <c r="P216" s="66" t="s">
        <v>62</v>
      </c>
      <c r="Q216" s="66" t="s">
        <v>5002</v>
      </c>
      <c r="R216" s="67" cm="1">
        <f t="array" aca="1" ref="R216" ca="1">_xlfn.CHOOSECOLS(_xlfn.CHOOSEROWS(_xlfn._xlws.FILTER(표2[],표2[DWG No.]=C216,""),1),6)</f>
        <v>43007</v>
      </c>
      <c r="S216" s="67" cm="1">
        <f t="array" aca="1" ref="S216" ca="1">_xlfn.CHOOSECOLS(_xlfn.CHOOSEROWS(_xlfn._xlws.FILTER(표2[],(표2[DWG No.]=C216)*(ISNUMBER(표2[Rev.])),""),1),6)</f>
        <v>43052</v>
      </c>
    </row>
    <row r="217" spans="1:19" ht="18" customHeight="1" x14ac:dyDescent="0.45">
      <c r="A217" s="64">
        <v>212</v>
      </c>
      <c r="B217" s="49" t="s">
        <v>57</v>
      </c>
      <c r="C217" s="65" t="s">
        <v>933</v>
      </c>
      <c r="D217" s="66" t="s">
        <v>934</v>
      </c>
      <c r="E217" s="65" t="s">
        <v>935</v>
      </c>
      <c r="F217" s="66" t="s">
        <v>5</v>
      </c>
      <c r="G217" s="67">
        <v>42996</v>
      </c>
      <c r="H217" s="67">
        <v>43100</v>
      </c>
      <c r="I217" s="67">
        <v>43203</v>
      </c>
      <c r="J217" s="66" t="s">
        <v>927</v>
      </c>
      <c r="K217" s="66" t="s">
        <v>7</v>
      </c>
      <c r="L217" s="66" t="s">
        <v>89</v>
      </c>
      <c r="M217" s="67" t="s">
        <v>2487</v>
      </c>
      <c r="N217" s="66" t="s">
        <v>2489</v>
      </c>
      <c r="O217" s="66" t="s">
        <v>7</v>
      </c>
      <c r="P217" s="66" t="s">
        <v>89</v>
      </c>
      <c r="Q217" s="66" t="s">
        <v>5002</v>
      </c>
      <c r="R217" s="67" cm="1">
        <f t="array" aca="1" ref="R217" ca="1">_xlfn.CHOOSECOLS(_xlfn.CHOOSEROWS(_xlfn._xlws.FILTER(표2[],표2[DWG No.]=C217,""),1),6)</f>
        <v>43007</v>
      </c>
      <c r="S217" s="67" cm="1">
        <f t="array" aca="1" ref="S217" ca="1">_xlfn.CHOOSECOLS(_xlfn.CHOOSEROWS(_xlfn._xlws.FILTER(표2[],(표2[DWG No.]=C217)*(ISNUMBER(표2[Rev.])),""),1),6)</f>
        <v>43068</v>
      </c>
    </row>
    <row r="218" spans="1:19" ht="18" customHeight="1" x14ac:dyDescent="0.45">
      <c r="A218" s="64">
        <v>213</v>
      </c>
      <c r="B218" s="49" t="s">
        <v>57</v>
      </c>
      <c r="C218" s="65" t="s">
        <v>936</v>
      </c>
      <c r="D218" s="66" t="s">
        <v>937</v>
      </c>
      <c r="E218" s="65" t="s">
        <v>938</v>
      </c>
      <c r="F218" s="66" t="s">
        <v>5</v>
      </c>
      <c r="G218" s="67">
        <v>43086</v>
      </c>
      <c r="H218" s="67">
        <v>43190</v>
      </c>
      <c r="I218" s="67">
        <v>43192</v>
      </c>
      <c r="J218" s="66" t="s">
        <v>897</v>
      </c>
      <c r="K218" s="66" t="s">
        <v>7</v>
      </c>
      <c r="L218" s="66" t="s">
        <v>62</v>
      </c>
      <c r="M218" s="67" t="s">
        <v>898</v>
      </c>
      <c r="N218" s="66" t="s">
        <v>939</v>
      </c>
      <c r="O218" s="66" t="s">
        <v>7</v>
      </c>
      <c r="P218" s="66" t="s">
        <v>62</v>
      </c>
      <c r="Q218" s="66" t="s">
        <v>5002</v>
      </c>
      <c r="R218" s="67" cm="1">
        <f t="array" aca="1" ref="R218" ca="1">_xlfn.CHOOSECOLS(_xlfn.CHOOSEROWS(_xlfn._xlws.FILTER(표2[],표2[DWG No.]=C218,""),1),6)</f>
        <v>43074</v>
      </c>
      <c r="S218" s="67" cm="1">
        <f t="array" aca="1" ref="S218" ca="1">_xlfn.CHOOSECOLS(_xlfn.CHOOSEROWS(_xlfn._xlws.FILTER(표2[],(표2[DWG No.]=C218)*(ISNUMBER(표2[Rev.])),""),1),6)</f>
        <v>43192</v>
      </c>
    </row>
    <row r="219" spans="1:19" ht="18" customHeight="1" x14ac:dyDescent="0.45">
      <c r="A219" s="64">
        <v>214</v>
      </c>
      <c r="B219" s="49" t="s">
        <v>57</v>
      </c>
      <c r="C219" s="65" t="s">
        <v>940</v>
      </c>
      <c r="D219" s="66" t="s">
        <v>941</v>
      </c>
      <c r="E219" s="65" t="s">
        <v>942</v>
      </c>
      <c r="F219" s="66" t="s">
        <v>6</v>
      </c>
      <c r="G219" s="67">
        <v>42881</v>
      </c>
      <c r="H219" s="67">
        <v>42986</v>
      </c>
      <c r="I219" s="67">
        <v>43171</v>
      </c>
      <c r="J219" s="66" t="s">
        <v>943</v>
      </c>
      <c r="K219" s="66" t="s">
        <v>7</v>
      </c>
      <c r="L219" s="66" t="s">
        <v>89</v>
      </c>
      <c r="M219" s="67" t="s">
        <v>944</v>
      </c>
      <c r="N219" s="66" t="s">
        <v>945</v>
      </c>
      <c r="O219" s="66" t="s">
        <v>7</v>
      </c>
      <c r="P219" s="66" t="s">
        <v>89</v>
      </c>
      <c r="Q219" s="66" t="s">
        <v>5002</v>
      </c>
      <c r="R219" s="67" cm="1">
        <f t="array" aca="1" ref="R219" ca="1">_xlfn.CHOOSECOLS(_xlfn.CHOOSEROWS(_xlfn._xlws.FILTER(표2[],표2[DWG No.]=C219,""),1),6)</f>
        <v>42885</v>
      </c>
      <c r="S219" s="67" cm="1">
        <f t="array" aca="1" ref="S219" ca="1">_xlfn.CHOOSECOLS(_xlfn.CHOOSEROWS(_xlfn._xlws.FILTER(표2[],(표2[DWG No.]=C219)*(ISNUMBER(표2[Rev.])),""),1),6)</f>
        <v>43040</v>
      </c>
    </row>
    <row r="220" spans="1:19" ht="18" customHeight="1" x14ac:dyDescent="0.45">
      <c r="A220" s="64">
        <v>215</v>
      </c>
      <c r="B220" s="49" t="s">
        <v>57</v>
      </c>
      <c r="C220" s="65" t="s">
        <v>946</v>
      </c>
      <c r="D220" s="66" t="s">
        <v>947</v>
      </c>
      <c r="E220" s="65" t="s">
        <v>948</v>
      </c>
      <c r="F220" s="66" t="s">
        <v>6</v>
      </c>
      <c r="G220" s="67">
        <v>42881</v>
      </c>
      <c r="H220" s="67">
        <v>42986</v>
      </c>
      <c r="I220" s="67">
        <v>43171</v>
      </c>
      <c r="J220" s="66" t="s">
        <v>943</v>
      </c>
      <c r="K220" s="66" t="s">
        <v>7</v>
      </c>
      <c r="L220" s="66" t="s">
        <v>89</v>
      </c>
      <c r="M220" s="67" t="s">
        <v>944</v>
      </c>
      <c r="N220" s="66" t="s">
        <v>949</v>
      </c>
      <c r="O220" s="66" t="s">
        <v>7</v>
      </c>
      <c r="P220" s="66" t="s">
        <v>89</v>
      </c>
      <c r="Q220" s="66" t="s">
        <v>5002</v>
      </c>
      <c r="R220" s="67" cm="1">
        <f t="array" aca="1" ref="R220" ca="1">_xlfn.CHOOSECOLS(_xlfn.CHOOSEROWS(_xlfn._xlws.FILTER(표2[],표2[DWG No.]=C220,""),1),6)</f>
        <v>42885</v>
      </c>
      <c r="S220" s="67" cm="1">
        <f t="array" aca="1" ref="S220" ca="1">_xlfn.CHOOSECOLS(_xlfn.CHOOSEROWS(_xlfn._xlws.FILTER(표2[],(표2[DWG No.]=C220)*(ISNUMBER(표2[Rev.])),""),1),6)</f>
        <v>43040</v>
      </c>
    </row>
    <row r="221" spans="1:19" ht="18" customHeight="1" x14ac:dyDescent="0.45">
      <c r="A221" s="64">
        <v>216</v>
      </c>
      <c r="B221" s="49" t="s">
        <v>57</v>
      </c>
      <c r="C221" s="65" t="s">
        <v>950</v>
      </c>
      <c r="D221" s="66" t="s">
        <v>951</v>
      </c>
      <c r="E221" s="65" t="s">
        <v>952</v>
      </c>
      <c r="F221" s="66" t="s">
        <v>6</v>
      </c>
      <c r="G221" s="67">
        <v>42881</v>
      </c>
      <c r="H221" s="67">
        <v>42986</v>
      </c>
      <c r="I221" s="67">
        <v>43040</v>
      </c>
      <c r="J221" s="66" t="s">
        <v>953</v>
      </c>
      <c r="K221" s="66" t="s">
        <v>7</v>
      </c>
      <c r="L221" s="66" t="s">
        <v>62</v>
      </c>
      <c r="M221" s="67" t="s">
        <v>155</v>
      </c>
      <c r="N221" s="66" t="s">
        <v>954</v>
      </c>
      <c r="O221" s="66" t="s">
        <v>7</v>
      </c>
      <c r="P221" s="66" t="s">
        <v>62</v>
      </c>
      <c r="Q221" s="66" t="s">
        <v>5002</v>
      </c>
      <c r="R221" s="67" cm="1">
        <f t="array" aca="1" ref="R221" ca="1">_xlfn.CHOOSECOLS(_xlfn.CHOOSEROWS(_xlfn._xlws.FILTER(표2[],표2[DWG No.]=C221,""),1),6)</f>
        <v>42885</v>
      </c>
      <c r="S221" s="67" cm="1">
        <f t="array" aca="1" ref="S221" ca="1">_xlfn.CHOOSECOLS(_xlfn.CHOOSEROWS(_xlfn._xlws.FILTER(표2[],(표2[DWG No.]=C221)*(ISNUMBER(표2[Rev.])),""),1),6)</f>
        <v>43040</v>
      </c>
    </row>
    <row r="222" spans="1:19" ht="18" customHeight="1" x14ac:dyDescent="0.45">
      <c r="A222" s="64">
        <v>217</v>
      </c>
      <c r="B222" s="49" t="s">
        <v>57</v>
      </c>
      <c r="C222" s="65" t="s">
        <v>955</v>
      </c>
      <c r="D222" s="66" t="s">
        <v>956</v>
      </c>
      <c r="E222" s="65" t="s">
        <v>957</v>
      </c>
      <c r="F222" s="66" t="s">
        <v>6</v>
      </c>
      <c r="G222" s="67">
        <v>42881</v>
      </c>
      <c r="H222" s="67">
        <v>42986</v>
      </c>
      <c r="I222" s="67">
        <v>43040</v>
      </c>
      <c r="J222" s="66" t="s">
        <v>953</v>
      </c>
      <c r="K222" s="66" t="s">
        <v>7</v>
      </c>
      <c r="L222" s="66" t="s">
        <v>62</v>
      </c>
      <c r="M222" s="67" t="s">
        <v>155</v>
      </c>
      <c r="N222" s="66" t="s">
        <v>958</v>
      </c>
      <c r="O222" s="66" t="s">
        <v>7</v>
      </c>
      <c r="P222" s="66" t="s">
        <v>62</v>
      </c>
      <c r="Q222" s="66" t="s">
        <v>5002</v>
      </c>
      <c r="R222" s="67" cm="1">
        <f t="array" aca="1" ref="R222" ca="1">_xlfn.CHOOSECOLS(_xlfn.CHOOSEROWS(_xlfn._xlws.FILTER(표2[],표2[DWG No.]=C222,""),1),6)</f>
        <v>42885</v>
      </c>
      <c r="S222" s="67" cm="1">
        <f t="array" aca="1" ref="S222" ca="1">_xlfn.CHOOSECOLS(_xlfn.CHOOSEROWS(_xlfn._xlws.FILTER(표2[],(표2[DWG No.]=C222)*(ISNUMBER(표2[Rev.])),""),1),6)</f>
        <v>43040</v>
      </c>
    </row>
    <row r="223" spans="1:19" ht="18" customHeight="1" x14ac:dyDescent="0.45">
      <c r="A223" s="64">
        <v>218</v>
      </c>
      <c r="B223" s="49" t="s">
        <v>57</v>
      </c>
      <c r="C223" s="65" t="s">
        <v>959</v>
      </c>
      <c r="D223" s="66" t="s">
        <v>960</v>
      </c>
      <c r="E223" s="65" t="s">
        <v>961</v>
      </c>
      <c r="F223" s="66" t="s">
        <v>6</v>
      </c>
      <c r="G223" s="67">
        <v>42912</v>
      </c>
      <c r="H223" s="67">
        <v>43016</v>
      </c>
      <c r="I223" s="67">
        <v>43215</v>
      </c>
      <c r="J223" s="66" t="s">
        <v>2490</v>
      </c>
      <c r="K223" s="66" t="s">
        <v>7</v>
      </c>
      <c r="L223" s="66" t="s">
        <v>230</v>
      </c>
      <c r="M223" s="67" t="s">
        <v>2491</v>
      </c>
      <c r="N223" s="66" t="s">
        <v>2492</v>
      </c>
      <c r="O223" s="66" t="s">
        <v>7</v>
      </c>
      <c r="P223" s="66" t="s">
        <v>230</v>
      </c>
      <c r="Q223" s="66" t="s">
        <v>5002</v>
      </c>
      <c r="R223" s="67" cm="1">
        <f t="array" aca="1" ref="R223" ca="1">_xlfn.CHOOSECOLS(_xlfn.CHOOSEROWS(_xlfn._xlws.FILTER(표2[],표2[DWG No.]=C223,""),1),6)</f>
        <v>42929</v>
      </c>
      <c r="S223" s="67" cm="1">
        <f t="array" aca="1" ref="S223" ca="1">_xlfn.CHOOSECOLS(_xlfn.CHOOSEROWS(_xlfn._xlws.FILTER(표2[],(표2[DWG No.]=C223)*(ISNUMBER(표2[Rev.])),""),1),6)</f>
        <v>43069</v>
      </c>
    </row>
    <row r="224" spans="1:19" ht="18" customHeight="1" x14ac:dyDescent="0.45">
      <c r="A224" s="64">
        <v>219</v>
      </c>
      <c r="B224" s="49" t="s">
        <v>57</v>
      </c>
      <c r="C224" s="65" t="s">
        <v>962</v>
      </c>
      <c r="D224" s="66" t="s">
        <v>963</v>
      </c>
      <c r="E224" s="65" t="s">
        <v>964</v>
      </c>
      <c r="F224" s="66" t="s">
        <v>6</v>
      </c>
      <c r="G224" s="67">
        <v>42912</v>
      </c>
      <c r="H224" s="67">
        <v>43016</v>
      </c>
      <c r="I224" s="67">
        <v>43068</v>
      </c>
      <c r="J224" s="66" t="s">
        <v>965</v>
      </c>
      <c r="K224" s="66" t="s">
        <v>7</v>
      </c>
      <c r="L224" s="66" t="s">
        <v>62</v>
      </c>
      <c r="M224" s="67" t="s">
        <v>155</v>
      </c>
      <c r="N224" s="66" t="s">
        <v>966</v>
      </c>
      <c r="O224" s="66" t="s">
        <v>7</v>
      </c>
      <c r="P224" s="66" t="s">
        <v>62</v>
      </c>
      <c r="Q224" s="66" t="s">
        <v>5002</v>
      </c>
      <c r="R224" s="67" cm="1">
        <f t="array" aca="1" ref="R224" ca="1">_xlfn.CHOOSECOLS(_xlfn.CHOOSEROWS(_xlfn._xlws.FILTER(표2[],표2[DWG No.]=C224,""),1),6)</f>
        <v>42929</v>
      </c>
      <c r="S224" s="67" cm="1">
        <f t="array" aca="1" ref="S224" ca="1">_xlfn.CHOOSECOLS(_xlfn.CHOOSEROWS(_xlfn._xlws.FILTER(표2[],(표2[DWG No.]=C224)*(ISNUMBER(표2[Rev.])),""),1),6)</f>
        <v>43068</v>
      </c>
    </row>
    <row r="225" spans="1:19" ht="18" customHeight="1" x14ac:dyDescent="0.45">
      <c r="A225" s="64">
        <v>220</v>
      </c>
      <c r="B225" s="49" t="s">
        <v>57</v>
      </c>
      <c r="C225" s="65" t="s">
        <v>967</v>
      </c>
      <c r="D225" s="66" t="s">
        <v>968</v>
      </c>
      <c r="E225" s="65" t="s">
        <v>969</v>
      </c>
      <c r="F225" s="66" t="s">
        <v>5</v>
      </c>
      <c r="G225" s="67">
        <v>42912</v>
      </c>
      <c r="H225" s="67">
        <v>43016</v>
      </c>
      <c r="I225" s="67">
        <v>43040</v>
      </c>
      <c r="J225" s="66" t="s">
        <v>953</v>
      </c>
      <c r="K225" s="66" t="s">
        <v>7</v>
      </c>
      <c r="L225" s="66" t="s">
        <v>62</v>
      </c>
      <c r="M225" s="67" t="s">
        <v>155</v>
      </c>
      <c r="N225" s="66" t="s">
        <v>970</v>
      </c>
      <c r="O225" s="66" t="s">
        <v>7</v>
      </c>
      <c r="P225" s="66" t="s">
        <v>62</v>
      </c>
      <c r="Q225" s="66" t="s">
        <v>5002</v>
      </c>
      <c r="R225" s="67" cm="1">
        <f t="array" aca="1" ref="R225" ca="1">_xlfn.CHOOSECOLS(_xlfn.CHOOSEROWS(_xlfn._xlws.FILTER(표2[],표2[DWG No.]=C225,""),1),6)</f>
        <v>42929</v>
      </c>
      <c r="S225" s="67" cm="1">
        <f t="array" aca="1" ref="S225" ca="1">_xlfn.CHOOSECOLS(_xlfn.CHOOSEROWS(_xlfn._xlws.FILTER(표2[],(표2[DWG No.]=C225)*(ISNUMBER(표2[Rev.])),""),1),6)</f>
        <v>43040</v>
      </c>
    </row>
    <row r="226" spans="1:19" ht="18" customHeight="1" x14ac:dyDescent="0.45">
      <c r="A226" s="64">
        <v>221</v>
      </c>
      <c r="B226" s="49" t="s">
        <v>57</v>
      </c>
      <c r="C226" s="65" t="s">
        <v>971</v>
      </c>
      <c r="D226" s="66" t="s">
        <v>972</v>
      </c>
      <c r="E226" s="65" t="s">
        <v>973</v>
      </c>
      <c r="F226" s="66" t="s">
        <v>5</v>
      </c>
      <c r="G226" s="67">
        <v>42912</v>
      </c>
      <c r="H226" s="67">
        <v>43016</v>
      </c>
      <c r="I226" s="67">
        <v>43066</v>
      </c>
      <c r="J226" s="66" t="s">
        <v>974</v>
      </c>
      <c r="K226" s="66" t="s">
        <v>7</v>
      </c>
      <c r="L226" s="66" t="s">
        <v>62</v>
      </c>
      <c r="M226" s="67" t="s">
        <v>155</v>
      </c>
      <c r="N226" s="66" t="s">
        <v>975</v>
      </c>
      <c r="O226" s="66" t="s">
        <v>7</v>
      </c>
      <c r="P226" s="66" t="s">
        <v>62</v>
      </c>
      <c r="Q226" s="66" t="s">
        <v>5002</v>
      </c>
      <c r="R226" s="67" cm="1">
        <f t="array" aca="1" ref="R226" ca="1">_xlfn.CHOOSECOLS(_xlfn.CHOOSEROWS(_xlfn._xlws.FILTER(표2[],표2[DWG No.]=C226,""),1),6)</f>
        <v>42929</v>
      </c>
      <c r="S226" s="67" cm="1">
        <f t="array" aca="1" ref="S226" ca="1">_xlfn.CHOOSECOLS(_xlfn.CHOOSEROWS(_xlfn._xlws.FILTER(표2[],(표2[DWG No.]=C226)*(ISNUMBER(표2[Rev.])),""),1),6)</f>
        <v>43066</v>
      </c>
    </row>
    <row r="227" spans="1:19" ht="18" customHeight="1" x14ac:dyDescent="0.45">
      <c r="A227" s="64">
        <v>222</v>
      </c>
      <c r="B227" s="49" t="s">
        <v>57</v>
      </c>
      <c r="C227" s="65" t="s">
        <v>976</v>
      </c>
      <c r="D227" s="66" t="s">
        <v>977</v>
      </c>
      <c r="E227" s="65" t="s">
        <v>978</v>
      </c>
      <c r="F227" s="66" t="s">
        <v>5</v>
      </c>
      <c r="G227" s="67">
        <v>42912</v>
      </c>
      <c r="H227" s="67">
        <v>43016</v>
      </c>
      <c r="I227" s="67">
        <v>43171</v>
      </c>
      <c r="J227" s="66" t="s">
        <v>943</v>
      </c>
      <c r="K227" s="66" t="s">
        <v>7</v>
      </c>
      <c r="L227" s="66" t="s">
        <v>89</v>
      </c>
      <c r="M227" s="67" t="s">
        <v>944</v>
      </c>
      <c r="N227" s="66" t="s">
        <v>979</v>
      </c>
      <c r="O227" s="66" t="s">
        <v>7</v>
      </c>
      <c r="P227" s="66" t="s">
        <v>89</v>
      </c>
      <c r="Q227" s="66" t="s">
        <v>5002</v>
      </c>
      <c r="R227" s="67" cm="1">
        <f t="array" aca="1" ref="R227" ca="1">_xlfn.CHOOSECOLS(_xlfn.CHOOSEROWS(_xlfn._xlws.FILTER(표2[],표2[DWG No.]=C227,""),1),6)</f>
        <v>42929</v>
      </c>
      <c r="S227" s="67" cm="1">
        <f t="array" aca="1" ref="S227" ca="1">_xlfn.CHOOSECOLS(_xlfn.CHOOSEROWS(_xlfn._xlws.FILTER(표2[],(표2[DWG No.]=C227)*(ISNUMBER(표2[Rev.])),""),1),6)</f>
        <v>43040</v>
      </c>
    </row>
    <row r="228" spans="1:19" ht="18" customHeight="1" x14ac:dyDescent="0.45">
      <c r="A228" s="64">
        <v>223</v>
      </c>
      <c r="B228" s="49" t="s">
        <v>57</v>
      </c>
      <c r="C228" s="65" t="s">
        <v>980</v>
      </c>
      <c r="D228" s="66" t="s">
        <v>981</v>
      </c>
      <c r="E228" s="65" t="s">
        <v>982</v>
      </c>
      <c r="F228" s="66" t="s">
        <v>5</v>
      </c>
      <c r="G228" s="67">
        <v>42912</v>
      </c>
      <c r="H228" s="67">
        <v>43016</v>
      </c>
      <c r="I228" s="67">
        <v>43077</v>
      </c>
      <c r="J228" s="66" t="s">
        <v>983</v>
      </c>
      <c r="K228" s="66" t="s">
        <v>7</v>
      </c>
      <c r="L228" s="66" t="s">
        <v>62</v>
      </c>
      <c r="M228" s="67" t="s">
        <v>984</v>
      </c>
      <c r="N228" s="66" t="s">
        <v>985</v>
      </c>
      <c r="O228" s="66" t="s">
        <v>7</v>
      </c>
      <c r="P228" s="66" t="s">
        <v>62</v>
      </c>
      <c r="Q228" s="66" t="s">
        <v>5002</v>
      </c>
      <c r="R228" s="67" cm="1">
        <f t="array" aca="1" ref="R228" ca="1">_xlfn.CHOOSECOLS(_xlfn.CHOOSEROWS(_xlfn._xlws.FILTER(표2[],표2[DWG No.]=C228,""),1),6)</f>
        <v>42929</v>
      </c>
      <c r="S228" s="67" cm="1">
        <f t="array" aca="1" ref="S228" ca="1">_xlfn.CHOOSECOLS(_xlfn.CHOOSEROWS(_xlfn._xlws.FILTER(표2[],(표2[DWG No.]=C228)*(ISNUMBER(표2[Rev.])),""),1),6)</f>
        <v>43077</v>
      </c>
    </row>
    <row r="229" spans="1:19" ht="18" customHeight="1" x14ac:dyDescent="0.45">
      <c r="A229" s="64">
        <v>224</v>
      </c>
      <c r="B229" s="49" t="s">
        <v>57</v>
      </c>
      <c r="C229" s="65" t="s">
        <v>986</v>
      </c>
      <c r="D229" s="66" t="s">
        <v>987</v>
      </c>
      <c r="E229" s="65" t="s">
        <v>988</v>
      </c>
      <c r="F229" s="66" t="s">
        <v>5</v>
      </c>
      <c r="G229" s="67">
        <v>42912</v>
      </c>
      <c r="H229" s="67">
        <v>43016</v>
      </c>
      <c r="I229" s="67">
        <v>43069</v>
      </c>
      <c r="J229" s="66" t="s">
        <v>989</v>
      </c>
      <c r="K229" s="66" t="s">
        <v>7</v>
      </c>
      <c r="L229" s="66" t="s">
        <v>62</v>
      </c>
      <c r="M229" s="67" t="s">
        <v>155</v>
      </c>
      <c r="N229" s="66" t="s">
        <v>990</v>
      </c>
      <c r="O229" s="66" t="s">
        <v>7</v>
      </c>
      <c r="P229" s="66" t="s">
        <v>62</v>
      </c>
      <c r="Q229" s="66" t="s">
        <v>5002</v>
      </c>
      <c r="R229" s="67" cm="1">
        <f t="array" aca="1" ref="R229" ca="1">_xlfn.CHOOSECOLS(_xlfn.CHOOSEROWS(_xlfn._xlws.FILTER(표2[],표2[DWG No.]=C229,""),1),6)</f>
        <v>42929</v>
      </c>
      <c r="S229" s="67" cm="1">
        <f t="array" aca="1" ref="S229" ca="1">_xlfn.CHOOSECOLS(_xlfn.CHOOSEROWS(_xlfn._xlws.FILTER(표2[],(표2[DWG No.]=C229)*(ISNUMBER(표2[Rev.])),""),1),6)</f>
        <v>43069</v>
      </c>
    </row>
    <row r="230" spans="1:19" ht="18" customHeight="1" x14ac:dyDescent="0.45">
      <c r="A230" s="64">
        <v>225</v>
      </c>
      <c r="B230" s="49" t="s">
        <v>57</v>
      </c>
      <c r="C230" s="65" t="s">
        <v>991</v>
      </c>
      <c r="D230" s="66" t="s">
        <v>992</v>
      </c>
      <c r="E230" s="65" t="s">
        <v>993</v>
      </c>
      <c r="F230" s="66" t="s">
        <v>6</v>
      </c>
      <c r="G230" s="67">
        <v>42941</v>
      </c>
      <c r="H230" s="67">
        <v>43046</v>
      </c>
      <c r="I230" s="67">
        <v>43066</v>
      </c>
      <c r="J230" s="66" t="s">
        <v>974</v>
      </c>
      <c r="K230" s="66" t="s">
        <v>7</v>
      </c>
      <c r="L230" s="66" t="s">
        <v>62</v>
      </c>
      <c r="M230" s="67" t="s">
        <v>155</v>
      </c>
      <c r="N230" s="66" t="s">
        <v>994</v>
      </c>
      <c r="O230" s="66" t="s">
        <v>7</v>
      </c>
      <c r="P230" s="66" t="s">
        <v>62</v>
      </c>
      <c r="Q230" s="66" t="s">
        <v>5002</v>
      </c>
      <c r="R230" s="67" cm="1">
        <f t="array" aca="1" ref="R230" ca="1">_xlfn.CHOOSECOLS(_xlfn.CHOOSEROWS(_xlfn._xlws.FILTER(표2[],표2[DWG No.]=C230,""),1),6)</f>
        <v>42942</v>
      </c>
      <c r="S230" s="67" cm="1">
        <f t="array" aca="1" ref="S230" ca="1">_xlfn.CHOOSECOLS(_xlfn.CHOOSEROWS(_xlfn._xlws.FILTER(표2[],(표2[DWG No.]=C230)*(ISNUMBER(표2[Rev.])),""),1),6)</f>
        <v>43066</v>
      </c>
    </row>
    <row r="231" spans="1:19" ht="18" customHeight="1" x14ac:dyDescent="0.45">
      <c r="A231" s="64">
        <v>226</v>
      </c>
      <c r="B231" s="49" t="s">
        <v>57</v>
      </c>
      <c r="C231" s="65" t="s">
        <v>995</v>
      </c>
      <c r="D231" s="66" t="s">
        <v>996</v>
      </c>
      <c r="E231" s="65" t="s">
        <v>997</v>
      </c>
      <c r="F231" s="66" t="s">
        <v>6</v>
      </c>
      <c r="G231" s="67">
        <v>42941</v>
      </c>
      <c r="H231" s="67">
        <v>43046</v>
      </c>
      <c r="I231" s="67">
        <v>43066</v>
      </c>
      <c r="J231" s="66" t="s">
        <v>974</v>
      </c>
      <c r="K231" s="66" t="s">
        <v>7</v>
      </c>
      <c r="L231" s="66" t="s">
        <v>62</v>
      </c>
      <c r="M231" s="67" t="s">
        <v>155</v>
      </c>
      <c r="N231" s="66" t="s">
        <v>998</v>
      </c>
      <c r="O231" s="66" t="s">
        <v>7</v>
      </c>
      <c r="P231" s="66" t="s">
        <v>62</v>
      </c>
      <c r="Q231" s="66" t="s">
        <v>5002</v>
      </c>
      <c r="R231" s="67" cm="1">
        <f t="array" aca="1" ref="R231" ca="1">_xlfn.CHOOSECOLS(_xlfn.CHOOSEROWS(_xlfn._xlws.FILTER(표2[],표2[DWG No.]=C231,""),1),6)</f>
        <v>42942</v>
      </c>
      <c r="S231" s="67" cm="1">
        <f t="array" aca="1" ref="S231" ca="1">_xlfn.CHOOSECOLS(_xlfn.CHOOSEROWS(_xlfn._xlws.FILTER(표2[],(표2[DWG No.]=C231)*(ISNUMBER(표2[Rev.])),""),1),6)</f>
        <v>43066</v>
      </c>
    </row>
    <row r="232" spans="1:19" ht="18" customHeight="1" x14ac:dyDescent="0.45">
      <c r="A232" s="64">
        <v>227</v>
      </c>
      <c r="B232" s="49" t="s">
        <v>57</v>
      </c>
      <c r="C232" s="65" t="s">
        <v>999</v>
      </c>
      <c r="D232" s="66" t="s">
        <v>1000</v>
      </c>
      <c r="E232" s="65" t="s">
        <v>1001</v>
      </c>
      <c r="F232" s="66" t="s">
        <v>6</v>
      </c>
      <c r="G232" s="67">
        <v>42941</v>
      </c>
      <c r="H232" s="67">
        <v>43046</v>
      </c>
      <c r="I232" s="67">
        <v>43052</v>
      </c>
      <c r="J232" s="66" t="s">
        <v>1002</v>
      </c>
      <c r="K232" s="66" t="s">
        <v>7</v>
      </c>
      <c r="L232" s="66" t="s">
        <v>62</v>
      </c>
      <c r="M232" s="67" t="s">
        <v>715</v>
      </c>
      <c r="N232" s="66" t="s">
        <v>1003</v>
      </c>
      <c r="O232" s="66" t="s">
        <v>7</v>
      </c>
      <c r="P232" s="66" t="s">
        <v>62</v>
      </c>
      <c r="Q232" s="66" t="s">
        <v>5002</v>
      </c>
      <c r="R232" s="67" cm="1">
        <f t="array" aca="1" ref="R232" ca="1">_xlfn.CHOOSECOLS(_xlfn.CHOOSEROWS(_xlfn._xlws.FILTER(표2[],표2[DWG No.]=C232,""),1),6)</f>
        <v>42942</v>
      </c>
      <c r="S232" s="67" cm="1">
        <f t="array" aca="1" ref="S232" ca="1">_xlfn.CHOOSECOLS(_xlfn.CHOOSEROWS(_xlfn._xlws.FILTER(표2[],(표2[DWG No.]=C232)*(ISNUMBER(표2[Rev.])),""),1),6)</f>
        <v>43052</v>
      </c>
    </row>
    <row r="233" spans="1:19" ht="18" customHeight="1" x14ac:dyDescent="0.45">
      <c r="A233" s="64">
        <v>228</v>
      </c>
      <c r="B233" s="49" t="s">
        <v>57</v>
      </c>
      <c r="C233" s="65" t="s">
        <v>1004</v>
      </c>
      <c r="D233" s="66" t="s">
        <v>1005</v>
      </c>
      <c r="E233" s="65" t="s">
        <v>1006</v>
      </c>
      <c r="F233" s="66" t="s">
        <v>5</v>
      </c>
      <c r="G233" s="67">
        <v>42971</v>
      </c>
      <c r="H233" s="67">
        <v>43076</v>
      </c>
      <c r="I233" s="67">
        <v>43171</v>
      </c>
      <c r="J233" s="66" t="s">
        <v>943</v>
      </c>
      <c r="K233" s="66" t="s">
        <v>7</v>
      </c>
      <c r="L233" s="66" t="s">
        <v>89</v>
      </c>
      <c r="M233" s="67" t="s">
        <v>944</v>
      </c>
      <c r="N233" s="66" t="s">
        <v>1007</v>
      </c>
      <c r="O233" s="66" t="s">
        <v>7</v>
      </c>
      <c r="P233" s="66" t="s">
        <v>89</v>
      </c>
      <c r="Q233" s="66" t="s">
        <v>5002</v>
      </c>
      <c r="R233" s="67" cm="1">
        <f t="array" aca="1" ref="R233" ca="1">_xlfn.CHOOSECOLS(_xlfn.CHOOSEROWS(_xlfn._xlws.FILTER(표2[],표2[DWG No.]=C233,""),1),6)</f>
        <v>43007</v>
      </c>
      <c r="S233" s="67" cm="1">
        <f t="array" aca="1" ref="S233" ca="1">_xlfn.CHOOSECOLS(_xlfn.CHOOSEROWS(_xlfn._xlws.FILTER(표2[],(표2[DWG No.]=C233)*(ISNUMBER(표2[Rev.])),""),1),6)</f>
        <v>43091</v>
      </c>
    </row>
    <row r="234" spans="1:19" ht="18" customHeight="1" x14ac:dyDescent="0.45">
      <c r="A234" s="64">
        <v>229</v>
      </c>
      <c r="B234" s="49" t="s">
        <v>57</v>
      </c>
      <c r="C234" s="65" t="s">
        <v>1008</v>
      </c>
      <c r="D234" s="66" t="s">
        <v>1009</v>
      </c>
      <c r="E234" s="65" t="s">
        <v>1010</v>
      </c>
      <c r="F234" s="66" t="s">
        <v>5</v>
      </c>
      <c r="G234" s="67">
        <v>42971</v>
      </c>
      <c r="H234" s="67">
        <v>43076</v>
      </c>
      <c r="I234" s="67">
        <v>43171</v>
      </c>
      <c r="J234" s="66" t="s">
        <v>943</v>
      </c>
      <c r="K234" s="66" t="s">
        <v>7</v>
      </c>
      <c r="L234" s="66" t="s">
        <v>89</v>
      </c>
      <c r="M234" s="67" t="s">
        <v>944</v>
      </c>
      <c r="N234" s="66" t="s">
        <v>1011</v>
      </c>
      <c r="O234" s="66" t="s">
        <v>7</v>
      </c>
      <c r="P234" s="66" t="s">
        <v>89</v>
      </c>
      <c r="Q234" s="66" t="s">
        <v>5002</v>
      </c>
      <c r="R234" s="67" cm="1">
        <f t="array" aca="1" ref="R234" ca="1">_xlfn.CHOOSECOLS(_xlfn.CHOOSEROWS(_xlfn._xlws.FILTER(표2[],표2[DWG No.]=C234,""),1),6)</f>
        <v>42984</v>
      </c>
      <c r="S234" s="67" cm="1">
        <f t="array" aca="1" ref="S234" ca="1">_xlfn.CHOOSECOLS(_xlfn.CHOOSEROWS(_xlfn._xlws.FILTER(표2[],(표2[DWG No.]=C234)*(ISNUMBER(표2[Rev.])),""),1),6)</f>
        <v>43069</v>
      </c>
    </row>
    <row r="235" spans="1:19" ht="18" customHeight="1" x14ac:dyDescent="0.45">
      <c r="A235" s="64">
        <v>230</v>
      </c>
      <c r="B235" s="49" t="s">
        <v>57</v>
      </c>
      <c r="C235" s="65" t="s">
        <v>1012</v>
      </c>
      <c r="D235" s="66" t="s">
        <v>1013</v>
      </c>
      <c r="E235" s="65" t="s">
        <v>1014</v>
      </c>
      <c r="F235" s="66" t="s">
        <v>5</v>
      </c>
      <c r="G235" s="67">
        <v>42971</v>
      </c>
      <c r="H235" s="67">
        <v>43076</v>
      </c>
      <c r="I235" s="67">
        <v>43171</v>
      </c>
      <c r="J235" s="66" t="s">
        <v>943</v>
      </c>
      <c r="K235" s="66" t="s">
        <v>7</v>
      </c>
      <c r="L235" s="66" t="s">
        <v>89</v>
      </c>
      <c r="M235" s="67" t="s">
        <v>944</v>
      </c>
      <c r="N235" s="66" t="s">
        <v>1015</v>
      </c>
      <c r="O235" s="66" t="s">
        <v>7</v>
      </c>
      <c r="P235" s="66" t="s">
        <v>89</v>
      </c>
      <c r="Q235" s="66" t="s">
        <v>5002</v>
      </c>
      <c r="R235" s="67" cm="1">
        <f t="array" aca="1" ref="R235" ca="1">_xlfn.CHOOSECOLS(_xlfn.CHOOSEROWS(_xlfn._xlws.FILTER(표2[],표2[DWG No.]=C235,""),1),6)</f>
        <v>43021</v>
      </c>
      <c r="S235" s="67" cm="1">
        <f t="array" aca="1" ref="S235" ca="1">_xlfn.CHOOSECOLS(_xlfn.CHOOSEROWS(_xlfn._xlws.FILTER(표2[],(표2[DWG No.]=C235)*(ISNUMBER(표2[Rev.])),""),1),6)</f>
        <v>43091</v>
      </c>
    </row>
    <row r="236" spans="1:19" ht="18" customHeight="1" x14ac:dyDescent="0.45">
      <c r="A236" s="64">
        <v>231</v>
      </c>
      <c r="B236" s="49" t="s">
        <v>57</v>
      </c>
      <c r="C236" s="65" t="s">
        <v>1016</v>
      </c>
      <c r="D236" s="66" t="s">
        <v>1017</v>
      </c>
      <c r="E236" s="65" t="s">
        <v>1018</v>
      </c>
      <c r="F236" s="66" t="s">
        <v>5</v>
      </c>
      <c r="G236" s="67">
        <v>42971</v>
      </c>
      <c r="H236" s="67">
        <v>43076</v>
      </c>
      <c r="I236" s="67">
        <v>43845</v>
      </c>
      <c r="J236" s="66" t="s">
        <v>2799</v>
      </c>
      <c r="K236" s="66" t="s">
        <v>7</v>
      </c>
      <c r="L236" s="66" t="s">
        <v>1987</v>
      </c>
      <c r="M236" s="67" t="s">
        <v>2825</v>
      </c>
      <c r="N236" s="66" t="s">
        <v>2826</v>
      </c>
      <c r="O236" s="66" t="s">
        <v>7</v>
      </c>
      <c r="P236" s="66" t="s">
        <v>1987</v>
      </c>
      <c r="Q236" s="66" t="s">
        <v>65</v>
      </c>
      <c r="R236" s="67" cm="1">
        <f t="array" aca="1" ref="R236" ca="1">_xlfn.CHOOSECOLS(_xlfn.CHOOSEROWS(_xlfn._xlws.FILTER(표2[],표2[DWG No.]=C236,""),1),6)</f>
        <v>43007</v>
      </c>
      <c r="S236" s="67" cm="1">
        <f t="array" aca="1" ref="S236" ca="1">_xlfn.CHOOSECOLS(_xlfn.CHOOSEROWS(_xlfn._xlws.FILTER(표2[],(표2[DWG No.]=C236)*(ISNUMBER(표2[Rev.])),""),1),6)</f>
        <v>43091</v>
      </c>
    </row>
    <row r="237" spans="1:19" ht="18" customHeight="1" x14ac:dyDescent="0.45">
      <c r="A237" s="64">
        <v>232</v>
      </c>
      <c r="B237" s="49" t="s">
        <v>57</v>
      </c>
      <c r="C237" s="65" t="s">
        <v>1019</v>
      </c>
      <c r="D237" s="66" t="s">
        <v>1020</v>
      </c>
      <c r="E237" s="65" t="s">
        <v>1021</v>
      </c>
      <c r="F237" s="66" t="s">
        <v>5</v>
      </c>
      <c r="G237" s="67">
        <v>42971</v>
      </c>
      <c r="H237" s="67">
        <v>43076</v>
      </c>
      <c r="I237" s="67">
        <v>43171</v>
      </c>
      <c r="J237" s="66" t="s">
        <v>943</v>
      </c>
      <c r="K237" s="66" t="s">
        <v>7</v>
      </c>
      <c r="L237" s="66" t="s">
        <v>89</v>
      </c>
      <c r="M237" s="67" t="s">
        <v>944</v>
      </c>
      <c r="N237" s="66" t="s">
        <v>1022</v>
      </c>
      <c r="O237" s="66" t="s">
        <v>7</v>
      </c>
      <c r="P237" s="66" t="s">
        <v>89</v>
      </c>
      <c r="Q237" s="66" t="s">
        <v>5002</v>
      </c>
      <c r="R237" s="67" cm="1">
        <f t="array" aca="1" ref="R237" ca="1">_xlfn.CHOOSECOLS(_xlfn.CHOOSEROWS(_xlfn._xlws.FILTER(표2[],표2[DWG No.]=C237,""),1),6)</f>
        <v>43021</v>
      </c>
      <c r="S237" s="67" cm="1">
        <f t="array" aca="1" ref="S237" ca="1">_xlfn.CHOOSECOLS(_xlfn.CHOOSEROWS(_xlfn._xlws.FILTER(표2[],(표2[DWG No.]=C237)*(ISNUMBER(표2[Rev.])),""),1),6)</f>
        <v>43091</v>
      </c>
    </row>
    <row r="238" spans="1:19" ht="18" customHeight="1" x14ac:dyDescent="0.45">
      <c r="A238" s="64">
        <v>233</v>
      </c>
      <c r="B238" s="49" t="s">
        <v>57</v>
      </c>
      <c r="C238" s="65" t="s">
        <v>1023</v>
      </c>
      <c r="D238" s="66" t="s">
        <v>1024</v>
      </c>
      <c r="E238" s="65" t="s">
        <v>1025</v>
      </c>
      <c r="F238" s="66" t="s">
        <v>5</v>
      </c>
      <c r="G238" s="67">
        <v>42971</v>
      </c>
      <c r="H238" s="67">
        <v>43076</v>
      </c>
      <c r="I238" s="67">
        <v>43052</v>
      </c>
      <c r="J238" s="66" t="s">
        <v>1002</v>
      </c>
      <c r="K238" s="66" t="s">
        <v>7</v>
      </c>
      <c r="L238" s="66" t="s">
        <v>62</v>
      </c>
      <c r="M238" s="67" t="s">
        <v>715</v>
      </c>
      <c r="N238" s="66" t="s">
        <v>1026</v>
      </c>
      <c r="O238" s="66" t="s">
        <v>7</v>
      </c>
      <c r="P238" s="66" t="s">
        <v>62</v>
      </c>
      <c r="Q238" s="66" t="s">
        <v>5002</v>
      </c>
      <c r="R238" s="67" cm="1">
        <f t="array" aca="1" ref="R238" ca="1">_xlfn.CHOOSECOLS(_xlfn.CHOOSEROWS(_xlfn._xlws.FILTER(표2[],표2[DWG No.]=C238,""),1),6)</f>
        <v>42984</v>
      </c>
      <c r="S238" s="67" cm="1">
        <f t="array" aca="1" ref="S238" ca="1">_xlfn.CHOOSECOLS(_xlfn.CHOOSEROWS(_xlfn._xlws.FILTER(표2[],(표2[DWG No.]=C238)*(ISNUMBER(표2[Rev.])),""),1),6)</f>
        <v>43052</v>
      </c>
    </row>
    <row r="239" spans="1:19" ht="18" customHeight="1" x14ac:dyDescent="0.45">
      <c r="A239" s="64">
        <v>234</v>
      </c>
      <c r="B239" s="49" t="s">
        <v>57</v>
      </c>
      <c r="C239" s="65" t="s">
        <v>1027</v>
      </c>
      <c r="D239" s="66" t="s">
        <v>1028</v>
      </c>
      <c r="E239" s="65" t="s">
        <v>1029</v>
      </c>
      <c r="F239" s="66" t="s">
        <v>5</v>
      </c>
      <c r="G239" s="67">
        <v>43062</v>
      </c>
      <c r="H239" s="67">
        <v>43166</v>
      </c>
      <c r="I239" s="67">
        <v>43187</v>
      </c>
      <c r="J239" s="66" t="s">
        <v>1030</v>
      </c>
      <c r="K239" s="66" t="s">
        <v>7</v>
      </c>
      <c r="L239" s="66" t="s">
        <v>62</v>
      </c>
      <c r="M239" s="67" t="s">
        <v>155</v>
      </c>
      <c r="N239" s="66" t="s">
        <v>1031</v>
      </c>
      <c r="O239" s="66" t="s">
        <v>7</v>
      </c>
      <c r="P239" s="66" t="s">
        <v>62</v>
      </c>
      <c r="Q239" s="66" t="s">
        <v>5002</v>
      </c>
      <c r="R239" s="67" cm="1">
        <f t="array" aca="1" ref="R239" ca="1">_xlfn.CHOOSECOLS(_xlfn.CHOOSEROWS(_xlfn._xlws.FILTER(표2[],표2[DWG No.]=C239,""),1),6)</f>
        <v>43074</v>
      </c>
      <c r="S239" s="67" cm="1">
        <f t="array" aca="1" ref="S239" ca="1">_xlfn.CHOOSECOLS(_xlfn.CHOOSEROWS(_xlfn._xlws.FILTER(표2[],(표2[DWG No.]=C239)*(ISNUMBER(표2[Rev.])),""),1),6)</f>
        <v>43187</v>
      </c>
    </row>
    <row r="240" spans="1:19" ht="18" customHeight="1" x14ac:dyDescent="0.45">
      <c r="A240" s="64">
        <v>235</v>
      </c>
      <c r="B240" s="49" t="s">
        <v>57</v>
      </c>
      <c r="C240" s="65" t="s">
        <v>2493</v>
      </c>
      <c r="D240" s="66" t="s">
        <v>2494</v>
      </c>
      <c r="E240" s="65" t="s">
        <v>2495</v>
      </c>
      <c r="F240" s="66" t="s">
        <v>6</v>
      </c>
      <c r="G240" s="67">
        <v>43256</v>
      </c>
      <c r="H240" s="67">
        <v>43350</v>
      </c>
      <c r="I240" s="67">
        <v>43314</v>
      </c>
      <c r="J240" s="66" t="s">
        <v>2496</v>
      </c>
      <c r="K240" s="66" t="s">
        <v>7</v>
      </c>
      <c r="L240" s="66" t="s">
        <v>62</v>
      </c>
      <c r="M240" s="67" t="s">
        <v>2497</v>
      </c>
      <c r="N240" s="66" t="s">
        <v>2498</v>
      </c>
      <c r="O240" s="66" t="s">
        <v>7</v>
      </c>
      <c r="P240" s="66" t="s">
        <v>62</v>
      </c>
      <c r="Q240" s="66" t="s">
        <v>5002</v>
      </c>
      <c r="R240" s="67" cm="1">
        <f t="array" aca="1" ref="R240" ca="1">_xlfn.CHOOSECOLS(_xlfn.CHOOSEROWS(_xlfn._xlws.FILTER(표2[],표2[DWG No.]=C240,""),1),6)</f>
        <v>43279</v>
      </c>
      <c r="S240" s="67" t="e" cm="1">
        <f t="array" ref="S240">_xlfn.CHOOSECOLS(_xlfn.CHOOSEROWS(_xlfn._xlws.FILTER(표2[],(표2[DWG No.]=C240)*(ISNUMBER(표2[Rev.])),""),1),6)</f>
        <v>#VALUE!</v>
      </c>
    </row>
    <row r="241" spans="1:19" ht="18" customHeight="1" x14ac:dyDescent="0.45">
      <c r="A241" s="64">
        <v>236</v>
      </c>
      <c r="B241" s="49" t="s">
        <v>57</v>
      </c>
      <c r="C241" s="65" t="s">
        <v>2499</v>
      </c>
      <c r="D241" s="66" t="s">
        <v>2500</v>
      </c>
      <c r="E241" s="65" t="s">
        <v>2501</v>
      </c>
      <c r="F241" s="66" t="s">
        <v>6</v>
      </c>
      <c r="G241" s="67">
        <v>43266</v>
      </c>
      <c r="H241" s="67">
        <v>43357</v>
      </c>
      <c r="I241" s="67">
        <v>43314</v>
      </c>
      <c r="J241" s="66" t="s">
        <v>2496</v>
      </c>
      <c r="K241" s="66" t="s">
        <v>7</v>
      </c>
      <c r="L241" s="66" t="s">
        <v>62</v>
      </c>
      <c r="M241" s="67" t="s">
        <v>2497</v>
      </c>
      <c r="N241" s="66" t="s">
        <v>2502</v>
      </c>
      <c r="O241" s="66" t="s">
        <v>7</v>
      </c>
      <c r="P241" s="66" t="s">
        <v>62</v>
      </c>
      <c r="Q241" s="66" t="s">
        <v>5002</v>
      </c>
      <c r="R241" s="67" cm="1">
        <f t="array" aca="1" ref="R241" ca="1">_xlfn.CHOOSECOLS(_xlfn.CHOOSEROWS(_xlfn._xlws.FILTER(표2[],표2[DWG No.]=C241,""),1),6)</f>
        <v>43286</v>
      </c>
      <c r="S241" s="67" t="e" cm="1">
        <f t="array" ref="S241">_xlfn.CHOOSECOLS(_xlfn.CHOOSEROWS(_xlfn._xlws.FILTER(표2[],(표2[DWG No.]=C241)*(ISNUMBER(표2[Rev.])),""),1),6)</f>
        <v>#VALUE!</v>
      </c>
    </row>
    <row r="242" spans="1:19" ht="18" customHeight="1" x14ac:dyDescent="0.45">
      <c r="A242" s="64">
        <v>237</v>
      </c>
      <c r="B242" s="49" t="s">
        <v>57</v>
      </c>
      <c r="C242" s="65" t="s">
        <v>2503</v>
      </c>
      <c r="D242" s="66" t="s">
        <v>2504</v>
      </c>
      <c r="E242" s="65" t="s">
        <v>2505</v>
      </c>
      <c r="F242" s="66" t="s">
        <v>6</v>
      </c>
      <c r="G242" s="67">
        <v>43266</v>
      </c>
      <c r="H242" s="67">
        <v>43357</v>
      </c>
      <c r="I242" s="67">
        <v>43314</v>
      </c>
      <c r="J242" s="66" t="s">
        <v>2496</v>
      </c>
      <c r="K242" s="66" t="s">
        <v>7</v>
      </c>
      <c r="L242" s="66" t="s">
        <v>62</v>
      </c>
      <c r="M242" s="67" t="s">
        <v>2497</v>
      </c>
      <c r="N242" s="66" t="s">
        <v>2506</v>
      </c>
      <c r="O242" s="66" t="s">
        <v>7</v>
      </c>
      <c r="P242" s="66" t="s">
        <v>62</v>
      </c>
      <c r="Q242" s="66" t="s">
        <v>5002</v>
      </c>
      <c r="R242" s="67" t="e" cm="1">
        <f t="array" ref="R242">_xlfn.CHOOSECOLS(_xlfn.CHOOSEROWS(_xlfn._xlws.FILTER(표2[],표2[DWG No.]=C242,""),1),6)</f>
        <v>#VALUE!</v>
      </c>
      <c r="S242" s="67" t="e" cm="1">
        <f t="array" ref="S242">_xlfn.CHOOSECOLS(_xlfn.CHOOSEROWS(_xlfn._xlws.FILTER(표2[],(표2[DWG No.]=C242)*(ISNUMBER(표2[Rev.])),""),1),6)</f>
        <v>#VALUE!</v>
      </c>
    </row>
    <row r="243" spans="1:19" ht="18" customHeight="1" x14ac:dyDescent="0.45">
      <c r="A243" s="64">
        <v>238</v>
      </c>
      <c r="B243" s="49" t="s">
        <v>57</v>
      </c>
      <c r="C243" s="65" t="s">
        <v>2507</v>
      </c>
      <c r="D243" s="66" t="s">
        <v>2508</v>
      </c>
      <c r="E243" s="65" t="s">
        <v>2509</v>
      </c>
      <c r="F243" s="66" t="s">
        <v>6</v>
      </c>
      <c r="G243" s="67">
        <v>43266</v>
      </c>
      <c r="H243" s="67">
        <v>43357</v>
      </c>
      <c r="I243" s="67">
        <v>43328</v>
      </c>
      <c r="J243" s="66" t="s">
        <v>2510</v>
      </c>
      <c r="K243" s="66" t="s">
        <v>7</v>
      </c>
      <c r="L243" s="66" t="s">
        <v>62</v>
      </c>
      <c r="M243" s="67" t="s">
        <v>2458</v>
      </c>
      <c r="N243" s="66" t="s">
        <v>2511</v>
      </c>
      <c r="O243" s="66" t="s">
        <v>7</v>
      </c>
      <c r="P243" s="66" t="s">
        <v>62</v>
      </c>
      <c r="Q243" s="66" t="s">
        <v>65</v>
      </c>
      <c r="R243" s="67" cm="1">
        <f t="array" aca="1" ref="R243" ca="1">_xlfn.CHOOSECOLS(_xlfn.CHOOSEROWS(_xlfn._xlws.FILTER(표2[],표2[DWG No.]=C243,""),1),6)</f>
        <v>43288</v>
      </c>
      <c r="S243" s="67" t="e" cm="1">
        <f t="array" ref="S243">_xlfn.CHOOSECOLS(_xlfn.CHOOSEROWS(_xlfn._xlws.FILTER(표2[],(표2[DWG No.]=C243)*(ISNUMBER(표2[Rev.])),""),1),6)</f>
        <v>#VALUE!</v>
      </c>
    </row>
    <row r="244" spans="1:19" ht="18" customHeight="1" x14ac:dyDescent="0.45">
      <c r="A244" s="64">
        <v>239</v>
      </c>
      <c r="B244" s="49" t="s">
        <v>57</v>
      </c>
      <c r="C244" s="65" t="s">
        <v>2512</v>
      </c>
      <c r="D244" s="66" t="s">
        <v>2513</v>
      </c>
      <c r="E244" s="65" t="s">
        <v>2514</v>
      </c>
      <c r="F244" s="66" t="s">
        <v>6</v>
      </c>
      <c r="G244" s="67">
        <v>43266</v>
      </c>
      <c r="H244" s="67">
        <v>43357</v>
      </c>
      <c r="I244" s="67">
        <v>43314</v>
      </c>
      <c r="J244" s="66" t="s">
        <v>2496</v>
      </c>
      <c r="K244" s="66" t="s">
        <v>7</v>
      </c>
      <c r="L244" s="66" t="s">
        <v>62</v>
      </c>
      <c r="M244" s="67" t="s">
        <v>2497</v>
      </c>
      <c r="N244" s="66" t="s">
        <v>2515</v>
      </c>
      <c r="O244" s="66" t="s">
        <v>7</v>
      </c>
      <c r="P244" s="66" t="s">
        <v>62</v>
      </c>
      <c r="Q244" s="66" t="s">
        <v>5002</v>
      </c>
      <c r="R244" s="67" cm="1">
        <f t="array" aca="1" ref="R244" ca="1">_xlfn.CHOOSECOLS(_xlfn.CHOOSEROWS(_xlfn._xlws.FILTER(표2[],표2[DWG No.]=C244,""),1),6)</f>
        <v>43289</v>
      </c>
      <c r="S244" s="67" t="e" cm="1">
        <f t="array" ref="S244">_xlfn.CHOOSECOLS(_xlfn.CHOOSEROWS(_xlfn._xlws.FILTER(표2[],(표2[DWG No.]=C244)*(ISNUMBER(표2[Rev.])),""),1),6)</f>
        <v>#VALUE!</v>
      </c>
    </row>
    <row r="245" spans="1:19" ht="18" customHeight="1" x14ac:dyDescent="0.45">
      <c r="A245" s="64">
        <v>240</v>
      </c>
      <c r="B245" s="49" t="s">
        <v>57</v>
      </c>
      <c r="C245" s="65" t="s">
        <v>1032</v>
      </c>
      <c r="D245" s="66" t="s">
        <v>1033</v>
      </c>
      <c r="E245" s="65" t="s">
        <v>1034</v>
      </c>
      <c r="F245" s="66" t="s">
        <v>5</v>
      </c>
      <c r="G245" s="67">
        <v>42895</v>
      </c>
      <c r="H245" s="67">
        <v>42978</v>
      </c>
      <c r="I245" s="67">
        <v>43852</v>
      </c>
      <c r="J245" s="66" t="s">
        <v>2800</v>
      </c>
      <c r="K245" s="66" t="s">
        <v>7</v>
      </c>
      <c r="L245" s="66" t="s">
        <v>1987</v>
      </c>
      <c r="M245" s="67" t="s">
        <v>2872</v>
      </c>
      <c r="N245" s="66" t="s">
        <v>2879</v>
      </c>
      <c r="O245" s="66" t="s">
        <v>7</v>
      </c>
      <c r="P245" s="66" t="s">
        <v>1987</v>
      </c>
      <c r="Q245" s="66" t="s">
        <v>65</v>
      </c>
      <c r="R245" s="67" cm="1">
        <f t="array" aca="1" ref="R245" ca="1">_xlfn.CHOOSECOLS(_xlfn.CHOOSEROWS(_xlfn._xlws.FILTER(표2[],표2[DWG No.]=C245,""),1),6)</f>
        <v>42906</v>
      </c>
      <c r="S245" s="67" cm="1">
        <f t="array" aca="1" ref="S245" ca="1">_xlfn.CHOOSECOLS(_xlfn.CHOOSEROWS(_xlfn._xlws.FILTER(표2[],(표2[DWG No.]=C245)*(ISNUMBER(표2[Rev.])),""),1),6)</f>
        <v>43098</v>
      </c>
    </row>
    <row r="246" spans="1:19" ht="18" customHeight="1" x14ac:dyDescent="0.45">
      <c r="A246" s="64">
        <v>241</v>
      </c>
      <c r="B246" s="49" t="s">
        <v>57</v>
      </c>
      <c r="C246" s="65" t="s">
        <v>1035</v>
      </c>
      <c r="D246" s="66" t="s">
        <v>1036</v>
      </c>
      <c r="E246" s="65" t="s">
        <v>1037</v>
      </c>
      <c r="F246" s="66" t="s">
        <v>5</v>
      </c>
      <c r="G246" s="67">
        <v>42895</v>
      </c>
      <c r="H246" s="67">
        <v>42978</v>
      </c>
      <c r="I246" s="67">
        <v>43852</v>
      </c>
      <c r="J246" s="66" t="s">
        <v>2800</v>
      </c>
      <c r="K246" s="66" t="s">
        <v>7</v>
      </c>
      <c r="L246" s="66" t="s">
        <v>1987</v>
      </c>
      <c r="M246" s="67" t="s">
        <v>2872</v>
      </c>
      <c r="N246" s="66" t="s">
        <v>2880</v>
      </c>
      <c r="O246" s="66" t="s">
        <v>7</v>
      </c>
      <c r="P246" s="66" t="s">
        <v>1987</v>
      </c>
      <c r="Q246" s="66" t="s">
        <v>65</v>
      </c>
      <c r="R246" s="67" cm="1">
        <f t="array" aca="1" ref="R246" ca="1">_xlfn.CHOOSECOLS(_xlfn.CHOOSEROWS(_xlfn._xlws.FILTER(표2[],표2[DWG No.]=C246,""),1),6)</f>
        <v>42906</v>
      </c>
      <c r="S246" s="67" cm="1">
        <f t="array" aca="1" ref="S246" ca="1">_xlfn.CHOOSECOLS(_xlfn.CHOOSEROWS(_xlfn._xlws.FILTER(표2[],(표2[DWG No.]=C246)*(ISNUMBER(표2[Rev.])),""),1),6)</f>
        <v>43098</v>
      </c>
    </row>
    <row r="247" spans="1:19" ht="18" customHeight="1" x14ac:dyDescent="0.45">
      <c r="A247" s="64">
        <v>242</v>
      </c>
      <c r="B247" s="49" t="s">
        <v>57</v>
      </c>
      <c r="C247" s="65" t="s">
        <v>1038</v>
      </c>
      <c r="D247" s="66" t="s">
        <v>1039</v>
      </c>
      <c r="E247" s="65" t="s">
        <v>1040</v>
      </c>
      <c r="F247" s="66" t="s">
        <v>5</v>
      </c>
      <c r="G247" s="67">
        <v>42902</v>
      </c>
      <c r="H247" s="67">
        <v>43131</v>
      </c>
      <c r="I247" s="67">
        <v>43852</v>
      </c>
      <c r="J247" s="66" t="s">
        <v>2800</v>
      </c>
      <c r="K247" s="66" t="s">
        <v>7</v>
      </c>
      <c r="L247" s="66" t="s">
        <v>1987</v>
      </c>
      <c r="M247" s="67" t="s">
        <v>2872</v>
      </c>
      <c r="N247" s="66" t="s">
        <v>2881</v>
      </c>
      <c r="O247" s="66" t="s">
        <v>7</v>
      </c>
      <c r="P247" s="66" t="s">
        <v>1987</v>
      </c>
      <c r="Q247" s="66" t="s">
        <v>65</v>
      </c>
      <c r="R247" s="67" cm="1">
        <f t="array" aca="1" ref="R247" ca="1">_xlfn.CHOOSECOLS(_xlfn.CHOOSEROWS(_xlfn._xlws.FILTER(표2[],표2[DWG No.]=C247,""),1),6)</f>
        <v>42929</v>
      </c>
      <c r="S247" s="67" cm="1">
        <f t="array" aca="1" ref="S247" ca="1">_xlfn.CHOOSECOLS(_xlfn.CHOOSEROWS(_xlfn._xlws.FILTER(표2[],(표2[DWG No.]=C247)*(ISNUMBER(표2[Rev.])),""),1),6)</f>
        <v>43150</v>
      </c>
    </row>
    <row r="248" spans="1:19" ht="18" customHeight="1" x14ac:dyDescent="0.45">
      <c r="A248" s="64">
        <v>243</v>
      </c>
      <c r="B248" s="49" t="s">
        <v>57</v>
      </c>
      <c r="C248" s="65" t="s">
        <v>1041</v>
      </c>
      <c r="D248" s="66" t="s">
        <v>1042</v>
      </c>
      <c r="E248" s="65" t="s">
        <v>1043</v>
      </c>
      <c r="F248" s="66" t="s">
        <v>5</v>
      </c>
      <c r="G248" s="67">
        <v>42895</v>
      </c>
      <c r="H248" s="67">
        <v>43131</v>
      </c>
      <c r="I248" s="67">
        <v>43852</v>
      </c>
      <c r="J248" s="66" t="s">
        <v>2800</v>
      </c>
      <c r="K248" s="66" t="s">
        <v>7</v>
      </c>
      <c r="L248" s="66" t="s">
        <v>230</v>
      </c>
      <c r="M248" s="67" t="s">
        <v>2872</v>
      </c>
      <c r="N248" s="66" t="s">
        <v>2882</v>
      </c>
      <c r="O248" s="66" t="s">
        <v>7</v>
      </c>
      <c r="P248" s="66" t="s">
        <v>230</v>
      </c>
      <c r="Q248" s="66" t="s">
        <v>65</v>
      </c>
      <c r="R248" s="67" cm="1">
        <f t="array" aca="1" ref="R248" ca="1">_xlfn.CHOOSECOLS(_xlfn.CHOOSEROWS(_xlfn._xlws.FILTER(표2[],표2[DWG No.]=C248,""),1),6)</f>
        <v>42929</v>
      </c>
      <c r="S248" s="67" cm="1">
        <f t="array" aca="1" ref="S248" ca="1">_xlfn.CHOOSECOLS(_xlfn.CHOOSEROWS(_xlfn._xlws.FILTER(표2[],(표2[DWG No.]=C248)*(ISNUMBER(표2[Rev.])),""),1),6)</f>
        <v>43150</v>
      </c>
    </row>
    <row r="249" spans="1:19" ht="18" customHeight="1" x14ac:dyDescent="0.45">
      <c r="A249" s="64">
        <v>244</v>
      </c>
      <c r="B249" s="49" t="s">
        <v>57</v>
      </c>
      <c r="C249" s="65" t="s">
        <v>1044</v>
      </c>
      <c r="D249" s="66" t="s">
        <v>1045</v>
      </c>
      <c r="E249" s="65" t="s">
        <v>1046</v>
      </c>
      <c r="F249" s="66" t="s">
        <v>5</v>
      </c>
      <c r="G249" s="67">
        <v>42902</v>
      </c>
      <c r="H249" s="67">
        <v>42978</v>
      </c>
      <c r="I249" s="67">
        <v>43852</v>
      </c>
      <c r="J249" s="66" t="s">
        <v>2800</v>
      </c>
      <c r="K249" s="66" t="s">
        <v>7</v>
      </c>
      <c r="L249" s="66" t="s">
        <v>1987</v>
      </c>
      <c r="M249" s="67" t="s">
        <v>2872</v>
      </c>
      <c r="N249" s="66" t="s">
        <v>2883</v>
      </c>
      <c r="O249" s="66" t="s">
        <v>7</v>
      </c>
      <c r="P249" s="66" t="s">
        <v>1987</v>
      </c>
      <c r="Q249" s="66" t="s">
        <v>65</v>
      </c>
      <c r="R249" s="67" cm="1">
        <f t="array" aca="1" ref="R249" ca="1">_xlfn.CHOOSECOLS(_xlfn.CHOOSEROWS(_xlfn._xlws.FILTER(표2[],표2[DWG No.]=C249,""),1),6)</f>
        <v>42906</v>
      </c>
      <c r="S249" s="67" cm="1">
        <f t="array" aca="1" ref="S249" ca="1">_xlfn.CHOOSECOLS(_xlfn.CHOOSEROWS(_xlfn._xlws.FILTER(표2[],(표2[DWG No.]=C249)*(ISNUMBER(표2[Rev.])),""),1),6)</f>
        <v>43098</v>
      </c>
    </row>
    <row r="250" spans="1:19" ht="18" customHeight="1" x14ac:dyDescent="0.45">
      <c r="A250" s="64">
        <v>245</v>
      </c>
      <c r="B250" s="49" t="s">
        <v>57</v>
      </c>
      <c r="C250" s="65" t="s">
        <v>1047</v>
      </c>
      <c r="D250" s="66" t="s">
        <v>1048</v>
      </c>
      <c r="E250" s="65" t="s">
        <v>1049</v>
      </c>
      <c r="F250" s="66" t="s">
        <v>5</v>
      </c>
      <c r="G250" s="67">
        <v>42902</v>
      </c>
      <c r="H250" s="67">
        <v>43131</v>
      </c>
      <c r="I250" s="67">
        <v>43852</v>
      </c>
      <c r="J250" s="66" t="s">
        <v>2800</v>
      </c>
      <c r="K250" s="66" t="s">
        <v>7</v>
      </c>
      <c r="L250" s="66" t="s">
        <v>230</v>
      </c>
      <c r="M250" s="67" t="s">
        <v>2872</v>
      </c>
      <c r="N250" s="66" t="s">
        <v>2884</v>
      </c>
      <c r="O250" s="66" t="s">
        <v>7</v>
      </c>
      <c r="P250" s="66" t="s">
        <v>230</v>
      </c>
      <c r="Q250" s="66" t="s">
        <v>65</v>
      </c>
      <c r="R250" s="67" cm="1">
        <f t="array" aca="1" ref="R250" ca="1">_xlfn.CHOOSECOLS(_xlfn.CHOOSEROWS(_xlfn._xlws.FILTER(표2[],표2[DWG No.]=C250,""),1),6)</f>
        <v>42906</v>
      </c>
      <c r="S250" s="67" cm="1">
        <f t="array" aca="1" ref="S250" ca="1">_xlfn.CHOOSECOLS(_xlfn.CHOOSEROWS(_xlfn._xlws.FILTER(표2[],(표2[DWG No.]=C250)*(ISNUMBER(표2[Rev.])),""),1),6)</f>
        <v>43150</v>
      </c>
    </row>
    <row r="251" spans="1:19" ht="18" customHeight="1" x14ac:dyDescent="0.45">
      <c r="A251" s="64">
        <v>246</v>
      </c>
      <c r="B251" s="49" t="s">
        <v>57</v>
      </c>
      <c r="C251" s="65" t="s">
        <v>1050</v>
      </c>
      <c r="D251" s="66" t="s">
        <v>1051</v>
      </c>
      <c r="E251" s="65" t="s">
        <v>1052</v>
      </c>
      <c r="F251" s="66" t="s">
        <v>5</v>
      </c>
      <c r="G251" s="67">
        <v>42909</v>
      </c>
      <c r="H251" s="67">
        <v>43131</v>
      </c>
      <c r="I251" s="67">
        <v>43852</v>
      </c>
      <c r="J251" s="66" t="s">
        <v>2800</v>
      </c>
      <c r="K251" s="66" t="s">
        <v>7</v>
      </c>
      <c r="L251" s="66" t="s">
        <v>89</v>
      </c>
      <c r="M251" s="67" t="s">
        <v>2872</v>
      </c>
      <c r="N251" s="66" t="s">
        <v>2885</v>
      </c>
      <c r="O251" s="66" t="s">
        <v>7</v>
      </c>
      <c r="P251" s="66" t="s">
        <v>89</v>
      </c>
      <c r="Q251" s="66" t="s">
        <v>65</v>
      </c>
      <c r="R251" s="67" cm="1">
        <f t="array" aca="1" ref="R251" ca="1">_xlfn.CHOOSECOLS(_xlfn.CHOOSEROWS(_xlfn._xlws.FILTER(표2[],표2[DWG No.]=C251,""),1),6)</f>
        <v>42929</v>
      </c>
      <c r="S251" s="67" cm="1">
        <f t="array" aca="1" ref="S251" ca="1">_xlfn.CHOOSECOLS(_xlfn.CHOOSEROWS(_xlfn._xlws.FILTER(표2[],(표2[DWG No.]=C251)*(ISNUMBER(표2[Rev.])),""),1),6)</f>
        <v>43150</v>
      </c>
    </row>
    <row r="252" spans="1:19" ht="18" customHeight="1" x14ac:dyDescent="0.45">
      <c r="A252" s="64">
        <v>247</v>
      </c>
      <c r="B252" s="49" t="s">
        <v>57</v>
      </c>
      <c r="C252" s="65" t="s">
        <v>1054</v>
      </c>
      <c r="D252" s="66" t="s">
        <v>1055</v>
      </c>
      <c r="E252" s="65" t="s">
        <v>1056</v>
      </c>
      <c r="F252" s="66" t="s">
        <v>5</v>
      </c>
      <c r="G252" s="67">
        <v>42909</v>
      </c>
      <c r="H252" s="67">
        <v>43131</v>
      </c>
      <c r="I252" s="67">
        <v>43868</v>
      </c>
      <c r="J252" s="66" t="s">
        <v>2801</v>
      </c>
      <c r="K252" s="66" t="s">
        <v>7</v>
      </c>
      <c r="L252" s="66" t="s">
        <v>230</v>
      </c>
      <c r="M252" s="67" t="s">
        <v>2813</v>
      </c>
      <c r="N252" s="66" t="s">
        <v>2827</v>
      </c>
      <c r="O252" s="66" t="s">
        <v>7</v>
      </c>
      <c r="P252" s="66" t="s">
        <v>230</v>
      </c>
      <c r="Q252" s="66" t="s">
        <v>65</v>
      </c>
      <c r="R252" s="67" cm="1">
        <f t="array" aca="1" ref="R252" ca="1">_xlfn.CHOOSECOLS(_xlfn.CHOOSEROWS(_xlfn._xlws.FILTER(표2[],표2[DWG No.]=C252,""),1),6)</f>
        <v>42929</v>
      </c>
      <c r="S252" s="67" cm="1">
        <f t="array" aca="1" ref="S252" ca="1">_xlfn.CHOOSECOLS(_xlfn.CHOOSEROWS(_xlfn._xlws.FILTER(표2[],(표2[DWG No.]=C252)*(ISNUMBER(표2[Rev.])),""),1),6)</f>
        <v>43150</v>
      </c>
    </row>
    <row r="253" spans="1:19" ht="18" customHeight="1" x14ac:dyDescent="0.45">
      <c r="A253" s="64">
        <v>248</v>
      </c>
      <c r="B253" s="49" t="s">
        <v>57</v>
      </c>
      <c r="C253" s="65" t="s">
        <v>1057</v>
      </c>
      <c r="D253" s="66" t="s">
        <v>1058</v>
      </c>
      <c r="E253" s="65" t="s">
        <v>1059</v>
      </c>
      <c r="F253" s="66" t="s">
        <v>5</v>
      </c>
      <c r="G253" s="67">
        <v>42916</v>
      </c>
      <c r="H253" s="67">
        <v>43131</v>
      </c>
      <c r="I253" s="67">
        <v>43150</v>
      </c>
      <c r="J253" s="66" t="s">
        <v>1053</v>
      </c>
      <c r="K253" s="66" t="s">
        <v>7</v>
      </c>
      <c r="L253" s="66" t="s">
        <v>62</v>
      </c>
      <c r="M253" s="67" t="s">
        <v>825</v>
      </c>
      <c r="N253" s="66" t="s">
        <v>1060</v>
      </c>
      <c r="O253" s="66" t="s">
        <v>7</v>
      </c>
      <c r="P253" s="66" t="s">
        <v>62</v>
      </c>
      <c r="Q253" s="66" t="s">
        <v>5002</v>
      </c>
      <c r="R253" s="67" cm="1">
        <f t="array" aca="1" ref="R253" ca="1">_xlfn.CHOOSECOLS(_xlfn.CHOOSEROWS(_xlfn._xlws.FILTER(표2[],표2[DWG No.]=C253,""),1),6)</f>
        <v>42929</v>
      </c>
      <c r="S253" s="67" cm="1">
        <f t="array" aca="1" ref="S253" ca="1">_xlfn.CHOOSECOLS(_xlfn.CHOOSEROWS(_xlfn._xlws.FILTER(표2[],(표2[DWG No.]=C253)*(ISNUMBER(표2[Rev.])),""),1),6)</f>
        <v>43150</v>
      </c>
    </row>
    <row r="254" spans="1:19" ht="18" customHeight="1" x14ac:dyDescent="0.45">
      <c r="A254" s="64">
        <v>249</v>
      </c>
      <c r="B254" s="49" t="s">
        <v>57</v>
      </c>
      <c r="C254" s="65" t="s">
        <v>1061</v>
      </c>
      <c r="D254" s="66" t="s">
        <v>1062</v>
      </c>
      <c r="E254" s="65" t="s">
        <v>1063</v>
      </c>
      <c r="F254" s="66" t="s">
        <v>5</v>
      </c>
      <c r="G254" s="67">
        <v>42916</v>
      </c>
      <c r="H254" s="67">
        <v>43131</v>
      </c>
      <c r="I254" s="67">
        <v>43150</v>
      </c>
      <c r="J254" s="66" t="s">
        <v>1053</v>
      </c>
      <c r="K254" s="66" t="s">
        <v>7</v>
      </c>
      <c r="L254" s="66" t="s">
        <v>62</v>
      </c>
      <c r="M254" s="67" t="s">
        <v>825</v>
      </c>
      <c r="N254" s="66" t="s">
        <v>1064</v>
      </c>
      <c r="O254" s="66" t="s">
        <v>7</v>
      </c>
      <c r="P254" s="66" t="s">
        <v>62</v>
      </c>
      <c r="Q254" s="66" t="s">
        <v>5002</v>
      </c>
      <c r="R254" s="67" cm="1">
        <f t="array" aca="1" ref="R254" ca="1">_xlfn.CHOOSECOLS(_xlfn.CHOOSEROWS(_xlfn._xlws.FILTER(표2[],표2[DWG No.]=C254,""),1),6)</f>
        <v>42929</v>
      </c>
      <c r="S254" s="67" cm="1">
        <f t="array" aca="1" ref="S254" ca="1">_xlfn.CHOOSECOLS(_xlfn.CHOOSEROWS(_xlfn._xlws.FILTER(표2[],(표2[DWG No.]=C254)*(ISNUMBER(표2[Rev.])),""),1),6)</f>
        <v>43150</v>
      </c>
    </row>
    <row r="255" spans="1:19" ht="18" customHeight="1" x14ac:dyDescent="0.45">
      <c r="A255" s="64">
        <v>250</v>
      </c>
      <c r="B255" s="49" t="s">
        <v>57</v>
      </c>
      <c r="C255" s="65" t="s">
        <v>1065</v>
      </c>
      <c r="D255" s="66" t="s">
        <v>1066</v>
      </c>
      <c r="E255" s="65" t="s">
        <v>1067</v>
      </c>
      <c r="F255" s="66" t="s">
        <v>5</v>
      </c>
      <c r="G255" s="67">
        <v>43189</v>
      </c>
      <c r="H255" s="67">
        <v>43252</v>
      </c>
      <c r="I255" s="67">
        <v>43868</v>
      </c>
      <c r="J255" s="66" t="s">
        <v>2802</v>
      </c>
      <c r="K255" s="66" t="s">
        <v>7</v>
      </c>
      <c r="L255" s="66" t="s">
        <v>89</v>
      </c>
      <c r="M255" s="67" t="s">
        <v>2813</v>
      </c>
      <c r="N255" s="66" t="s">
        <v>2828</v>
      </c>
      <c r="O255" s="66" t="s">
        <v>7</v>
      </c>
      <c r="P255" s="66" t="s">
        <v>89</v>
      </c>
      <c r="Q255" s="66" t="s">
        <v>65</v>
      </c>
      <c r="R255" s="67" cm="1">
        <f t="array" aca="1" ref="R255" ca="1">_xlfn.CHOOSECOLS(_xlfn.CHOOSEROWS(_xlfn._xlws.FILTER(표2[],표2[DWG No.]=C255,""),1),6)</f>
        <v>43194</v>
      </c>
      <c r="S255" s="67" t="e" cm="1">
        <f t="array" ref="S255">_xlfn.CHOOSECOLS(_xlfn.CHOOSEROWS(_xlfn._xlws.FILTER(표2[],(표2[DWG No.]=C255)*(ISNUMBER(표2[Rev.])),""),1),6)</f>
        <v>#VALUE!</v>
      </c>
    </row>
    <row r="256" spans="1:19" ht="18" customHeight="1" x14ac:dyDescent="0.45">
      <c r="A256" s="64">
        <v>251</v>
      </c>
      <c r="B256" s="49" t="s">
        <v>57</v>
      </c>
      <c r="C256" s="65" t="s">
        <v>1068</v>
      </c>
      <c r="D256" s="66" t="s">
        <v>1069</v>
      </c>
      <c r="E256" s="65" t="s">
        <v>1070</v>
      </c>
      <c r="F256" s="66" t="s">
        <v>5</v>
      </c>
      <c r="G256" s="67">
        <v>42958</v>
      </c>
      <c r="H256" s="67">
        <v>43131</v>
      </c>
      <c r="I256" s="67">
        <v>43150</v>
      </c>
      <c r="J256" s="66" t="s">
        <v>1053</v>
      </c>
      <c r="K256" s="66" t="s">
        <v>7</v>
      </c>
      <c r="L256" s="66" t="s">
        <v>62</v>
      </c>
      <c r="M256" s="67" t="s">
        <v>825</v>
      </c>
      <c r="N256" s="66" t="s">
        <v>1071</v>
      </c>
      <c r="O256" s="66" t="s">
        <v>7</v>
      </c>
      <c r="P256" s="66" t="s">
        <v>62</v>
      </c>
      <c r="Q256" s="66" t="s">
        <v>5002</v>
      </c>
      <c r="R256" s="67" cm="1">
        <f t="array" aca="1" ref="R256" ca="1">_xlfn.CHOOSECOLS(_xlfn.CHOOSEROWS(_xlfn._xlws.FILTER(표2[],표2[DWG No.]=C256,""),1),6)</f>
        <v>42962</v>
      </c>
      <c r="S256" s="67" cm="1">
        <f t="array" aca="1" ref="S256" ca="1">_xlfn.CHOOSECOLS(_xlfn.CHOOSEROWS(_xlfn._xlws.FILTER(표2[],(표2[DWG No.]=C256)*(ISNUMBER(표2[Rev.])),""),1),6)</f>
        <v>43150</v>
      </c>
    </row>
    <row r="257" spans="1:19" ht="18" customHeight="1" x14ac:dyDescent="0.45">
      <c r="A257" s="64">
        <v>252</v>
      </c>
      <c r="B257" s="49" t="s">
        <v>57</v>
      </c>
      <c r="C257" s="65" t="s">
        <v>1072</v>
      </c>
      <c r="D257" s="66" t="s">
        <v>1073</v>
      </c>
      <c r="E257" s="65" t="s">
        <v>1074</v>
      </c>
      <c r="F257" s="66" t="s">
        <v>5</v>
      </c>
      <c r="G257" s="67">
        <v>42993</v>
      </c>
      <c r="H257" s="67">
        <v>43084</v>
      </c>
      <c r="I257" s="67">
        <v>43091</v>
      </c>
      <c r="J257" s="66" t="s">
        <v>1075</v>
      </c>
      <c r="K257" s="66" t="s">
        <v>7</v>
      </c>
      <c r="L257" s="66" t="s">
        <v>62</v>
      </c>
      <c r="M257" s="67" t="s">
        <v>155</v>
      </c>
      <c r="N257" s="66" t="s">
        <v>1076</v>
      </c>
      <c r="O257" s="66" t="s">
        <v>7</v>
      </c>
      <c r="P257" s="66" t="s">
        <v>62</v>
      </c>
      <c r="Q257" s="66" t="s">
        <v>5002</v>
      </c>
      <c r="R257" s="67" cm="1">
        <f t="array" aca="1" ref="R257" ca="1">_xlfn.CHOOSECOLS(_xlfn.CHOOSEROWS(_xlfn._xlws.FILTER(표2[],표2[DWG No.]=C257,""),1),6)</f>
        <v>43038</v>
      </c>
      <c r="S257" s="67" cm="1">
        <f t="array" aca="1" ref="S257" ca="1">_xlfn.CHOOSECOLS(_xlfn.CHOOSEROWS(_xlfn._xlws.FILTER(표2[],(표2[DWG No.]=C257)*(ISNUMBER(표2[Rev.])),""),1),6)</f>
        <v>43091</v>
      </c>
    </row>
    <row r="258" spans="1:19" ht="18" customHeight="1" x14ac:dyDescent="0.45">
      <c r="A258" s="64">
        <v>253</v>
      </c>
      <c r="B258" s="49" t="s">
        <v>57</v>
      </c>
      <c r="C258" s="65" t="s">
        <v>1077</v>
      </c>
      <c r="D258" s="66" t="s">
        <v>1078</v>
      </c>
      <c r="E258" s="65" t="s">
        <v>1079</v>
      </c>
      <c r="F258" s="66" t="s">
        <v>5</v>
      </c>
      <c r="G258" s="67">
        <v>42993</v>
      </c>
      <c r="H258" s="67">
        <v>43084</v>
      </c>
      <c r="I258" s="67">
        <v>43091</v>
      </c>
      <c r="J258" s="66" t="s">
        <v>1075</v>
      </c>
      <c r="K258" s="66" t="s">
        <v>7</v>
      </c>
      <c r="L258" s="66" t="s">
        <v>62</v>
      </c>
      <c r="M258" s="67" t="s">
        <v>155</v>
      </c>
      <c r="N258" s="66" t="s">
        <v>1080</v>
      </c>
      <c r="O258" s="66" t="s">
        <v>7</v>
      </c>
      <c r="P258" s="66" t="s">
        <v>62</v>
      </c>
      <c r="Q258" s="66" t="s">
        <v>5002</v>
      </c>
      <c r="R258" s="67" cm="1">
        <f t="array" aca="1" ref="R258" ca="1">_xlfn.CHOOSECOLS(_xlfn.CHOOSEROWS(_xlfn._xlws.FILTER(표2[],표2[DWG No.]=C258,""),1),6)</f>
        <v>43038</v>
      </c>
      <c r="S258" s="67" cm="1">
        <f t="array" aca="1" ref="S258" ca="1">_xlfn.CHOOSECOLS(_xlfn.CHOOSEROWS(_xlfn._xlws.FILTER(표2[],(표2[DWG No.]=C258)*(ISNUMBER(표2[Rev.])),""),1),6)</f>
        <v>43091</v>
      </c>
    </row>
    <row r="259" spans="1:19" ht="18" customHeight="1" x14ac:dyDescent="0.45">
      <c r="A259" s="64">
        <v>254</v>
      </c>
      <c r="B259" s="49" t="s">
        <v>57</v>
      </c>
      <c r="C259" s="65" t="s">
        <v>1081</v>
      </c>
      <c r="D259" s="66" t="s">
        <v>1082</v>
      </c>
      <c r="E259" s="65" t="s">
        <v>1083</v>
      </c>
      <c r="F259" s="66" t="s">
        <v>5</v>
      </c>
      <c r="G259" s="67">
        <v>42993</v>
      </c>
      <c r="H259" s="67">
        <v>43084</v>
      </c>
      <c r="I259" s="67">
        <v>43091</v>
      </c>
      <c r="J259" s="66" t="s">
        <v>1075</v>
      </c>
      <c r="K259" s="66" t="s">
        <v>7</v>
      </c>
      <c r="L259" s="66" t="s">
        <v>62</v>
      </c>
      <c r="M259" s="67" t="s">
        <v>155</v>
      </c>
      <c r="N259" s="66" t="s">
        <v>1084</v>
      </c>
      <c r="O259" s="66" t="s">
        <v>7</v>
      </c>
      <c r="P259" s="66" t="s">
        <v>62</v>
      </c>
      <c r="Q259" s="66" t="s">
        <v>5002</v>
      </c>
      <c r="R259" s="67" cm="1">
        <f t="array" aca="1" ref="R259" ca="1">_xlfn.CHOOSECOLS(_xlfn.CHOOSEROWS(_xlfn._xlws.FILTER(표2[],표2[DWG No.]=C259,""),1),6)</f>
        <v>43038</v>
      </c>
      <c r="S259" s="67" cm="1">
        <f t="array" aca="1" ref="S259" ca="1">_xlfn.CHOOSECOLS(_xlfn.CHOOSEROWS(_xlfn._xlws.FILTER(표2[],(표2[DWG No.]=C259)*(ISNUMBER(표2[Rev.])),""),1),6)</f>
        <v>43091</v>
      </c>
    </row>
    <row r="260" spans="1:19" ht="18" customHeight="1" x14ac:dyDescent="0.45">
      <c r="A260" s="64">
        <v>255</v>
      </c>
      <c r="B260" s="49" t="s">
        <v>57</v>
      </c>
      <c r="C260" s="65" t="s">
        <v>1085</v>
      </c>
      <c r="D260" s="66" t="s">
        <v>1086</v>
      </c>
      <c r="E260" s="65" t="s">
        <v>1087</v>
      </c>
      <c r="F260" s="66" t="s">
        <v>5</v>
      </c>
      <c r="G260" s="67">
        <v>42993</v>
      </c>
      <c r="H260" s="67">
        <v>43084</v>
      </c>
      <c r="I260" s="67">
        <v>43091</v>
      </c>
      <c r="J260" s="66" t="s">
        <v>1075</v>
      </c>
      <c r="K260" s="66" t="s">
        <v>7</v>
      </c>
      <c r="L260" s="66" t="s">
        <v>62</v>
      </c>
      <c r="M260" s="67" t="s">
        <v>155</v>
      </c>
      <c r="N260" s="66" t="s">
        <v>1088</v>
      </c>
      <c r="O260" s="66" t="s">
        <v>7</v>
      </c>
      <c r="P260" s="66" t="s">
        <v>62</v>
      </c>
      <c r="Q260" s="66" t="s">
        <v>5002</v>
      </c>
      <c r="R260" s="67" cm="1">
        <f t="array" aca="1" ref="R260" ca="1">_xlfn.CHOOSECOLS(_xlfn.CHOOSEROWS(_xlfn._xlws.FILTER(표2[],표2[DWG No.]=C260,""),1),6)</f>
        <v>43038</v>
      </c>
      <c r="S260" s="67" cm="1">
        <f t="array" aca="1" ref="S260" ca="1">_xlfn.CHOOSECOLS(_xlfn.CHOOSEROWS(_xlfn._xlws.FILTER(표2[],(표2[DWG No.]=C260)*(ISNUMBER(표2[Rev.])),""),1),6)</f>
        <v>43091</v>
      </c>
    </row>
    <row r="261" spans="1:19" ht="18" customHeight="1" x14ac:dyDescent="0.45">
      <c r="A261" s="64">
        <v>256</v>
      </c>
      <c r="B261" s="49" t="s">
        <v>57</v>
      </c>
      <c r="C261" s="65" t="s">
        <v>1089</v>
      </c>
      <c r="D261" s="66" t="s">
        <v>1090</v>
      </c>
      <c r="E261" s="65" t="s">
        <v>1091</v>
      </c>
      <c r="F261" s="66" t="s">
        <v>5</v>
      </c>
      <c r="G261" s="67">
        <v>42993</v>
      </c>
      <c r="H261" s="67">
        <v>43084</v>
      </c>
      <c r="I261" s="67">
        <v>43091</v>
      </c>
      <c r="J261" s="66" t="s">
        <v>1075</v>
      </c>
      <c r="K261" s="66" t="s">
        <v>7</v>
      </c>
      <c r="L261" s="66" t="s">
        <v>62</v>
      </c>
      <c r="M261" s="67" t="s">
        <v>155</v>
      </c>
      <c r="N261" s="66" t="s">
        <v>1092</v>
      </c>
      <c r="O261" s="66" t="s">
        <v>7</v>
      </c>
      <c r="P261" s="66" t="s">
        <v>62</v>
      </c>
      <c r="Q261" s="66" t="s">
        <v>5002</v>
      </c>
      <c r="R261" s="67" cm="1">
        <f t="array" aca="1" ref="R261" ca="1">_xlfn.CHOOSECOLS(_xlfn.CHOOSEROWS(_xlfn._xlws.FILTER(표2[],표2[DWG No.]=C261,""),1),6)</f>
        <v>43038</v>
      </c>
      <c r="S261" s="67" cm="1">
        <f t="array" aca="1" ref="S261" ca="1">_xlfn.CHOOSECOLS(_xlfn.CHOOSEROWS(_xlfn._xlws.FILTER(표2[],(표2[DWG No.]=C261)*(ISNUMBER(표2[Rev.])),""),1),6)</f>
        <v>43091</v>
      </c>
    </row>
    <row r="262" spans="1:19" ht="18" customHeight="1" x14ac:dyDescent="0.45">
      <c r="A262" s="64">
        <v>257</v>
      </c>
      <c r="B262" s="49" t="s">
        <v>57</v>
      </c>
      <c r="C262" s="65" t="s">
        <v>1093</v>
      </c>
      <c r="D262" s="66" t="s">
        <v>1094</v>
      </c>
      <c r="E262" s="65" t="s">
        <v>1095</v>
      </c>
      <c r="F262" s="66" t="s">
        <v>6</v>
      </c>
      <c r="G262" s="67">
        <v>43019</v>
      </c>
      <c r="H262" s="67">
        <v>43052</v>
      </c>
      <c r="I262" s="67">
        <v>43066</v>
      </c>
      <c r="J262" s="66" t="s">
        <v>1096</v>
      </c>
      <c r="K262" s="66" t="s">
        <v>7</v>
      </c>
      <c r="L262" s="66" t="s">
        <v>62</v>
      </c>
      <c r="M262" s="67" t="s">
        <v>155</v>
      </c>
      <c r="N262" s="66" t="s">
        <v>1097</v>
      </c>
      <c r="O262" s="66" t="s">
        <v>7</v>
      </c>
      <c r="P262" s="66" t="s">
        <v>62</v>
      </c>
      <c r="Q262" s="66" t="s">
        <v>5002</v>
      </c>
      <c r="R262" s="67" cm="1">
        <f t="array" aca="1" ref="R262" ca="1">_xlfn.CHOOSECOLS(_xlfn.CHOOSEROWS(_xlfn._xlws.FILTER(표2[],표2[DWG No.]=C262,""),1),6)</f>
        <v>43038</v>
      </c>
      <c r="S262" s="67" cm="1">
        <f t="array" aca="1" ref="S262" ca="1">_xlfn.CHOOSECOLS(_xlfn.CHOOSEROWS(_xlfn._xlws.FILTER(표2[],(표2[DWG No.]=C262)*(ISNUMBER(표2[Rev.])),""),1),6)</f>
        <v>43066</v>
      </c>
    </row>
    <row r="263" spans="1:19" ht="18" customHeight="1" x14ac:dyDescent="0.45">
      <c r="A263" s="64">
        <v>258</v>
      </c>
      <c r="B263" s="49" t="s">
        <v>57</v>
      </c>
      <c r="C263" s="65" t="s">
        <v>1098</v>
      </c>
      <c r="D263" s="66" t="s">
        <v>1099</v>
      </c>
      <c r="E263" s="65" t="s">
        <v>1100</v>
      </c>
      <c r="F263" s="66" t="s">
        <v>6</v>
      </c>
      <c r="G263" s="67">
        <v>43019</v>
      </c>
      <c r="H263" s="67">
        <v>43052</v>
      </c>
      <c r="I263" s="67">
        <v>43066</v>
      </c>
      <c r="J263" s="66" t="s">
        <v>1096</v>
      </c>
      <c r="K263" s="66" t="s">
        <v>7</v>
      </c>
      <c r="L263" s="66" t="s">
        <v>62</v>
      </c>
      <c r="M263" s="67" t="s">
        <v>155</v>
      </c>
      <c r="N263" s="66" t="s">
        <v>1101</v>
      </c>
      <c r="O263" s="66" t="s">
        <v>7</v>
      </c>
      <c r="P263" s="66" t="s">
        <v>62</v>
      </c>
      <c r="Q263" s="66" t="s">
        <v>5002</v>
      </c>
      <c r="R263" s="67" cm="1">
        <f t="array" aca="1" ref="R263" ca="1">_xlfn.CHOOSECOLS(_xlfn.CHOOSEROWS(_xlfn._xlws.FILTER(표2[],표2[DWG No.]=C263,""),1),6)</f>
        <v>43038</v>
      </c>
      <c r="S263" s="67" cm="1">
        <f t="array" aca="1" ref="S263" ca="1">_xlfn.CHOOSECOLS(_xlfn.CHOOSEROWS(_xlfn._xlws.FILTER(표2[],(표2[DWG No.]=C263)*(ISNUMBER(표2[Rev.])),""),1),6)</f>
        <v>43066</v>
      </c>
    </row>
    <row r="264" spans="1:19" ht="18" customHeight="1" x14ac:dyDescent="0.45">
      <c r="A264" s="64">
        <v>259</v>
      </c>
      <c r="B264" s="49" t="s">
        <v>57</v>
      </c>
      <c r="C264" s="65" t="s">
        <v>1102</v>
      </c>
      <c r="D264" s="66" t="s">
        <v>1103</v>
      </c>
      <c r="E264" s="65" t="s">
        <v>1104</v>
      </c>
      <c r="F264" s="66" t="s">
        <v>6</v>
      </c>
      <c r="G264" s="67">
        <v>43019</v>
      </c>
      <c r="H264" s="67">
        <v>43052</v>
      </c>
      <c r="I264" s="67">
        <v>43066</v>
      </c>
      <c r="J264" s="66" t="s">
        <v>1096</v>
      </c>
      <c r="K264" s="66" t="s">
        <v>7</v>
      </c>
      <c r="L264" s="66" t="s">
        <v>62</v>
      </c>
      <c r="M264" s="67" t="s">
        <v>155</v>
      </c>
      <c r="N264" s="66" t="s">
        <v>1105</v>
      </c>
      <c r="O264" s="66" t="s">
        <v>7</v>
      </c>
      <c r="P264" s="66" t="s">
        <v>62</v>
      </c>
      <c r="Q264" s="66" t="s">
        <v>5002</v>
      </c>
      <c r="R264" s="67" cm="1">
        <f t="array" aca="1" ref="R264" ca="1">_xlfn.CHOOSECOLS(_xlfn.CHOOSEROWS(_xlfn._xlws.FILTER(표2[],표2[DWG No.]=C264,""),1),6)</f>
        <v>43038</v>
      </c>
      <c r="S264" s="67" cm="1">
        <f t="array" aca="1" ref="S264" ca="1">_xlfn.CHOOSECOLS(_xlfn.CHOOSEROWS(_xlfn._xlws.FILTER(표2[],(표2[DWG No.]=C264)*(ISNUMBER(표2[Rev.])),""),1),6)</f>
        <v>43066</v>
      </c>
    </row>
    <row r="265" spans="1:19" ht="18" customHeight="1" x14ac:dyDescent="0.45">
      <c r="A265" s="64">
        <v>260</v>
      </c>
      <c r="B265" s="49" t="s">
        <v>57</v>
      </c>
      <c r="C265" s="65" t="s">
        <v>1106</v>
      </c>
      <c r="D265" s="66" t="s">
        <v>1107</v>
      </c>
      <c r="E265" s="65" t="s">
        <v>1108</v>
      </c>
      <c r="F265" s="66" t="s">
        <v>6</v>
      </c>
      <c r="G265" s="67">
        <v>43019</v>
      </c>
      <c r="H265" s="67">
        <v>43052</v>
      </c>
      <c r="I265" s="67">
        <v>43066</v>
      </c>
      <c r="J265" s="66" t="s">
        <v>1096</v>
      </c>
      <c r="K265" s="66" t="s">
        <v>7</v>
      </c>
      <c r="L265" s="66" t="s">
        <v>62</v>
      </c>
      <c r="M265" s="67" t="s">
        <v>155</v>
      </c>
      <c r="N265" s="66" t="s">
        <v>1109</v>
      </c>
      <c r="O265" s="66" t="s">
        <v>7</v>
      </c>
      <c r="P265" s="66" t="s">
        <v>62</v>
      </c>
      <c r="Q265" s="66" t="s">
        <v>5002</v>
      </c>
      <c r="R265" s="67" cm="1">
        <f t="array" aca="1" ref="R265" ca="1">_xlfn.CHOOSECOLS(_xlfn.CHOOSEROWS(_xlfn._xlws.FILTER(표2[],표2[DWG No.]=C265,""),1),6)</f>
        <v>43038</v>
      </c>
      <c r="S265" s="67" cm="1">
        <f t="array" aca="1" ref="S265" ca="1">_xlfn.CHOOSECOLS(_xlfn.CHOOSEROWS(_xlfn._xlws.FILTER(표2[],(표2[DWG No.]=C265)*(ISNUMBER(표2[Rev.])),""),1),6)</f>
        <v>43066</v>
      </c>
    </row>
    <row r="266" spans="1:19" ht="18" customHeight="1" x14ac:dyDescent="0.45">
      <c r="A266" s="64">
        <v>261</v>
      </c>
      <c r="B266" s="49" t="s">
        <v>57</v>
      </c>
      <c r="C266" s="65" t="s">
        <v>1110</v>
      </c>
      <c r="D266" s="66" t="s">
        <v>1111</v>
      </c>
      <c r="E266" s="65" t="s">
        <v>1112</v>
      </c>
      <c r="F266" s="66" t="s">
        <v>5</v>
      </c>
      <c r="G266" s="67">
        <v>42923</v>
      </c>
      <c r="H266" s="67">
        <v>43131</v>
      </c>
      <c r="I266" s="67">
        <v>43868</v>
      </c>
      <c r="J266" s="66" t="s">
        <v>2802</v>
      </c>
      <c r="K266" s="66" t="s">
        <v>7</v>
      </c>
      <c r="L266" s="66" t="s">
        <v>230</v>
      </c>
      <c r="M266" s="67" t="s">
        <v>2813</v>
      </c>
      <c r="N266" s="66" t="s">
        <v>2829</v>
      </c>
      <c r="O266" s="66" t="s">
        <v>7</v>
      </c>
      <c r="P266" s="66" t="s">
        <v>230</v>
      </c>
      <c r="Q266" s="66" t="s">
        <v>65</v>
      </c>
      <c r="R266" s="67" cm="1">
        <f t="array" aca="1" ref="R266" ca="1">_xlfn.CHOOSECOLS(_xlfn.CHOOSEROWS(_xlfn._xlws.FILTER(표2[],표2[DWG No.]=C266,""),1),6)</f>
        <v>42929</v>
      </c>
      <c r="S266" s="67" cm="1">
        <f t="array" aca="1" ref="S266" ca="1">_xlfn.CHOOSECOLS(_xlfn.CHOOSEROWS(_xlfn._xlws.FILTER(표2[],(표2[DWG No.]=C266)*(ISNUMBER(표2[Rev.])),""),1),6)</f>
        <v>43084</v>
      </c>
    </row>
    <row r="267" spans="1:19" ht="18" customHeight="1" x14ac:dyDescent="0.45">
      <c r="A267" s="64">
        <v>262</v>
      </c>
      <c r="B267" s="49" t="s">
        <v>57</v>
      </c>
      <c r="C267" s="65" t="s">
        <v>1113</v>
      </c>
      <c r="D267" s="66" t="s">
        <v>1114</v>
      </c>
      <c r="E267" s="65" t="s">
        <v>1115</v>
      </c>
      <c r="F267" s="66" t="s">
        <v>5</v>
      </c>
      <c r="G267" s="67">
        <v>42923</v>
      </c>
      <c r="H267" s="67">
        <v>43131</v>
      </c>
      <c r="I267" s="67">
        <v>43868</v>
      </c>
      <c r="J267" s="66" t="s">
        <v>2802</v>
      </c>
      <c r="K267" s="66" t="s">
        <v>7</v>
      </c>
      <c r="L267" s="66" t="s">
        <v>230</v>
      </c>
      <c r="M267" s="67" t="s">
        <v>2813</v>
      </c>
      <c r="N267" s="66" t="s">
        <v>2830</v>
      </c>
      <c r="O267" s="66" t="s">
        <v>7</v>
      </c>
      <c r="P267" s="66" t="s">
        <v>230</v>
      </c>
      <c r="Q267" s="66" t="s">
        <v>65</v>
      </c>
      <c r="R267" s="67" cm="1">
        <f t="array" aca="1" ref="R267" ca="1">_xlfn.CHOOSECOLS(_xlfn.CHOOSEROWS(_xlfn._xlws.FILTER(표2[],표2[DWG No.]=C267,""),1),6)</f>
        <v>42929</v>
      </c>
      <c r="S267" s="67" cm="1">
        <f t="array" aca="1" ref="S267" ca="1">_xlfn.CHOOSECOLS(_xlfn.CHOOSEROWS(_xlfn._xlws.FILTER(표2[],(표2[DWG No.]=C267)*(ISNUMBER(표2[Rev.])),""),1),6)</f>
        <v>43084</v>
      </c>
    </row>
    <row r="268" spans="1:19" ht="18" customHeight="1" x14ac:dyDescent="0.45">
      <c r="A268" s="64">
        <v>263</v>
      </c>
      <c r="B268" s="49" t="s">
        <v>57</v>
      </c>
      <c r="C268" s="65" t="s">
        <v>1116</v>
      </c>
      <c r="D268" s="66" t="s">
        <v>1117</v>
      </c>
      <c r="E268" s="65" t="s">
        <v>1118</v>
      </c>
      <c r="F268" s="66" t="s">
        <v>5</v>
      </c>
      <c r="G268" s="67">
        <v>42930</v>
      </c>
      <c r="H268" s="67">
        <v>43131</v>
      </c>
      <c r="I268" s="67">
        <v>43868</v>
      </c>
      <c r="J268" s="66" t="s">
        <v>2802</v>
      </c>
      <c r="K268" s="66" t="s">
        <v>7</v>
      </c>
      <c r="L268" s="66" t="s">
        <v>230</v>
      </c>
      <c r="M268" s="67" t="s">
        <v>2813</v>
      </c>
      <c r="N268" s="66" t="s">
        <v>2831</v>
      </c>
      <c r="O268" s="66" t="s">
        <v>7</v>
      </c>
      <c r="P268" s="66" t="s">
        <v>230</v>
      </c>
      <c r="Q268" s="66" t="s">
        <v>65</v>
      </c>
      <c r="R268" s="67" cm="1">
        <f t="array" aca="1" ref="R268" ca="1">_xlfn.CHOOSECOLS(_xlfn.CHOOSEROWS(_xlfn._xlws.FILTER(표2[],표2[DWG No.]=C268,""),1),6)</f>
        <v>42935</v>
      </c>
      <c r="S268" s="67" cm="1">
        <f t="array" aca="1" ref="S268" ca="1">_xlfn.CHOOSECOLS(_xlfn.CHOOSEROWS(_xlfn._xlws.FILTER(표2[],(표2[DWG No.]=C268)*(ISNUMBER(표2[Rev.])),""),1),6)</f>
        <v>43084</v>
      </c>
    </row>
    <row r="269" spans="1:19" ht="18" customHeight="1" x14ac:dyDescent="0.45">
      <c r="A269" s="64">
        <v>264</v>
      </c>
      <c r="B269" s="49" t="s">
        <v>57</v>
      </c>
      <c r="C269" s="65" t="s">
        <v>1119</v>
      </c>
      <c r="D269" s="66" t="s">
        <v>1120</v>
      </c>
      <c r="E269" s="65" t="s">
        <v>1121</v>
      </c>
      <c r="F269" s="66" t="s">
        <v>5</v>
      </c>
      <c r="G269" s="67">
        <v>42923</v>
      </c>
      <c r="H269" s="67">
        <v>43131</v>
      </c>
      <c r="I269" s="67">
        <v>43098</v>
      </c>
      <c r="J269" s="66" t="s">
        <v>1122</v>
      </c>
      <c r="K269" s="66" t="s">
        <v>7</v>
      </c>
      <c r="L269" s="66" t="s">
        <v>62</v>
      </c>
      <c r="M269" s="67" t="s">
        <v>155</v>
      </c>
      <c r="N269" s="66" t="s">
        <v>1123</v>
      </c>
      <c r="O269" s="66" t="s">
        <v>7</v>
      </c>
      <c r="P269" s="66" t="s">
        <v>62</v>
      </c>
      <c r="Q269" s="66" t="s">
        <v>5002</v>
      </c>
      <c r="R269" s="67" cm="1">
        <f t="array" aca="1" ref="R269" ca="1">_xlfn.CHOOSECOLS(_xlfn.CHOOSEROWS(_xlfn._xlws.FILTER(표2[],표2[DWG No.]=C269,""),1),6)</f>
        <v>42929</v>
      </c>
      <c r="S269" s="67" cm="1">
        <f t="array" aca="1" ref="S269" ca="1">_xlfn.CHOOSECOLS(_xlfn.CHOOSEROWS(_xlfn._xlws.FILTER(표2[],(표2[DWG No.]=C269)*(ISNUMBER(표2[Rev.])),""),1),6)</f>
        <v>43098</v>
      </c>
    </row>
    <row r="270" spans="1:19" ht="18" customHeight="1" x14ac:dyDescent="0.45">
      <c r="A270" s="64">
        <v>265</v>
      </c>
      <c r="B270" s="49" t="s">
        <v>57</v>
      </c>
      <c r="C270" s="65" t="s">
        <v>1124</v>
      </c>
      <c r="D270" s="66" t="s">
        <v>1125</v>
      </c>
      <c r="E270" s="65" t="s">
        <v>1126</v>
      </c>
      <c r="F270" s="66" t="s">
        <v>5</v>
      </c>
      <c r="G270" s="67">
        <v>42930</v>
      </c>
      <c r="H270" s="67">
        <v>43131</v>
      </c>
      <c r="I270" s="67">
        <v>43868</v>
      </c>
      <c r="J270" s="66" t="s">
        <v>2802</v>
      </c>
      <c r="K270" s="66" t="s">
        <v>7</v>
      </c>
      <c r="L270" s="66" t="s">
        <v>230</v>
      </c>
      <c r="M270" s="67" t="s">
        <v>2813</v>
      </c>
      <c r="N270" s="66" t="s">
        <v>2832</v>
      </c>
      <c r="O270" s="66" t="s">
        <v>7</v>
      </c>
      <c r="P270" s="66" t="s">
        <v>230</v>
      </c>
      <c r="Q270" s="66" t="s">
        <v>65</v>
      </c>
      <c r="R270" s="67" cm="1">
        <f t="array" aca="1" ref="R270" ca="1">_xlfn.CHOOSECOLS(_xlfn.CHOOSEROWS(_xlfn._xlws.FILTER(표2[],표2[DWG No.]=C270,""),1),6)</f>
        <v>42935</v>
      </c>
      <c r="S270" s="67" cm="1">
        <f t="array" aca="1" ref="S270" ca="1">_xlfn.CHOOSECOLS(_xlfn.CHOOSEROWS(_xlfn._xlws.FILTER(표2[],(표2[DWG No.]=C270)*(ISNUMBER(표2[Rev.])),""),1),6)</f>
        <v>43098</v>
      </c>
    </row>
    <row r="271" spans="1:19" ht="18" customHeight="1" x14ac:dyDescent="0.45">
      <c r="A271" s="64">
        <v>266</v>
      </c>
      <c r="B271" s="49" t="s">
        <v>57</v>
      </c>
      <c r="C271" s="65" t="s">
        <v>1127</v>
      </c>
      <c r="D271" s="66" t="s">
        <v>1128</v>
      </c>
      <c r="E271" s="65" t="s">
        <v>1129</v>
      </c>
      <c r="F271" s="66" t="s">
        <v>5</v>
      </c>
      <c r="G271" s="67">
        <v>42930</v>
      </c>
      <c r="H271" s="67">
        <v>43131</v>
      </c>
      <c r="I271" s="67">
        <v>43868</v>
      </c>
      <c r="J271" s="66" t="s">
        <v>2802</v>
      </c>
      <c r="K271" s="66" t="s">
        <v>7</v>
      </c>
      <c r="L271" s="66" t="s">
        <v>1987</v>
      </c>
      <c r="M271" s="67" t="s">
        <v>2813</v>
      </c>
      <c r="N271" s="66" t="s">
        <v>2833</v>
      </c>
      <c r="O271" s="66" t="s">
        <v>7</v>
      </c>
      <c r="P271" s="66" t="s">
        <v>1987</v>
      </c>
      <c r="Q271" s="66" t="s">
        <v>65</v>
      </c>
      <c r="R271" s="67" cm="1">
        <f t="array" aca="1" ref="R271" ca="1">_xlfn.CHOOSECOLS(_xlfn.CHOOSEROWS(_xlfn._xlws.FILTER(표2[],표2[DWG No.]=C271,""),1),6)</f>
        <v>42935</v>
      </c>
      <c r="S271" s="67" cm="1">
        <f t="array" aca="1" ref="S271" ca="1">_xlfn.CHOOSECOLS(_xlfn.CHOOSEROWS(_xlfn._xlws.FILTER(표2[],(표2[DWG No.]=C271)*(ISNUMBER(표2[Rev.])),""),1),6)</f>
        <v>43109</v>
      </c>
    </row>
    <row r="272" spans="1:19" ht="18" customHeight="1" x14ac:dyDescent="0.45">
      <c r="A272" s="64">
        <v>267</v>
      </c>
      <c r="B272" s="49" t="s">
        <v>57</v>
      </c>
      <c r="C272" s="65" t="s">
        <v>1130</v>
      </c>
      <c r="D272" s="66" t="s">
        <v>1131</v>
      </c>
      <c r="E272" s="65" t="s">
        <v>1132</v>
      </c>
      <c r="F272" s="66" t="s">
        <v>5</v>
      </c>
      <c r="G272" s="67">
        <v>42937</v>
      </c>
      <c r="H272" s="67">
        <v>43131</v>
      </c>
      <c r="I272" s="67">
        <v>43868</v>
      </c>
      <c r="J272" s="66" t="s">
        <v>2802</v>
      </c>
      <c r="K272" s="66" t="s">
        <v>7</v>
      </c>
      <c r="L272" s="66" t="s">
        <v>1987</v>
      </c>
      <c r="M272" s="67" t="s">
        <v>2813</v>
      </c>
      <c r="N272" s="66" t="s">
        <v>2834</v>
      </c>
      <c r="O272" s="66" t="s">
        <v>7</v>
      </c>
      <c r="P272" s="66" t="s">
        <v>1987</v>
      </c>
      <c r="Q272" s="66" t="s">
        <v>65</v>
      </c>
      <c r="R272" s="67" cm="1">
        <f t="array" aca="1" ref="R272" ca="1">_xlfn.CHOOSECOLS(_xlfn.CHOOSEROWS(_xlfn._xlws.FILTER(표2[],표2[DWG No.]=C272,""),1),6)</f>
        <v>42937</v>
      </c>
      <c r="S272" s="67" cm="1">
        <f t="array" aca="1" ref="S272" ca="1">_xlfn.CHOOSECOLS(_xlfn.CHOOSEROWS(_xlfn._xlws.FILTER(표2[],(표2[DWG No.]=C272)*(ISNUMBER(표2[Rev.])),""),1),6)</f>
        <v>43123</v>
      </c>
    </row>
    <row r="273" spans="1:19" ht="18" customHeight="1" x14ac:dyDescent="0.45">
      <c r="A273" s="64">
        <v>268</v>
      </c>
      <c r="B273" s="49" t="s">
        <v>57</v>
      </c>
      <c r="C273" s="65" t="s">
        <v>1133</v>
      </c>
      <c r="D273" s="66" t="s">
        <v>1134</v>
      </c>
      <c r="E273" s="65" t="s">
        <v>1135</v>
      </c>
      <c r="F273" s="66" t="s">
        <v>5</v>
      </c>
      <c r="G273" s="67">
        <v>42937</v>
      </c>
      <c r="H273" s="67">
        <v>43131</v>
      </c>
      <c r="I273" s="67">
        <v>43861</v>
      </c>
      <c r="J273" s="66" t="s">
        <v>2803</v>
      </c>
      <c r="K273" s="66" t="s">
        <v>7</v>
      </c>
      <c r="L273" s="66" t="s">
        <v>230</v>
      </c>
      <c r="M273" s="67" t="s">
        <v>2817</v>
      </c>
      <c r="N273" s="66" t="s">
        <v>2835</v>
      </c>
      <c r="O273" s="66" t="s">
        <v>7</v>
      </c>
      <c r="P273" s="66" t="s">
        <v>230</v>
      </c>
      <c r="Q273" s="66" t="s">
        <v>65</v>
      </c>
      <c r="R273" s="67" cm="1">
        <f t="array" aca="1" ref="R273" ca="1">_xlfn.CHOOSECOLS(_xlfn.CHOOSEROWS(_xlfn._xlws.FILTER(표2[],표2[DWG No.]=C273,""),1),6)</f>
        <v>42937</v>
      </c>
      <c r="S273" s="67" cm="1">
        <f t="array" aca="1" ref="S273" ca="1">_xlfn.CHOOSECOLS(_xlfn.CHOOSEROWS(_xlfn._xlws.FILTER(표2[],(표2[DWG No.]=C273)*(ISNUMBER(표2[Rev.])),""),1),6)</f>
        <v>43098</v>
      </c>
    </row>
    <row r="274" spans="1:19" ht="18" customHeight="1" x14ac:dyDescent="0.45">
      <c r="A274" s="64">
        <v>269</v>
      </c>
      <c r="B274" s="49" t="s">
        <v>57</v>
      </c>
      <c r="C274" s="65" t="s">
        <v>1138</v>
      </c>
      <c r="D274" s="66" t="s">
        <v>1139</v>
      </c>
      <c r="E274" s="65" t="s">
        <v>1140</v>
      </c>
      <c r="F274" s="66" t="s">
        <v>5</v>
      </c>
      <c r="G274" s="67">
        <v>42937</v>
      </c>
      <c r="H274" s="67">
        <v>43131</v>
      </c>
      <c r="I274" s="67">
        <v>43861</v>
      </c>
      <c r="J274" s="66" t="s">
        <v>2803</v>
      </c>
      <c r="K274" s="66" t="s">
        <v>7</v>
      </c>
      <c r="L274" s="66" t="s">
        <v>1987</v>
      </c>
      <c r="M274" s="67" t="s">
        <v>2817</v>
      </c>
      <c r="N274" s="66" t="s">
        <v>2836</v>
      </c>
      <c r="O274" s="66" t="s">
        <v>7</v>
      </c>
      <c r="P274" s="66" t="s">
        <v>1987</v>
      </c>
      <c r="Q274" s="66" t="s">
        <v>65</v>
      </c>
      <c r="R274" s="67" cm="1">
        <f t="array" aca="1" ref="R274" ca="1">_xlfn.CHOOSECOLS(_xlfn.CHOOSEROWS(_xlfn._xlws.FILTER(표2[],표2[DWG No.]=C274,""),1),6)</f>
        <v>42937</v>
      </c>
      <c r="S274" s="67" cm="1">
        <f t="array" aca="1" ref="S274" ca="1">_xlfn.CHOOSECOLS(_xlfn.CHOOSEROWS(_xlfn._xlws.FILTER(표2[],(표2[DWG No.]=C274)*(ISNUMBER(표2[Rev.])),""),1),6)</f>
        <v>43123</v>
      </c>
    </row>
    <row r="275" spans="1:19" ht="18" customHeight="1" x14ac:dyDescent="0.45">
      <c r="A275" s="64">
        <v>270</v>
      </c>
      <c r="B275" s="49" t="s">
        <v>57</v>
      </c>
      <c r="C275" s="65" t="s">
        <v>1141</v>
      </c>
      <c r="D275" s="66" t="s">
        <v>1142</v>
      </c>
      <c r="E275" s="65" t="s">
        <v>1143</v>
      </c>
      <c r="F275" s="66" t="s">
        <v>5</v>
      </c>
      <c r="G275" s="67">
        <v>42944</v>
      </c>
      <c r="H275" s="67">
        <v>43131</v>
      </c>
      <c r="I275" s="67">
        <v>43192</v>
      </c>
      <c r="J275" s="66" t="s">
        <v>1136</v>
      </c>
      <c r="K275" s="66" t="s">
        <v>7</v>
      </c>
      <c r="L275" s="66" t="s">
        <v>89</v>
      </c>
      <c r="M275" s="67" t="s">
        <v>1137</v>
      </c>
      <c r="N275" s="66" t="s">
        <v>1144</v>
      </c>
      <c r="O275" s="66" t="s">
        <v>7</v>
      </c>
      <c r="P275" s="66" t="s">
        <v>89</v>
      </c>
      <c r="Q275" s="66" t="s">
        <v>5002</v>
      </c>
      <c r="R275" s="67" cm="1">
        <f t="array" aca="1" ref="R275" ca="1">_xlfn.CHOOSECOLS(_xlfn.CHOOSEROWS(_xlfn._xlws.FILTER(표2[],표2[DWG No.]=C275,""),1),6)</f>
        <v>42948</v>
      </c>
      <c r="S275" s="67" cm="1">
        <f t="array" aca="1" ref="S275" ca="1">_xlfn.CHOOSECOLS(_xlfn.CHOOSEROWS(_xlfn._xlws.FILTER(표2[],(표2[DWG No.]=C275)*(ISNUMBER(표2[Rev.])),""),1),6)</f>
        <v>43087</v>
      </c>
    </row>
    <row r="276" spans="1:19" ht="18" customHeight="1" x14ac:dyDescent="0.45">
      <c r="A276" s="64">
        <v>271</v>
      </c>
      <c r="B276" s="49" t="s">
        <v>57</v>
      </c>
      <c r="C276" s="65" t="s">
        <v>1145</v>
      </c>
      <c r="D276" s="66" t="s">
        <v>1146</v>
      </c>
      <c r="E276" s="65" t="s">
        <v>1147</v>
      </c>
      <c r="F276" s="66" t="s">
        <v>5</v>
      </c>
      <c r="G276" s="67">
        <v>42944</v>
      </c>
      <c r="H276" s="67">
        <v>43131</v>
      </c>
      <c r="I276" s="67">
        <v>43192</v>
      </c>
      <c r="J276" s="66" t="s">
        <v>1148</v>
      </c>
      <c r="K276" s="66" t="s">
        <v>7</v>
      </c>
      <c r="L276" s="66" t="s">
        <v>89</v>
      </c>
      <c r="M276" s="67" t="s">
        <v>165</v>
      </c>
      <c r="N276" s="66" t="s">
        <v>1149</v>
      </c>
      <c r="O276" s="66" t="s">
        <v>7</v>
      </c>
      <c r="P276" s="66" t="s">
        <v>89</v>
      </c>
      <c r="Q276" s="66" t="s">
        <v>5002</v>
      </c>
      <c r="R276" s="67" cm="1">
        <f t="array" aca="1" ref="R276" ca="1">_xlfn.CHOOSECOLS(_xlfn.CHOOSEROWS(_xlfn._xlws.FILTER(표2[],표2[DWG No.]=C276,""),1),6)</f>
        <v>42948</v>
      </c>
      <c r="S276" s="67" cm="1">
        <f t="array" aca="1" ref="S276" ca="1">_xlfn.CHOOSECOLS(_xlfn.CHOOSEROWS(_xlfn._xlws.FILTER(표2[],(표2[DWG No.]=C276)*(ISNUMBER(표2[Rev.])),""),1),6)</f>
        <v>43087</v>
      </c>
    </row>
    <row r="277" spans="1:19" ht="18" customHeight="1" x14ac:dyDescent="0.45">
      <c r="A277" s="64">
        <v>272</v>
      </c>
      <c r="B277" s="49" t="s">
        <v>57</v>
      </c>
      <c r="C277" s="65" t="s">
        <v>1150</v>
      </c>
      <c r="D277" s="66" t="s">
        <v>1151</v>
      </c>
      <c r="E277" s="65" t="s">
        <v>1152</v>
      </c>
      <c r="F277" s="66" t="s">
        <v>5</v>
      </c>
      <c r="G277" s="67">
        <v>42944</v>
      </c>
      <c r="H277" s="67">
        <v>43131</v>
      </c>
      <c r="I277" s="67">
        <v>43307</v>
      </c>
      <c r="J277" s="66" t="s">
        <v>2516</v>
      </c>
      <c r="K277" s="66" t="s">
        <v>7</v>
      </c>
      <c r="L277" s="66" t="s">
        <v>230</v>
      </c>
      <c r="M277" s="67" t="s">
        <v>2452</v>
      </c>
      <c r="N277" s="66" t="s">
        <v>2518</v>
      </c>
      <c r="O277" s="66" t="s">
        <v>7</v>
      </c>
      <c r="P277" s="66" t="s">
        <v>230</v>
      </c>
      <c r="Q277" s="66" t="s">
        <v>65</v>
      </c>
      <c r="R277" s="67" cm="1">
        <f t="array" aca="1" ref="R277" ca="1">_xlfn.CHOOSECOLS(_xlfn.CHOOSEROWS(_xlfn._xlws.FILTER(표2[],표2[DWG No.]=C277,""),1),6)</f>
        <v>42948</v>
      </c>
      <c r="S277" s="67" cm="1">
        <f t="array" aca="1" ref="S277" ca="1">_xlfn.CHOOSECOLS(_xlfn.CHOOSEROWS(_xlfn._xlws.FILTER(표2[],(표2[DWG No.]=C277)*(ISNUMBER(표2[Rev.])),""),1),6)</f>
        <v>43117</v>
      </c>
    </row>
    <row r="278" spans="1:19" ht="18" customHeight="1" x14ac:dyDescent="0.45">
      <c r="A278" s="64">
        <v>273</v>
      </c>
      <c r="B278" s="49" t="s">
        <v>57</v>
      </c>
      <c r="C278" s="65" t="s">
        <v>1153</v>
      </c>
      <c r="D278" s="66" t="s">
        <v>1154</v>
      </c>
      <c r="E278" s="65" t="s">
        <v>1155</v>
      </c>
      <c r="F278" s="66" t="s">
        <v>5</v>
      </c>
      <c r="G278" s="67">
        <v>42944</v>
      </c>
      <c r="H278" s="67">
        <v>43131</v>
      </c>
      <c r="I278" s="67">
        <v>43861</v>
      </c>
      <c r="J278" s="66" t="s">
        <v>2803</v>
      </c>
      <c r="K278" s="66" t="s">
        <v>7</v>
      </c>
      <c r="L278" s="66" t="s">
        <v>230</v>
      </c>
      <c r="M278" s="67" t="s">
        <v>2817</v>
      </c>
      <c r="N278" s="66" t="s">
        <v>2837</v>
      </c>
      <c r="O278" s="66" t="s">
        <v>7</v>
      </c>
      <c r="P278" s="66" t="s">
        <v>230</v>
      </c>
      <c r="Q278" s="66" t="s">
        <v>65</v>
      </c>
      <c r="R278" s="67" cm="1">
        <f t="array" aca="1" ref="R278" ca="1">_xlfn.CHOOSECOLS(_xlfn.CHOOSEROWS(_xlfn._xlws.FILTER(표2[],표2[DWG No.]=C278,""),1),6)</f>
        <v>42948</v>
      </c>
      <c r="S278" s="67" cm="1">
        <f t="array" aca="1" ref="S278" ca="1">_xlfn.CHOOSECOLS(_xlfn.CHOOSEROWS(_xlfn._xlws.FILTER(표2[],(표2[DWG No.]=C278)*(ISNUMBER(표2[Rev.])),""),1),6)</f>
        <v>43123</v>
      </c>
    </row>
    <row r="279" spans="1:19" ht="18" customHeight="1" x14ac:dyDescent="0.45">
      <c r="A279" s="64">
        <v>274</v>
      </c>
      <c r="B279" s="49" t="s">
        <v>57</v>
      </c>
      <c r="C279" s="65" t="s">
        <v>1156</v>
      </c>
      <c r="D279" s="66" t="s">
        <v>1157</v>
      </c>
      <c r="E279" s="65" t="s">
        <v>1158</v>
      </c>
      <c r="F279" s="66" t="s">
        <v>5</v>
      </c>
      <c r="G279" s="67">
        <v>42937</v>
      </c>
      <c r="H279" s="67">
        <v>43131</v>
      </c>
      <c r="I279" s="67">
        <v>43861</v>
      </c>
      <c r="J279" s="66" t="s">
        <v>2803</v>
      </c>
      <c r="K279" s="66" t="s">
        <v>7</v>
      </c>
      <c r="L279" s="66" t="s">
        <v>89</v>
      </c>
      <c r="M279" s="67" t="s">
        <v>2817</v>
      </c>
      <c r="N279" s="66" t="s">
        <v>2838</v>
      </c>
      <c r="O279" s="66" t="s">
        <v>7</v>
      </c>
      <c r="P279" s="66" t="s">
        <v>89</v>
      </c>
      <c r="Q279" s="66" t="s">
        <v>65</v>
      </c>
      <c r="R279" s="67" cm="1">
        <f t="array" aca="1" ref="R279" ca="1">_xlfn.CHOOSECOLS(_xlfn.CHOOSEROWS(_xlfn._xlws.FILTER(표2[],표2[DWG No.]=C279,""),1),6)</f>
        <v>42937</v>
      </c>
      <c r="S279" s="67" cm="1">
        <f t="array" aca="1" ref="S279" ca="1">_xlfn.CHOOSECOLS(_xlfn.CHOOSEROWS(_xlfn._xlws.FILTER(표2[],(표2[DWG No.]=C279)*(ISNUMBER(표2[Rev.])),""),1),6)</f>
        <v>43109</v>
      </c>
    </row>
    <row r="280" spans="1:19" ht="18" customHeight="1" x14ac:dyDescent="0.45">
      <c r="A280" s="64">
        <v>275</v>
      </c>
      <c r="B280" s="49" t="s">
        <v>57</v>
      </c>
      <c r="C280" s="65" t="s">
        <v>1159</v>
      </c>
      <c r="D280" s="66" t="s">
        <v>1160</v>
      </c>
      <c r="E280" s="65" t="s">
        <v>1161</v>
      </c>
      <c r="F280" s="66" t="s">
        <v>5</v>
      </c>
      <c r="G280" s="67">
        <v>42923</v>
      </c>
      <c r="H280" s="67">
        <v>43131</v>
      </c>
      <c r="I280" s="67">
        <v>43861</v>
      </c>
      <c r="J280" s="66" t="s">
        <v>2803</v>
      </c>
      <c r="K280" s="66" t="s">
        <v>7</v>
      </c>
      <c r="L280" s="66" t="s">
        <v>230</v>
      </c>
      <c r="M280" s="67" t="s">
        <v>2817</v>
      </c>
      <c r="N280" s="66" t="s">
        <v>2839</v>
      </c>
      <c r="O280" s="66" t="s">
        <v>7</v>
      </c>
      <c r="P280" s="66" t="s">
        <v>230</v>
      </c>
      <c r="Q280" s="66" t="s">
        <v>65</v>
      </c>
      <c r="R280" s="67" cm="1">
        <f t="array" aca="1" ref="R280" ca="1">_xlfn.CHOOSECOLS(_xlfn.CHOOSEROWS(_xlfn._xlws.FILTER(표2[],표2[DWG No.]=C280,""),1),6)</f>
        <v>42935</v>
      </c>
      <c r="S280" s="67" cm="1">
        <f t="array" aca="1" ref="S280" ca="1">_xlfn.CHOOSECOLS(_xlfn.CHOOSEROWS(_xlfn._xlws.FILTER(표2[],(표2[DWG No.]=C280)*(ISNUMBER(표2[Rev.])),""),1),6)</f>
        <v>43087</v>
      </c>
    </row>
    <row r="281" spans="1:19" ht="18" customHeight="1" x14ac:dyDescent="0.45">
      <c r="A281" s="64">
        <v>276</v>
      </c>
      <c r="B281" s="49" t="s">
        <v>57</v>
      </c>
      <c r="C281" s="65" t="s">
        <v>1162</v>
      </c>
      <c r="D281" s="66" t="s">
        <v>1163</v>
      </c>
      <c r="E281" s="65" t="s">
        <v>1164</v>
      </c>
      <c r="F281" s="66" t="s">
        <v>5</v>
      </c>
      <c r="G281" s="67">
        <v>42930</v>
      </c>
      <c r="H281" s="67">
        <v>43131</v>
      </c>
      <c r="I281" s="67">
        <v>43861</v>
      </c>
      <c r="J281" s="66" t="s">
        <v>2803</v>
      </c>
      <c r="K281" s="66" t="s">
        <v>7</v>
      </c>
      <c r="L281" s="66" t="s">
        <v>230</v>
      </c>
      <c r="M281" s="67" t="s">
        <v>2817</v>
      </c>
      <c r="N281" s="66" t="s">
        <v>2900</v>
      </c>
      <c r="O281" s="66" t="s">
        <v>7</v>
      </c>
      <c r="P281" s="66" t="s">
        <v>230</v>
      </c>
      <c r="Q281" s="66" t="s">
        <v>65</v>
      </c>
      <c r="R281" s="67" cm="1">
        <f t="array" aca="1" ref="R281" ca="1">_xlfn.CHOOSECOLS(_xlfn.CHOOSEROWS(_xlfn._xlws.FILTER(표2[],표2[DWG No.]=C281,""),1),6)</f>
        <v>42935</v>
      </c>
      <c r="S281" s="67" cm="1">
        <f t="array" aca="1" ref="S281" ca="1">_xlfn.CHOOSECOLS(_xlfn.CHOOSEROWS(_xlfn._xlws.FILTER(표2[],(표2[DWG No.]=C281)*(ISNUMBER(표2[Rev.])),""),1),6)</f>
        <v>43098</v>
      </c>
    </row>
    <row r="282" spans="1:19" ht="18" customHeight="1" x14ac:dyDescent="0.45">
      <c r="A282" s="64">
        <v>277</v>
      </c>
      <c r="B282" s="49" t="s">
        <v>57</v>
      </c>
      <c r="C282" s="65" t="s">
        <v>1165</v>
      </c>
      <c r="D282" s="66" t="s">
        <v>1166</v>
      </c>
      <c r="E282" s="65" t="s">
        <v>1167</v>
      </c>
      <c r="F282" s="66" t="s">
        <v>5</v>
      </c>
      <c r="G282" s="67">
        <v>42944</v>
      </c>
      <c r="H282" s="67">
        <v>43131</v>
      </c>
      <c r="I282" s="67">
        <v>43861</v>
      </c>
      <c r="J282" s="66" t="s">
        <v>2803</v>
      </c>
      <c r="K282" s="66" t="s">
        <v>7</v>
      </c>
      <c r="L282" s="66" t="s">
        <v>1987</v>
      </c>
      <c r="M282" s="67" t="s">
        <v>2817</v>
      </c>
      <c r="N282" s="66" t="s">
        <v>2840</v>
      </c>
      <c r="O282" s="66" t="s">
        <v>7</v>
      </c>
      <c r="P282" s="66" t="s">
        <v>1987</v>
      </c>
      <c r="Q282" s="66" t="s">
        <v>65</v>
      </c>
      <c r="R282" s="67" cm="1">
        <f t="array" aca="1" ref="R282" ca="1">_xlfn.CHOOSECOLS(_xlfn.CHOOSEROWS(_xlfn._xlws.FILTER(표2[],표2[DWG No.]=C282,""),1),6)</f>
        <v>42948</v>
      </c>
      <c r="S282" s="67" cm="1">
        <f t="array" aca="1" ref="S282" ca="1">_xlfn.CHOOSECOLS(_xlfn.CHOOSEROWS(_xlfn._xlws.FILTER(표2[],(표2[DWG No.]=C282)*(ISNUMBER(표2[Rev.])),""),1),6)</f>
        <v>43117</v>
      </c>
    </row>
    <row r="283" spans="1:19" ht="18" customHeight="1" x14ac:dyDescent="0.45">
      <c r="A283" s="64">
        <v>278</v>
      </c>
      <c r="B283" s="49" t="s">
        <v>57</v>
      </c>
      <c r="C283" s="65" t="s">
        <v>1168</v>
      </c>
      <c r="D283" s="66" t="s">
        <v>1169</v>
      </c>
      <c r="E283" s="65" t="s">
        <v>1170</v>
      </c>
      <c r="F283" s="66" t="s">
        <v>5</v>
      </c>
      <c r="G283" s="67">
        <v>42962</v>
      </c>
      <c r="H283" s="67">
        <v>43069</v>
      </c>
      <c r="I283" s="67">
        <v>43868</v>
      </c>
      <c r="J283" s="66" t="s">
        <v>2801</v>
      </c>
      <c r="K283" s="66" t="s">
        <v>7</v>
      </c>
      <c r="L283" s="66" t="s">
        <v>230</v>
      </c>
      <c r="M283" s="67" t="s">
        <v>2813</v>
      </c>
      <c r="N283" s="66" t="s">
        <v>2841</v>
      </c>
      <c r="O283" s="66" t="s">
        <v>7</v>
      </c>
      <c r="P283" s="66" t="s">
        <v>230</v>
      </c>
      <c r="Q283" s="66" t="s">
        <v>65</v>
      </c>
      <c r="R283" s="67" cm="1">
        <f t="array" aca="1" ref="R283" ca="1">_xlfn.CHOOSECOLS(_xlfn.CHOOSEROWS(_xlfn._xlws.FILTER(표2[],표2[DWG No.]=C283,""),1),6)</f>
        <v>43087</v>
      </c>
      <c r="S283" s="67" cm="1">
        <f t="array" aca="1" ref="S283" ca="1">_xlfn.CHOOSECOLS(_xlfn.CHOOSEROWS(_xlfn._xlws.FILTER(표2[],(표2[DWG No.]=C283)*(ISNUMBER(표2[Rev.])),""),1),6)</f>
        <v>43098</v>
      </c>
    </row>
    <row r="284" spans="1:19" ht="18" customHeight="1" x14ac:dyDescent="0.45">
      <c r="A284" s="64">
        <v>279</v>
      </c>
      <c r="B284" s="49" t="s">
        <v>57</v>
      </c>
      <c r="C284" s="65" t="s">
        <v>1172</v>
      </c>
      <c r="D284" s="66" t="s">
        <v>1173</v>
      </c>
      <c r="E284" s="65" t="s">
        <v>1174</v>
      </c>
      <c r="F284" s="66" t="s">
        <v>5</v>
      </c>
      <c r="G284" s="67">
        <v>42962</v>
      </c>
      <c r="H284" s="67">
        <v>43069</v>
      </c>
      <c r="I284" s="67">
        <v>43868</v>
      </c>
      <c r="J284" s="66" t="s">
        <v>2801</v>
      </c>
      <c r="K284" s="66" t="s">
        <v>7</v>
      </c>
      <c r="L284" s="66" t="s">
        <v>1987</v>
      </c>
      <c r="M284" s="67" t="s">
        <v>2813</v>
      </c>
      <c r="N284" s="66" t="s">
        <v>2842</v>
      </c>
      <c r="O284" s="66" t="s">
        <v>7</v>
      </c>
      <c r="P284" s="66" t="s">
        <v>1987</v>
      </c>
      <c r="Q284" s="66" t="s">
        <v>65</v>
      </c>
      <c r="R284" s="67" cm="1">
        <f t="array" aca="1" ref="R284" ca="1">_xlfn.CHOOSECOLS(_xlfn.CHOOSEROWS(_xlfn._xlws.FILTER(표2[],표2[DWG No.]=C284,""),1),6)</f>
        <v>43087</v>
      </c>
      <c r="S284" s="67" cm="1">
        <f t="array" aca="1" ref="S284" ca="1">_xlfn.CHOOSECOLS(_xlfn.CHOOSEROWS(_xlfn._xlws.FILTER(표2[],(표2[DWG No.]=C284)*(ISNUMBER(표2[Rev.])),""),1),6)</f>
        <v>43098</v>
      </c>
    </row>
    <row r="285" spans="1:19" ht="18" customHeight="1" x14ac:dyDescent="0.45">
      <c r="A285" s="64">
        <v>280</v>
      </c>
      <c r="B285" s="49" t="s">
        <v>57</v>
      </c>
      <c r="C285" s="65" t="s">
        <v>1175</v>
      </c>
      <c r="D285" s="66" t="s">
        <v>1176</v>
      </c>
      <c r="E285" s="65" t="s">
        <v>1177</v>
      </c>
      <c r="F285" s="66" t="s">
        <v>5</v>
      </c>
      <c r="G285" s="67">
        <v>43100</v>
      </c>
      <c r="H285" s="67">
        <v>43130</v>
      </c>
      <c r="I285" s="67">
        <v>43868</v>
      </c>
      <c r="J285" s="66" t="s">
        <v>2801</v>
      </c>
      <c r="K285" s="66" t="s">
        <v>7</v>
      </c>
      <c r="L285" s="66" t="s">
        <v>2804</v>
      </c>
      <c r="M285" s="67" t="s">
        <v>2813</v>
      </c>
      <c r="N285" s="66" t="s">
        <v>2843</v>
      </c>
      <c r="O285" s="66" t="s">
        <v>7</v>
      </c>
      <c r="P285" s="66" t="s">
        <v>2804</v>
      </c>
      <c r="Q285" s="66" t="s">
        <v>65</v>
      </c>
      <c r="R285" s="67" cm="1">
        <f t="array" aca="1" ref="R285" ca="1">_xlfn.CHOOSECOLS(_xlfn.CHOOSEROWS(_xlfn._xlws.FILTER(표2[],표2[DWG No.]=C285,""),1),6)</f>
        <v>43087</v>
      </c>
      <c r="S285" s="67" cm="1">
        <f t="array" aca="1" ref="S285" ca="1">_xlfn.CHOOSECOLS(_xlfn.CHOOSEROWS(_xlfn._xlws.FILTER(표2[],(표2[DWG No.]=C285)*(ISNUMBER(표2[Rev.])),""),1),6)</f>
        <v>43181</v>
      </c>
    </row>
    <row r="286" spans="1:19" ht="18" customHeight="1" x14ac:dyDescent="0.45">
      <c r="A286" s="64">
        <v>281</v>
      </c>
      <c r="B286" s="49" t="s">
        <v>57</v>
      </c>
      <c r="C286" s="65" t="s">
        <v>1178</v>
      </c>
      <c r="D286" s="66" t="s">
        <v>1179</v>
      </c>
      <c r="E286" s="65" t="s">
        <v>1180</v>
      </c>
      <c r="F286" s="66" t="s">
        <v>5</v>
      </c>
      <c r="G286" s="67">
        <v>43100</v>
      </c>
      <c r="H286" s="67">
        <v>43130</v>
      </c>
      <c r="I286" s="67">
        <v>43181</v>
      </c>
      <c r="J286" s="66" t="s">
        <v>1171</v>
      </c>
      <c r="K286" s="66" t="s">
        <v>7</v>
      </c>
      <c r="L286" s="66" t="s">
        <v>62</v>
      </c>
      <c r="M286" s="67" t="s">
        <v>165</v>
      </c>
      <c r="N286" s="66" t="s">
        <v>1181</v>
      </c>
      <c r="O286" s="66" t="s">
        <v>7</v>
      </c>
      <c r="P286" s="66" t="s">
        <v>62</v>
      </c>
      <c r="Q286" s="66" t="s">
        <v>5003</v>
      </c>
      <c r="R286" s="67" cm="1">
        <f t="array" aca="1" ref="R286" ca="1">_xlfn.CHOOSECOLS(_xlfn.CHOOSEROWS(_xlfn._xlws.FILTER(표2[],표2[DWG No.]=C286,""),1),6)</f>
        <v>43087</v>
      </c>
      <c r="S286" s="67" cm="1">
        <f t="array" aca="1" ref="S286" ca="1">_xlfn.CHOOSECOLS(_xlfn.CHOOSEROWS(_xlfn._xlws.FILTER(표2[],(표2[DWG No.]=C286)*(ISNUMBER(표2[Rev.])),""),1),6)</f>
        <v>43181</v>
      </c>
    </row>
    <row r="287" spans="1:19" ht="18" customHeight="1" x14ac:dyDescent="0.45">
      <c r="A287" s="64">
        <v>282</v>
      </c>
      <c r="B287" s="49" t="s">
        <v>57</v>
      </c>
      <c r="C287" s="65" t="s">
        <v>1182</v>
      </c>
      <c r="D287" s="66" t="s">
        <v>1183</v>
      </c>
      <c r="E287" s="65" t="s">
        <v>1184</v>
      </c>
      <c r="F287" s="66" t="s">
        <v>5</v>
      </c>
      <c r="G287" s="67">
        <v>42962</v>
      </c>
      <c r="H287" s="67">
        <v>43069</v>
      </c>
      <c r="I287" s="67">
        <v>43868</v>
      </c>
      <c r="J287" s="66" t="s">
        <v>2801</v>
      </c>
      <c r="K287" s="66" t="s">
        <v>7</v>
      </c>
      <c r="L287" s="66" t="s">
        <v>1987</v>
      </c>
      <c r="M287" s="67" t="s">
        <v>2813</v>
      </c>
      <c r="N287" s="66" t="s">
        <v>2844</v>
      </c>
      <c r="O287" s="66" t="s">
        <v>7</v>
      </c>
      <c r="P287" s="66" t="s">
        <v>1987</v>
      </c>
      <c r="Q287" s="66" t="s">
        <v>65</v>
      </c>
      <c r="R287" s="67" cm="1">
        <f t="array" aca="1" ref="R287" ca="1">_xlfn.CHOOSECOLS(_xlfn.CHOOSEROWS(_xlfn._xlws.FILTER(표2[],표2[DWG No.]=C287,""),1),6)</f>
        <v>43087</v>
      </c>
      <c r="S287" s="67" cm="1">
        <f t="array" aca="1" ref="S287" ca="1">_xlfn.CHOOSECOLS(_xlfn.CHOOSEROWS(_xlfn._xlws.FILTER(표2[],(표2[DWG No.]=C287)*(ISNUMBER(표2[Rev.])),""),1),6)</f>
        <v>43098</v>
      </c>
    </row>
    <row r="288" spans="1:19" ht="18" customHeight="1" x14ac:dyDescent="0.45">
      <c r="A288" s="64">
        <v>283</v>
      </c>
      <c r="B288" s="49" t="s">
        <v>57</v>
      </c>
      <c r="C288" s="65" t="s">
        <v>1185</v>
      </c>
      <c r="D288" s="66" t="s">
        <v>1186</v>
      </c>
      <c r="E288" s="65" t="s">
        <v>1187</v>
      </c>
      <c r="F288" s="66" t="s">
        <v>5</v>
      </c>
      <c r="G288" s="67">
        <v>43100</v>
      </c>
      <c r="H288" s="67">
        <v>43130</v>
      </c>
      <c r="I288" s="67">
        <v>43868</v>
      </c>
      <c r="J288" s="66" t="s">
        <v>2801</v>
      </c>
      <c r="K288" s="66" t="s">
        <v>7</v>
      </c>
      <c r="L288" s="66" t="s">
        <v>230</v>
      </c>
      <c r="M288" s="67" t="s">
        <v>2813</v>
      </c>
      <c r="N288" s="66" t="s">
        <v>2845</v>
      </c>
      <c r="O288" s="66" t="s">
        <v>7</v>
      </c>
      <c r="P288" s="66" t="s">
        <v>230</v>
      </c>
      <c r="Q288" s="66" t="s">
        <v>65</v>
      </c>
      <c r="R288" s="67" cm="1">
        <f t="array" aca="1" ref="R288" ca="1">_xlfn.CHOOSECOLS(_xlfn.CHOOSEROWS(_xlfn._xlws.FILTER(표2[],표2[DWG No.]=C288,""),1),6)</f>
        <v>43087</v>
      </c>
      <c r="S288" s="67" cm="1">
        <f t="array" aca="1" ref="S288" ca="1">_xlfn.CHOOSECOLS(_xlfn.CHOOSEROWS(_xlfn._xlws.FILTER(표2[],(표2[DWG No.]=C288)*(ISNUMBER(표2[Rev.])),""),1),6)</f>
        <v>43181</v>
      </c>
    </row>
    <row r="289" spans="1:19" ht="18" customHeight="1" x14ac:dyDescent="0.45">
      <c r="A289" s="64">
        <v>284</v>
      </c>
      <c r="B289" s="49" t="s">
        <v>57</v>
      </c>
      <c r="C289" s="65" t="s">
        <v>1188</v>
      </c>
      <c r="D289" s="66" t="s">
        <v>1189</v>
      </c>
      <c r="E289" s="65" t="s">
        <v>1190</v>
      </c>
      <c r="F289" s="66" t="s">
        <v>5</v>
      </c>
      <c r="G289" s="67">
        <v>43100</v>
      </c>
      <c r="H289" s="67">
        <v>43130</v>
      </c>
      <c r="I289" s="67">
        <v>43868</v>
      </c>
      <c r="J289" s="66" t="s">
        <v>2801</v>
      </c>
      <c r="K289" s="66" t="s">
        <v>7</v>
      </c>
      <c r="L289" s="66" t="s">
        <v>89</v>
      </c>
      <c r="M289" s="67" t="s">
        <v>2813</v>
      </c>
      <c r="N289" s="66" t="s">
        <v>2846</v>
      </c>
      <c r="O289" s="66" t="s">
        <v>7</v>
      </c>
      <c r="P289" s="66" t="s">
        <v>89</v>
      </c>
      <c r="Q289" s="66" t="s">
        <v>65</v>
      </c>
      <c r="R289" s="67" cm="1">
        <f t="array" aca="1" ref="R289" ca="1">_xlfn.CHOOSECOLS(_xlfn.CHOOSEROWS(_xlfn._xlws.FILTER(표2[],표2[DWG No.]=C289,""),1),6)</f>
        <v>43087</v>
      </c>
      <c r="S289" s="67" cm="1">
        <f t="array" aca="1" ref="S289" ca="1">_xlfn.CHOOSECOLS(_xlfn.CHOOSEROWS(_xlfn._xlws.FILTER(표2[],(표2[DWG No.]=C289)*(ISNUMBER(표2[Rev.])),""),1),6)</f>
        <v>43181</v>
      </c>
    </row>
    <row r="290" spans="1:19" ht="18" customHeight="1" x14ac:dyDescent="0.45">
      <c r="A290" s="64">
        <v>285</v>
      </c>
      <c r="B290" s="49" t="s">
        <v>57</v>
      </c>
      <c r="C290" s="65" t="s">
        <v>1191</v>
      </c>
      <c r="D290" s="66" t="s">
        <v>1192</v>
      </c>
      <c r="E290" s="65" t="s">
        <v>1193</v>
      </c>
      <c r="F290" s="66" t="s">
        <v>5</v>
      </c>
      <c r="G290" s="67">
        <v>43100</v>
      </c>
      <c r="H290" s="67">
        <v>43130</v>
      </c>
      <c r="I290" s="67">
        <v>43868</v>
      </c>
      <c r="J290" s="66" t="s">
        <v>2801</v>
      </c>
      <c r="K290" s="66" t="s">
        <v>7</v>
      </c>
      <c r="L290" s="66" t="s">
        <v>89</v>
      </c>
      <c r="M290" s="67" t="s">
        <v>2813</v>
      </c>
      <c r="N290" s="66" t="s">
        <v>2847</v>
      </c>
      <c r="O290" s="66" t="s">
        <v>7</v>
      </c>
      <c r="P290" s="66" t="s">
        <v>89</v>
      </c>
      <c r="Q290" s="66" t="s">
        <v>65</v>
      </c>
      <c r="R290" s="67" cm="1">
        <f t="array" aca="1" ref="R290" ca="1">_xlfn.CHOOSECOLS(_xlfn.CHOOSEROWS(_xlfn._xlws.FILTER(표2[],표2[DWG No.]=C290,""),1),6)</f>
        <v>43087</v>
      </c>
      <c r="S290" s="67" cm="1">
        <f t="array" aca="1" ref="S290" ca="1">_xlfn.CHOOSECOLS(_xlfn.CHOOSEROWS(_xlfn._xlws.FILTER(표2[],(표2[DWG No.]=C290)*(ISNUMBER(표2[Rev.])),""),1),6)</f>
        <v>43181</v>
      </c>
    </row>
    <row r="291" spans="1:19" ht="18" customHeight="1" x14ac:dyDescent="0.45">
      <c r="A291" s="64">
        <v>286</v>
      </c>
      <c r="B291" s="49" t="s">
        <v>57</v>
      </c>
      <c r="C291" s="65" t="s">
        <v>1194</v>
      </c>
      <c r="D291" s="66" t="s">
        <v>1195</v>
      </c>
      <c r="E291" s="65" t="s">
        <v>1196</v>
      </c>
      <c r="F291" s="66" t="s">
        <v>5</v>
      </c>
      <c r="G291" s="67">
        <v>43100</v>
      </c>
      <c r="H291" s="67">
        <v>43130</v>
      </c>
      <c r="I291" s="67">
        <v>43181</v>
      </c>
      <c r="J291" s="66" t="s">
        <v>1171</v>
      </c>
      <c r="K291" s="66" t="s">
        <v>7</v>
      </c>
      <c r="L291" s="66" t="s">
        <v>62</v>
      </c>
      <c r="M291" s="67" t="s">
        <v>165</v>
      </c>
      <c r="N291" s="66" t="s">
        <v>1197</v>
      </c>
      <c r="O291" s="66" t="s">
        <v>7</v>
      </c>
      <c r="P291" s="66" t="s">
        <v>62</v>
      </c>
      <c r="Q291" s="66" t="s">
        <v>5003</v>
      </c>
      <c r="R291" s="67" cm="1">
        <f t="array" aca="1" ref="R291" ca="1">_xlfn.CHOOSECOLS(_xlfn.CHOOSEROWS(_xlfn._xlws.FILTER(표2[],표2[DWG No.]=C291,""),1),6)</f>
        <v>43087</v>
      </c>
      <c r="S291" s="67" cm="1">
        <f t="array" aca="1" ref="S291" ca="1">_xlfn.CHOOSECOLS(_xlfn.CHOOSEROWS(_xlfn._xlws.FILTER(표2[],(표2[DWG No.]=C291)*(ISNUMBER(표2[Rev.])),""),1),6)</f>
        <v>43181</v>
      </c>
    </row>
    <row r="292" spans="1:19" ht="18" customHeight="1" x14ac:dyDescent="0.45">
      <c r="A292" s="64">
        <v>287</v>
      </c>
      <c r="B292" s="49" t="s">
        <v>57</v>
      </c>
      <c r="C292" s="65" t="s">
        <v>1198</v>
      </c>
      <c r="D292" s="66" t="s">
        <v>1199</v>
      </c>
      <c r="E292" s="65" t="s">
        <v>1200</v>
      </c>
      <c r="F292" s="66" t="s">
        <v>5</v>
      </c>
      <c r="G292" s="67">
        <v>43100</v>
      </c>
      <c r="H292" s="67">
        <v>43130</v>
      </c>
      <c r="I292" s="67">
        <v>43355</v>
      </c>
      <c r="J292" s="66" t="s">
        <v>2519</v>
      </c>
      <c r="K292" s="66" t="s">
        <v>7</v>
      </c>
      <c r="L292" s="66" t="s">
        <v>89</v>
      </c>
      <c r="M292" s="67" t="s">
        <v>2448</v>
      </c>
      <c r="N292" s="66" t="s">
        <v>2520</v>
      </c>
      <c r="O292" s="66" t="s">
        <v>7</v>
      </c>
      <c r="P292" s="66" t="s">
        <v>89</v>
      </c>
      <c r="Q292" s="66" t="s">
        <v>65</v>
      </c>
      <c r="R292" s="67" cm="1">
        <f t="array" aca="1" ref="R292" ca="1">_xlfn.CHOOSECOLS(_xlfn.CHOOSEROWS(_xlfn._xlws.FILTER(표2[],표2[DWG No.]=C292,""),1),6)</f>
        <v>43087</v>
      </c>
      <c r="S292" s="67" cm="1">
        <f t="array" aca="1" ref="S292" ca="1">_xlfn.CHOOSECOLS(_xlfn.CHOOSEROWS(_xlfn._xlws.FILTER(표2[],(표2[DWG No.]=C292)*(ISNUMBER(표2[Rev.])),""),1),6)</f>
        <v>43181</v>
      </c>
    </row>
    <row r="293" spans="1:19" ht="18" customHeight="1" x14ac:dyDescent="0.45">
      <c r="A293" s="64">
        <v>288</v>
      </c>
      <c r="B293" s="49" t="s">
        <v>57</v>
      </c>
      <c r="C293" s="65" t="s">
        <v>1201</v>
      </c>
      <c r="D293" s="66" t="s">
        <v>1202</v>
      </c>
      <c r="E293" s="65" t="s">
        <v>1203</v>
      </c>
      <c r="F293" s="66" t="s">
        <v>5</v>
      </c>
      <c r="G293" s="67">
        <v>43220</v>
      </c>
      <c r="H293" s="67">
        <v>43252</v>
      </c>
      <c r="I293" s="67">
        <v>43868</v>
      </c>
      <c r="J293" s="66" t="s">
        <v>2801</v>
      </c>
      <c r="K293" s="66" t="s">
        <v>7</v>
      </c>
      <c r="L293" s="66" t="s">
        <v>89</v>
      </c>
      <c r="M293" s="67" t="s">
        <v>2813</v>
      </c>
      <c r="N293" s="66" t="s">
        <v>2848</v>
      </c>
      <c r="O293" s="66" t="s">
        <v>7</v>
      </c>
      <c r="P293" s="66" t="s">
        <v>89</v>
      </c>
      <c r="Q293" s="66" t="s">
        <v>65</v>
      </c>
      <c r="R293" s="67" cm="1">
        <f t="array" aca="1" ref="R293" ca="1">_xlfn.CHOOSECOLS(_xlfn.CHOOSEROWS(_xlfn._xlws.FILTER(표2[],표2[DWG No.]=C293,""),1),6)</f>
        <v>43286</v>
      </c>
      <c r="S293" s="67" t="e" cm="1">
        <f t="array" ref="S293">_xlfn.CHOOSECOLS(_xlfn.CHOOSEROWS(_xlfn._xlws.FILTER(표2[],(표2[DWG No.]=C293)*(ISNUMBER(표2[Rev.])),""),1),6)</f>
        <v>#VALUE!</v>
      </c>
    </row>
    <row r="294" spans="1:19" ht="18" customHeight="1" x14ac:dyDescent="0.45">
      <c r="A294" s="64">
        <v>289</v>
      </c>
      <c r="B294" s="49" t="s">
        <v>57</v>
      </c>
      <c r="C294" s="65" t="s">
        <v>1204</v>
      </c>
      <c r="D294" s="66" t="s">
        <v>1205</v>
      </c>
      <c r="E294" s="65" t="s">
        <v>1206</v>
      </c>
      <c r="F294" s="66" t="s">
        <v>5</v>
      </c>
      <c r="G294" s="67">
        <v>43100</v>
      </c>
      <c r="H294" s="67">
        <v>43130</v>
      </c>
      <c r="I294" s="67">
        <v>43868</v>
      </c>
      <c r="J294" s="66" t="s">
        <v>2801</v>
      </c>
      <c r="K294" s="66" t="s">
        <v>7</v>
      </c>
      <c r="L294" s="66" t="s">
        <v>89</v>
      </c>
      <c r="M294" s="67" t="s">
        <v>2813</v>
      </c>
      <c r="N294" s="66" t="s">
        <v>2849</v>
      </c>
      <c r="O294" s="66" t="s">
        <v>7</v>
      </c>
      <c r="P294" s="66" t="s">
        <v>89</v>
      </c>
      <c r="Q294" s="66" t="s">
        <v>65</v>
      </c>
      <c r="R294" s="67" cm="1">
        <f t="array" aca="1" ref="R294" ca="1">_xlfn.CHOOSECOLS(_xlfn.CHOOSEROWS(_xlfn._xlws.FILTER(표2[],표2[DWG No.]=C294,""),1),6)</f>
        <v>43087</v>
      </c>
      <c r="S294" s="67" cm="1">
        <f t="array" aca="1" ref="S294" ca="1">_xlfn.CHOOSECOLS(_xlfn.CHOOSEROWS(_xlfn._xlws.FILTER(표2[],(표2[DWG No.]=C294)*(ISNUMBER(표2[Rev.])),""),1),6)</f>
        <v>43181</v>
      </c>
    </row>
    <row r="295" spans="1:19" ht="18" customHeight="1" x14ac:dyDescent="0.45">
      <c r="A295" s="64">
        <v>290</v>
      </c>
      <c r="B295" s="49" t="s">
        <v>57</v>
      </c>
      <c r="C295" s="65" t="s">
        <v>1207</v>
      </c>
      <c r="D295" s="66" t="s">
        <v>1208</v>
      </c>
      <c r="E295" s="65" t="s">
        <v>1209</v>
      </c>
      <c r="F295" s="66" t="s">
        <v>6</v>
      </c>
      <c r="G295" s="67">
        <v>42797</v>
      </c>
      <c r="H295" s="67">
        <v>42895</v>
      </c>
      <c r="I295" s="67">
        <v>43066</v>
      </c>
      <c r="J295" s="66" t="s">
        <v>1210</v>
      </c>
      <c r="K295" s="66" t="s">
        <v>7</v>
      </c>
      <c r="L295" s="66" t="s">
        <v>89</v>
      </c>
      <c r="M295" s="67" t="s">
        <v>155</v>
      </c>
      <c r="N295" s="66" t="s">
        <v>1211</v>
      </c>
      <c r="O295" s="66" t="s">
        <v>7</v>
      </c>
      <c r="P295" s="66" t="s">
        <v>89</v>
      </c>
      <c r="Q295" s="66" t="s">
        <v>5002</v>
      </c>
      <c r="R295" s="67" cm="1">
        <f t="array" aca="1" ref="R295" ca="1">_xlfn.CHOOSECOLS(_xlfn.CHOOSEROWS(_xlfn._xlws.FILTER(표2[],표2[DWG No.]=C295,""),1),6)</f>
        <v>42803</v>
      </c>
      <c r="S295" s="67" cm="1">
        <f t="array" aca="1" ref="S295" ca="1">_xlfn.CHOOSECOLS(_xlfn.CHOOSEROWS(_xlfn._xlws.FILTER(표2[],(표2[DWG No.]=C295)*(ISNUMBER(표2[Rev.])),""),1),6)</f>
        <v>42968</v>
      </c>
    </row>
    <row r="296" spans="1:19" ht="18" customHeight="1" x14ac:dyDescent="0.45">
      <c r="A296" s="64">
        <v>291</v>
      </c>
      <c r="B296" s="49" t="s">
        <v>57</v>
      </c>
      <c r="C296" s="65" t="s">
        <v>1212</v>
      </c>
      <c r="D296" s="66" t="s">
        <v>1213</v>
      </c>
      <c r="E296" s="65" t="s">
        <v>1214</v>
      </c>
      <c r="F296" s="66" t="s">
        <v>6</v>
      </c>
      <c r="G296" s="67">
        <v>42832</v>
      </c>
      <c r="H296" s="67">
        <v>42923</v>
      </c>
      <c r="I296" s="67">
        <v>43868</v>
      </c>
      <c r="J296" s="66" t="s">
        <v>2802</v>
      </c>
      <c r="K296" s="66" t="s">
        <v>7</v>
      </c>
      <c r="L296" s="66" t="s">
        <v>89</v>
      </c>
      <c r="M296" s="67" t="s">
        <v>2813</v>
      </c>
      <c r="N296" s="66" t="s">
        <v>2850</v>
      </c>
      <c r="O296" s="66" t="s">
        <v>7</v>
      </c>
      <c r="P296" s="66" t="s">
        <v>89</v>
      </c>
      <c r="Q296" s="66" t="s">
        <v>65</v>
      </c>
      <c r="R296" s="67" cm="1">
        <f t="array" aca="1" ref="R296" ca="1">_xlfn.CHOOSECOLS(_xlfn.CHOOSEROWS(_xlfn._xlws.FILTER(표2[],표2[DWG No.]=C296,""),1),6)</f>
        <v>42835</v>
      </c>
      <c r="S296" s="67" cm="1">
        <f t="array" aca="1" ref="S296" ca="1">_xlfn.CHOOSECOLS(_xlfn.CHOOSEROWS(_xlfn._xlws.FILTER(표2[],(표2[DWG No.]=C296)*(ISNUMBER(표2[Rev.])),""),1),6)</f>
        <v>42900</v>
      </c>
    </row>
    <row r="297" spans="1:19" ht="18" customHeight="1" x14ac:dyDescent="0.45">
      <c r="A297" s="64">
        <v>292</v>
      </c>
      <c r="B297" s="49" t="s">
        <v>57</v>
      </c>
      <c r="C297" s="65" t="s">
        <v>1215</v>
      </c>
      <c r="D297" s="66" t="s">
        <v>1216</v>
      </c>
      <c r="E297" s="65" t="s">
        <v>1217</v>
      </c>
      <c r="F297" s="66" t="s">
        <v>6</v>
      </c>
      <c r="G297" s="67">
        <v>42811</v>
      </c>
      <c r="H297" s="67">
        <v>42902</v>
      </c>
      <c r="I297" s="67">
        <v>43066</v>
      </c>
      <c r="J297" s="66" t="s">
        <v>1210</v>
      </c>
      <c r="K297" s="66" t="s">
        <v>7</v>
      </c>
      <c r="L297" s="66" t="s">
        <v>89</v>
      </c>
      <c r="M297" s="67" t="s">
        <v>155</v>
      </c>
      <c r="N297" s="66" t="s">
        <v>1218</v>
      </c>
      <c r="O297" s="66" t="s">
        <v>7</v>
      </c>
      <c r="P297" s="66" t="s">
        <v>89</v>
      </c>
      <c r="Q297" s="66" t="s">
        <v>5002</v>
      </c>
      <c r="R297" s="67" cm="1">
        <f t="array" aca="1" ref="R297" ca="1">_xlfn.CHOOSECOLS(_xlfn.CHOOSEROWS(_xlfn._xlws.FILTER(표2[],표2[DWG No.]=C297,""),1),6)</f>
        <v>42816</v>
      </c>
      <c r="S297" s="67" cm="1">
        <f t="array" aca="1" ref="S297" ca="1">_xlfn.CHOOSECOLS(_xlfn.CHOOSEROWS(_xlfn._xlws.FILTER(표2[],(표2[DWG No.]=C297)*(ISNUMBER(표2[Rev.])),""),1),6)</f>
        <v>42968</v>
      </c>
    </row>
    <row r="298" spans="1:19" ht="18" customHeight="1" x14ac:dyDescent="0.45">
      <c r="A298" s="64">
        <v>293</v>
      </c>
      <c r="B298" s="49" t="s">
        <v>57</v>
      </c>
      <c r="C298" s="65" t="s">
        <v>1219</v>
      </c>
      <c r="D298" s="66" t="s">
        <v>1220</v>
      </c>
      <c r="E298" s="65" t="s">
        <v>1221</v>
      </c>
      <c r="F298" s="66" t="s">
        <v>6</v>
      </c>
      <c r="G298" s="67">
        <v>42825</v>
      </c>
      <c r="H298" s="67">
        <v>42916</v>
      </c>
      <c r="I298" s="67">
        <v>42947</v>
      </c>
      <c r="J298" s="66" t="s">
        <v>1222</v>
      </c>
      <c r="K298" s="66" t="s">
        <v>7</v>
      </c>
      <c r="L298" s="66" t="s">
        <v>62</v>
      </c>
      <c r="M298" s="67" t="s">
        <v>519</v>
      </c>
      <c r="N298" s="66" t="s">
        <v>81</v>
      </c>
      <c r="O298" s="66" t="s">
        <v>7</v>
      </c>
      <c r="P298" s="66" t="s">
        <v>62</v>
      </c>
      <c r="Q298" s="66" t="s">
        <v>5002</v>
      </c>
      <c r="R298" s="67" cm="1">
        <f t="array" aca="1" ref="R298" ca="1">_xlfn.CHOOSECOLS(_xlfn.CHOOSEROWS(_xlfn._xlws.FILTER(표2[],표2[DWG No.]=C298,""),1),6)</f>
        <v>42831</v>
      </c>
      <c r="S298" s="67" cm="1">
        <f t="array" aca="1" ref="S298" ca="1">_xlfn.CHOOSECOLS(_xlfn.CHOOSEROWS(_xlfn._xlws.FILTER(표2[],(표2[DWG No.]=C298)*(ISNUMBER(표2[Rev.])),""),1),6)</f>
        <v>42947</v>
      </c>
    </row>
    <row r="299" spans="1:19" ht="18" customHeight="1" x14ac:dyDescent="0.45">
      <c r="A299" s="64">
        <v>294</v>
      </c>
      <c r="B299" s="49" t="s">
        <v>57</v>
      </c>
      <c r="C299" s="65" t="s">
        <v>1223</v>
      </c>
      <c r="D299" s="66" t="s">
        <v>1224</v>
      </c>
      <c r="E299" s="65" t="s">
        <v>1225</v>
      </c>
      <c r="F299" s="66" t="s">
        <v>6</v>
      </c>
      <c r="G299" s="67">
        <v>42825</v>
      </c>
      <c r="H299" s="67">
        <v>42916</v>
      </c>
      <c r="I299" s="67">
        <v>42947</v>
      </c>
      <c r="J299" s="66" t="s">
        <v>1222</v>
      </c>
      <c r="K299" s="66" t="s">
        <v>7</v>
      </c>
      <c r="L299" s="66" t="s">
        <v>62</v>
      </c>
      <c r="M299" s="67" t="s">
        <v>519</v>
      </c>
      <c r="N299" s="66" t="s">
        <v>81</v>
      </c>
      <c r="O299" s="66" t="s">
        <v>7</v>
      </c>
      <c r="P299" s="66" t="s">
        <v>62</v>
      </c>
      <c r="Q299" s="66" t="s">
        <v>5002</v>
      </c>
      <c r="R299" s="67" cm="1">
        <f t="array" aca="1" ref="R299" ca="1">_xlfn.CHOOSECOLS(_xlfn.CHOOSEROWS(_xlfn._xlws.FILTER(표2[],표2[DWG No.]=C299,""),1),6)</f>
        <v>42831</v>
      </c>
      <c r="S299" s="67" cm="1">
        <f t="array" aca="1" ref="S299" ca="1">_xlfn.CHOOSECOLS(_xlfn.CHOOSEROWS(_xlfn._xlws.FILTER(표2[],(표2[DWG No.]=C299)*(ISNUMBER(표2[Rev.])),""),1),6)</f>
        <v>42947</v>
      </c>
    </row>
    <row r="300" spans="1:19" ht="18" customHeight="1" x14ac:dyDescent="0.45">
      <c r="A300" s="64">
        <v>295</v>
      </c>
      <c r="B300" s="49" t="s">
        <v>57</v>
      </c>
      <c r="C300" s="65" t="s">
        <v>1226</v>
      </c>
      <c r="D300" s="66" t="s">
        <v>1227</v>
      </c>
      <c r="E300" s="65" t="s">
        <v>1228</v>
      </c>
      <c r="F300" s="66" t="s">
        <v>6</v>
      </c>
      <c r="G300" s="67">
        <v>42825</v>
      </c>
      <c r="H300" s="67">
        <v>42916</v>
      </c>
      <c r="I300" s="67">
        <v>42947</v>
      </c>
      <c r="J300" s="66" t="s">
        <v>1222</v>
      </c>
      <c r="K300" s="66" t="s">
        <v>7</v>
      </c>
      <c r="L300" s="66" t="s">
        <v>62</v>
      </c>
      <c r="M300" s="67" t="s">
        <v>519</v>
      </c>
      <c r="N300" s="66" t="s">
        <v>81</v>
      </c>
      <c r="O300" s="66" t="s">
        <v>7</v>
      </c>
      <c r="P300" s="66" t="s">
        <v>62</v>
      </c>
      <c r="Q300" s="66" t="s">
        <v>5002</v>
      </c>
      <c r="R300" s="67" cm="1">
        <f t="array" aca="1" ref="R300" ca="1">_xlfn.CHOOSECOLS(_xlfn.CHOOSEROWS(_xlfn._xlws.FILTER(표2[],표2[DWG No.]=C300,""),1),6)</f>
        <v>42831</v>
      </c>
      <c r="S300" s="67" cm="1">
        <f t="array" aca="1" ref="S300" ca="1">_xlfn.CHOOSECOLS(_xlfn.CHOOSEROWS(_xlfn._xlws.FILTER(표2[],(표2[DWG No.]=C300)*(ISNUMBER(표2[Rev.])),""),1),6)</f>
        <v>42947</v>
      </c>
    </row>
    <row r="301" spans="1:19" ht="18" customHeight="1" x14ac:dyDescent="0.45">
      <c r="A301" s="64">
        <v>296</v>
      </c>
      <c r="B301" s="49" t="s">
        <v>57</v>
      </c>
      <c r="C301" s="65" t="s">
        <v>1229</v>
      </c>
      <c r="D301" s="66" t="s">
        <v>1230</v>
      </c>
      <c r="E301" s="65" t="s">
        <v>1231</v>
      </c>
      <c r="F301" s="66" t="s">
        <v>6</v>
      </c>
      <c r="G301" s="67">
        <v>42901</v>
      </c>
      <c r="H301" s="67">
        <v>42965</v>
      </c>
      <c r="I301" s="67">
        <v>43861</v>
      </c>
      <c r="J301" s="66" t="s">
        <v>2803</v>
      </c>
      <c r="K301" s="66" t="s">
        <v>7</v>
      </c>
      <c r="L301" s="66" t="s">
        <v>89</v>
      </c>
      <c r="M301" s="67" t="s">
        <v>2817</v>
      </c>
      <c r="N301" s="66" t="s">
        <v>2851</v>
      </c>
      <c r="O301" s="66" t="s">
        <v>7</v>
      </c>
      <c r="P301" s="66" t="s">
        <v>89</v>
      </c>
      <c r="Q301" s="66" t="s">
        <v>65</v>
      </c>
      <c r="R301" s="67" cm="1">
        <f t="array" aca="1" ref="R301" ca="1">_xlfn.CHOOSECOLS(_xlfn.CHOOSEROWS(_xlfn._xlws.FILTER(표2[],표2[DWG No.]=C301,""),1),6)</f>
        <v>42906</v>
      </c>
      <c r="S301" s="67" cm="1">
        <f t="array" aca="1" ref="S301" ca="1">_xlfn.CHOOSECOLS(_xlfn.CHOOSEROWS(_xlfn._xlws.FILTER(표2[],(표2[DWG No.]=C301)*(ISNUMBER(표2[Rev.])),""),1),6)</f>
        <v>42940</v>
      </c>
    </row>
    <row r="302" spans="1:19" ht="18" customHeight="1" x14ac:dyDescent="0.45">
      <c r="A302" s="64">
        <v>297</v>
      </c>
      <c r="B302" s="49" t="s">
        <v>57</v>
      </c>
      <c r="C302" s="65" t="s">
        <v>1232</v>
      </c>
      <c r="D302" s="66" t="s">
        <v>1233</v>
      </c>
      <c r="E302" s="65" t="s">
        <v>1234</v>
      </c>
      <c r="F302" s="66" t="s">
        <v>6</v>
      </c>
      <c r="G302" s="67">
        <v>42909</v>
      </c>
      <c r="H302" s="67">
        <v>42993</v>
      </c>
      <c r="I302" s="67">
        <v>43236</v>
      </c>
      <c r="J302" s="66" t="s">
        <v>2521</v>
      </c>
      <c r="K302" s="66" t="s">
        <v>7</v>
      </c>
      <c r="L302" s="66" t="s">
        <v>89</v>
      </c>
      <c r="M302" s="67" t="s">
        <v>2517</v>
      </c>
      <c r="N302" s="66" t="s">
        <v>2522</v>
      </c>
      <c r="O302" s="66" t="s">
        <v>7</v>
      </c>
      <c r="P302" s="66" t="s">
        <v>89</v>
      </c>
      <c r="Q302" s="66" t="s">
        <v>65</v>
      </c>
      <c r="R302" s="67" cm="1">
        <f t="array" aca="1" ref="R302" ca="1">_xlfn.CHOOSECOLS(_xlfn.CHOOSEROWS(_xlfn._xlws.FILTER(표2[],표2[DWG No.]=C302,""),1),6)</f>
        <v>42929</v>
      </c>
      <c r="S302" s="67" cm="1">
        <f t="array" aca="1" ref="S302" ca="1">_xlfn.CHOOSECOLS(_xlfn.CHOOSEROWS(_xlfn._xlws.FILTER(표2[],(표2[DWG No.]=C302)*(ISNUMBER(표2[Rev.])),""),1),6)</f>
        <v>43034</v>
      </c>
    </row>
    <row r="303" spans="1:19" ht="18" customHeight="1" x14ac:dyDescent="0.45">
      <c r="A303" s="64">
        <v>298</v>
      </c>
      <c r="B303" s="49" t="s">
        <v>57</v>
      </c>
      <c r="C303" s="65" t="s">
        <v>1235</v>
      </c>
      <c r="D303" s="66" t="s">
        <v>1236</v>
      </c>
      <c r="E303" s="65" t="s">
        <v>1237</v>
      </c>
      <c r="F303" s="66" t="s">
        <v>6</v>
      </c>
      <c r="G303" s="67">
        <v>42909</v>
      </c>
      <c r="H303" s="67">
        <v>42993</v>
      </c>
      <c r="I303" s="67">
        <v>43236</v>
      </c>
      <c r="J303" s="66" t="s">
        <v>2523</v>
      </c>
      <c r="K303" s="66" t="s">
        <v>7</v>
      </c>
      <c r="L303" s="66" t="s">
        <v>89</v>
      </c>
      <c r="M303" s="67" t="s">
        <v>2517</v>
      </c>
      <c r="N303" s="66" t="s">
        <v>2524</v>
      </c>
      <c r="O303" s="66" t="s">
        <v>7</v>
      </c>
      <c r="P303" s="66" t="s">
        <v>89</v>
      </c>
      <c r="Q303" s="66" t="s">
        <v>5002</v>
      </c>
      <c r="R303" s="67" cm="1">
        <f t="array" aca="1" ref="R303" ca="1">_xlfn.CHOOSECOLS(_xlfn.CHOOSEROWS(_xlfn._xlws.FILTER(표2[],표2[DWG No.]=C303,""),1),6)</f>
        <v>42929</v>
      </c>
      <c r="S303" s="67" cm="1">
        <f t="array" aca="1" ref="S303" ca="1">_xlfn.CHOOSECOLS(_xlfn.CHOOSEROWS(_xlfn._xlws.FILTER(표2[],(표2[DWG No.]=C303)*(ISNUMBER(표2[Rev.])),""),1),6)</f>
        <v>43034</v>
      </c>
    </row>
    <row r="304" spans="1:19" ht="18" customHeight="1" x14ac:dyDescent="0.45">
      <c r="A304" s="64">
        <v>299</v>
      </c>
      <c r="B304" s="49" t="s">
        <v>57</v>
      </c>
      <c r="C304" s="65" t="s">
        <v>1238</v>
      </c>
      <c r="D304" s="66" t="s">
        <v>1239</v>
      </c>
      <c r="E304" s="65" t="s">
        <v>1240</v>
      </c>
      <c r="F304" s="66" t="s">
        <v>6</v>
      </c>
      <c r="G304" s="67">
        <v>42909</v>
      </c>
      <c r="H304" s="67">
        <v>42993</v>
      </c>
      <c r="I304" s="67">
        <v>43236</v>
      </c>
      <c r="J304" s="66" t="s">
        <v>2525</v>
      </c>
      <c r="K304" s="66" t="s">
        <v>7</v>
      </c>
      <c r="L304" s="66" t="s">
        <v>89</v>
      </c>
      <c r="M304" s="67" t="s">
        <v>2517</v>
      </c>
      <c r="N304" s="66" t="s">
        <v>2526</v>
      </c>
      <c r="O304" s="66" t="s">
        <v>7</v>
      </c>
      <c r="P304" s="66" t="s">
        <v>89</v>
      </c>
      <c r="Q304" s="66" t="s">
        <v>5002</v>
      </c>
      <c r="R304" s="67" cm="1">
        <f t="array" aca="1" ref="R304" ca="1">_xlfn.CHOOSECOLS(_xlfn.CHOOSEROWS(_xlfn._xlws.FILTER(표2[],표2[DWG No.]=C304,""),1),6)</f>
        <v>42929</v>
      </c>
      <c r="S304" s="67" cm="1">
        <f t="array" aca="1" ref="S304" ca="1">_xlfn.CHOOSECOLS(_xlfn.CHOOSEROWS(_xlfn._xlws.FILTER(표2[],(표2[DWG No.]=C304)*(ISNUMBER(표2[Rev.])),""),1),6)</f>
        <v>43034</v>
      </c>
    </row>
    <row r="305" spans="1:19" ht="18" customHeight="1" x14ac:dyDescent="0.45">
      <c r="A305" s="64">
        <v>300</v>
      </c>
      <c r="B305" s="49" t="s">
        <v>57</v>
      </c>
      <c r="C305" s="65" t="s">
        <v>1241</v>
      </c>
      <c r="D305" s="66" t="s">
        <v>1242</v>
      </c>
      <c r="E305" s="65" t="s">
        <v>1243</v>
      </c>
      <c r="F305" s="66" t="s">
        <v>6</v>
      </c>
      <c r="G305" s="67">
        <v>42909</v>
      </c>
      <c r="H305" s="67">
        <v>42993</v>
      </c>
      <c r="I305" s="67">
        <v>43236</v>
      </c>
      <c r="J305" s="66" t="s">
        <v>2527</v>
      </c>
      <c r="K305" s="66" t="s">
        <v>7</v>
      </c>
      <c r="L305" s="66" t="s">
        <v>89</v>
      </c>
      <c r="M305" s="67" t="s">
        <v>2517</v>
      </c>
      <c r="N305" s="66" t="s">
        <v>2528</v>
      </c>
      <c r="O305" s="66" t="s">
        <v>7</v>
      </c>
      <c r="P305" s="66" t="s">
        <v>89</v>
      </c>
      <c r="Q305" s="66" t="s">
        <v>5002</v>
      </c>
      <c r="R305" s="67" cm="1">
        <f t="array" aca="1" ref="R305" ca="1">_xlfn.CHOOSECOLS(_xlfn.CHOOSEROWS(_xlfn._xlws.FILTER(표2[],표2[DWG No.]=C305,""),1),6)</f>
        <v>42929</v>
      </c>
      <c r="S305" s="67" cm="1">
        <f t="array" aca="1" ref="S305" ca="1">_xlfn.CHOOSECOLS(_xlfn.CHOOSEROWS(_xlfn._xlws.FILTER(표2[],(표2[DWG No.]=C305)*(ISNUMBER(표2[Rev.])),""),1),6)</f>
        <v>43034</v>
      </c>
    </row>
    <row r="306" spans="1:19" ht="18" customHeight="1" x14ac:dyDescent="0.45">
      <c r="A306" s="64">
        <v>301</v>
      </c>
      <c r="B306" s="49" t="s">
        <v>57</v>
      </c>
      <c r="C306" s="65" t="s">
        <v>1244</v>
      </c>
      <c r="D306" s="66" t="s">
        <v>1245</v>
      </c>
      <c r="E306" s="65" t="s">
        <v>1246</v>
      </c>
      <c r="F306" s="66" t="s">
        <v>6</v>
      </c>
      <c r="G306" s="67">
        <v>42888</v>
      </c>
      <c r="H306" s="67">
        <v>43007</v>
      </c>
      <c r="I306" s="67">
        <v>43152</v>
      </c>
      <c r="J306" s="66" t="s">
        <v>1247</v>
      </c>
      <c r="K306" s="66" t="s">
        <v>7</v>
      </c>
      <c r="L306" s="66" t="s">
        <v>89</v>
      </c>
      <c r="M306" s="67" t="s">
        <v>825</v>
      </c>
      <c r="N306" s="66" t="s">
        <v>1248</v>
      </c>
      <c r="O306" s="66" t="s">
        <v>7</v>
      </c>
      <c r="P306" s="66" t="s">
        <v>89</v>
      </c>
      <c r="Q306" s="66" t="s">
        <v>5002</v>
      </c>
      <c r="R306" s="67" cm="1">
        <f t="array" aca="1" ref="R306" ca="1">_xlfn.CHOOSECOLS(_xlfn.CHOOSEROWS(_xlfn._xlws.FILTER(표2[],표2[DWG No.]=C306,""),1),6)</f>
        <v>42891</v>
      </c>
      <c r="S306" s="67" cm="1">
        <f t="array" aca="1" ref="S306" ca="1">_xlfn.CHOOSECOLS(_xlfn.CHOOSEROWS(_xlfn._xlws.FILTER(표2[],(표2[DWG No.]=C306)*(ISNUMBER(표2[Rev.])),""),1),6)</f>
        <v>42940</v>
      </c>
    </row>
    <row r="307" spans="1:19" ht="18" customHeight="1" x14ac:dyDescent="0.45">
      <c r="A307" s="64">
        <v>302</v>
      </c>
      <c r="B307" s="49" t="s">
        <v>57</v>
      </c>
      <c r="C307" s="65" t="s">
        <v>1249</v>
      </c>
      <c r="D307" s="66" t="s">
        <v>1250</v>
      </c>
      <c r="E307" s="65" t="s">
        <v>1251</v>
      </c>
      <c r="F307" s="66" t="s">
        <v>6</v>
      </c>
      <c r="G307" s="67">
        <v>42888</v>
      </c>
      <c r="H307" s="67">
        <v>43007</v>
      </c>
      <c r="I307" s="67">
        <v>43152</v>
      </c>
      <c r="J307" s="66" t="s">
        <v>1247</v>
      </c>
      <c r="K307" s="66" t="s">
        <v>7</v>
      </c>
      <c r="L307" s="66" t="s">
        <v>89</v>
      </c>
      <c r="M307" s="67" t="s">
        <v>825</v>
      </c>
      <c r="N307" s="66" t="s">
        <v>1252</v>
      </c>
      <c r="O307" s="66" t="s">
        <v>7</v>
      </c>
      <c r="P307" s="66" t="s">
        <v>89</v>
      </c>
      <c r="Q307" s="66" t="s">
        <v>5002</v>
      </c>
      <c r="R307" s="67" cm="1">
        <f t="array" aca="1" ref="R307" ca="1">_xlfn.CHOOSECOLS(_xlfn.CHOOSEROWS(_xlfn._xlws.FILTER(표2[],표2[DWG No.]=C307,""),1),6)</f>
        <v>42891</v>
      </c>
      <c r="S307" s="67" cm="1">
        <f t="array" aca="1" ref="S307" ca="1">_xlfn.CHOOSECOLS(_xlfn.CHOOSEROWS(_xlfn._xlws.FILTER(표2[],(표2[DWG No.]=C307)*(ISNUMBER(표2[Rev.])),""),1),6)</f>
        <v>42940</v>
      </c>
    </row>
    <row r="308" spans="1:19" ht="18" customHeight="1" x14ac:dyDescent="0.45">
      <c r="A308" s="64">
        <v>303</v>
      </c>
      <c r="B308" s="49" t="s">
        <v>57</v>
      </c>
      <c r="C308" s="65" t="s">
        <v>1253</v>
      </c>
      <c r="D308" s="66" t="s">
        <v>1254</v>
      </c>
      <c r="E308" s="65" t="s">
        <v>1255</v>
      </c>
      <c r="F308" s="66" t="s">
        <v>6</v>
      </c>
      <c r="G308" s="67">
        <v>42888</v>
      </c>
      <c r="H308" s="67">
        <v>43007</v>
      </c>
      <c r="I308" s="67">
        <v>43152</v>
      </c>
      <c r="J308" s="66" t="s">
        <v>1247</v>
      </c>
      <c r="K308" s="66" t="s">
        <v>7</v>
      </c>
      <c r="L308" s="66" t="s">
        <v>89</v>
      </c>
      <c r="M308" s="67" t="s">
        <v>825</v>
      </c>
      <c r="N308" s="66" t="s">
        <v>1256</v>
      </c>
      <c r="O308" s="66" t="s">
        <v>7</v>
      </c>
      <c r="P308" s="66" t="s">
        <v>89</v>
      </c>
      <c r="Q308" s="66" t="s">
        <v>5002</v>
      </c>
      <c r="R308" s="67" cm="1">
        <f t="array" aca="1" ref="R308" ca="1">_xlfn.CHOOSECOLS(_xlfn.CHOOSEROWS(_xlfn._xlws.FILTER(표2[],표2[DWG No.]=C308,""),1),6)</f>
        <v>42891</v>
      </c>
      <c r="S308" s="67" cm="1">
        <f t="array" aca="1" ref="S308" ca="1">_xlfn.CHOOSECOLS(_xlfn.CHOOSEROWS(_xlfn._xlws.FILTER(표2[],(표2[DWG No.]=C308)*(ISNUMBER(표2[Rev.])),""),1),6)</f>
        <v>42940</v>
      </c>
    </row>
    <row r="309" spans="1:19" ht="18" customHeight="1" x14ac:dyDescent="0.45">
      <c r="A309" s="64">
        <v>304</v>
      </c>
      <c r="B309" s="49" t="s">
        <v>57</v>
      </c>
      <c r="C309" s="65" t="s">
        <v>1257</v>
      </c>
      <c r="D309" s="66" t="s">
        <v>1258</v>
      </c>
      <c r="E309" s="65" t="s">
        <v>1259</v>
      </c>
      <c r="F309" s="66" t="s">
        <v>5</v>
      </c>
      <c r="G309" s="67">
        <v>43054</v>
      </c>
      <c r="H309" s="67">
        <v>43070</v>
      </c>
      <c r="I309" s="67">
        <v>43180</v>
      </c>
      <c r="J309" s="66" t="s">
        <v>1260</v>
      </c>
      <c r="K309" s="66" t="s">
        <v>7</v>
      </c>
      <c r="L309" s="66" t="s">
        <v>89</v>
      </c>
      <c r="M309" s="67" t="s">
        <v>241</v>
      </c>
      <c r="N309" s="66" t="s">
        <v>1261</v>
      </c>
      <c r="O309" s="66" t="s">
        <v>7</v>
      </c>
      <c r="P309" s="66" t="s">
        <v>89</v>
      </c>
      <c r="Q309" s="66" t="s">
        <v>5003</v>
      </c>
      <c r="R309" s="67" cm="1">
        <f t="array" aca="1" ref="R309" ca="1">_xlfn.CHOOSECOLS(_xlfn.CHOOSEROWS(_xlfn._xlws.FILTER(표2[],표2[DWG No.]=C309,""),1),6)</f>
        <v>43087</v>
      </c>
      <c r="S309" s="67" cm="1">
        <f t="array" aca="1" ref="S309" ca="1">_xlfn.CHOOSECOLS(_xlfn.CHOOSEROWS(_xlfn._xlws.FILTER(표2[],(표2[DWG No.]=C309)*(ISNUMBER(표2[Rev.])),""),1),6)</f>
        <v>43098</v>
      </c>
    </row>
    <row r="310" spans="1:19" ht="18" customHeight="1" x14ac:dyDescent="0.45">
      <c r="A310" s="64">
        <v>305</v>
      </c>
      <c r="B310" s="49" t="s">
        <v>57</v>
      </c>
      <c r="C310" s="65" t="s">
        <v>1262</v>
      </c>
      <c r="D310" s="66" t="s">
        <v>1263</v>
      </c>
      <c r="E310" s="65" t="s">
        <v>1264</v>
      </c>
      <c r="F310" s="66" t="s">
        <v>5</v>
      </c>
      <c r="G310" s="67">
        <v>43054</v>
      </c>
      <c r="H310" s="67">
        <v>43070</v>
      </c>
      <c r="I310" s="67">
        <v>43180</v>
      </c>
      <c r="J310" s="66" t="s">
        <v>1260</v>
      </c>
      <c r="K310" s="66" t="s">
        <v>7</v>
      </c>
      <c r="L310" s="66" t="s">
        <v>89</v>
      </c>
      <c r="M310" s="67" t="s">
        <v>241</v>
      </c>
      <c r="N310" s="66" t="s">
        <v>1265</v>
      </c>
      <c r="O310" s="66" t="s">
        <v>7</v>
      </c>
      <c r="P310" s="66" t="s">
        <v>89</v>
      </c>
      <c r="Q310" s="66" t="s">
        <v>5003</v>
      </c>
      <c r="R310" s="67" cm="1">
        <f t="array" aca="1" ref="R310" ca="1">_xlfn.CHOOSECOLS(_xlfn.CHOOSEROWS(_xlfn._xlws.FILTER(표2[],표2[DWG No.]=C310,""),1),6)</f>
        <v>43087</v>
      </c>
      <c r="S310" s="67" cm="1">
        <f t="array" aca="1" ref="S310" ca="1">_xlfn.CHOOSECOLS(_xlfn.CHOOSEROWS(_xlfn._xlws.FILTER(표2[],(표2[DWG No.]=C310)*(ISNUMBER(표2[Rev.])),""),1),6)</f>
        <v>43098</v>
      </c>
    </row>
    <row r="311" spans="1:19" ht="18" customHeight="1" x14ac:dyDescent="0.45">
      <c r="A311" s="64">
        <v>306</v>
      </c>
      <c r="B311" s="49" t="s">
        <v>57</v>
      </c>
      <c r="C311" s="65" t="s">
        <v>1266</v>
      </c>
      <c r="D311" s="66" t="s">
        <v>1267</v>
      </c>
      <c r="E311" s="65" t="s">
        <v>1268</v>
      </c>
      <c r="F311" s="66" t="s">
        <v>5</v>
      </c>
      <c r="G311" s="67">
        <v>43054</v>
      </c>
      <c r="H311" s="67">
        <v>43070</v>
      </c>
      <c r="I311" s="67">
        <v>43180</v>
      </c>
      <c r="J311" s="66" t="s">
        <v>1260</v>
      </c>
      <c r="K311" s="66" t="s">
        <v>7</v>
      </c>
      <c r="L311" s="66" t="s">
        <v>89</v>
      </c>
      <c r="M311" s="67" t="s">
        <v>241</v>
      </c>
      <c r="N311" s="66" t="s">
        <v>1269</v>
      </c>
      <c r="O311" s="66" t="s">
        <v>7</v>
      </c>
      <c r="P311" s="66" t="s">
        <v>89</v>
      </c>
      <c r="Q311" s="66" t="s">
        <v>5002</v>
      </c>
      <c r="R311" s="67" cm="1">
        <f t="array" aca="1" ref="R311" ca="1">_xlfn.CHOOSECOLS(_xlfn.CHOOSEROWS(_xlfn._xlws.FILTER(표2[],표2[DWG No.]=C311,""),1),6)</f>
        <v>43087</v>
      </c>
      <c r="S311" s="67" cm="1">
        <f t="array" aca="1" ref="S311" ca="1">_xlfn.CHOOSECOLS(_xlfn.CHOOSEROWS(_xlfn._xlws.FILTER(표2[],(표2[DWG No.]=C311)*(ISNUMBER(표2[Rev.])),""),1),6)</f>
        <v>43098</v>
      </c>
    </row>
    <row r="312" spans="1:19" ht="18" customHeight="1" x14ac:dyDescent="0.45">
      <c r="A312" s="64">
        <v>307</v>
      </c>
      <c r="B312" s="49" t="s">
        <v>57</v>
      </c>
      <c r="C312" s="65" t="s">
        <v>1270</v>
      </c>
      <c r="D312" s="66" t="s">
        <v>1271</v>
      </c>
      <c r="E312" s="65" t="s">
        <v>1272</v>
      </c>
      <c r="F312" s="66" t="s">
        <v>5</v>
      </c>
      <c r="G312" s="67">
        <v>43054</v>
      </c>
      <c r="H312" s="67">
        <v>43070</v>
      </c>
      <c r="I312" s="67">
        <v>43180</v>
      </c>
      <c r="J312" s="66" t="s">
        <v>1260</v>
      </c>
      <c r="K312" s="66" t="s">
        <v>7</v>
      </c>
      <c r="L312" s="66" t="s">
        <v>89</v>
      </c>
      <c r="M312" s="67" t="s">
        <v>241</v>
      </c>
      <c r="N312" s="66" t="s">
        <v>1273</v>
      </c>
      <c r="O312" s="66" t="s">
        <v>7</v>
      </c>
      <c r="P312" s="66" t="s">
        <v>89</v>
      </c>
      <c r="Q312" s="66" t="s">
        <v>5002</v>
      </c>
      <c r="R312" s="67" cm="1">
        <f t="array" aca="1" ref="R312" ca="1">_xlfn.CHOOSECOLS(_xlfn.CHOOSEROWS(_xlfn._xlws.FILTER(표2[],표2[DWG No.]=C312,""),1),6)</f>
        <v>43087</v>
      </c>
      <c r="S312" s="67" cm="1">
        <f t="array" aca="1" ref="S312" ca="1">_xlfn.CHOOSECOLS(_xlfn.CHOOSEROWS(_xlfn._xlws.FILTER(표2[],(표2[DWG No.]=C312)*(ISNUMBER(표2[Rev.])),""),1),6)</f>
        <v>43098</v>
      </c>
    </row>
    <row r="313" spans="1:19" ht="18" customHeight="1" x14ac:dyDescent="0.45">
      <c r="A313" s="64">
        <v>308</v>
      </c>
      <c r="B313" s="49" t="s">
        <v>57</v>
      </c>
      <c r="C313" s="65" t="s">
        <v>1274</v>
      </c>
      <c r="D313" s="66" t="s">
        <v>1275</v>
      </c>
      <c r="E313" s="65" t="s">
        <v>1276</v>
      </c>
      <c r="F313" s="66" t="s">
        <v>5</v>
      </c>
      <c r="G313" s="67">
        <v>43054</v>
      </c>
      <c r="H313" s="67">
        <v>43070</v>
      </c>
      <c r="I313" s="67">
        <v>43203</v>
      </c>
      <c r="J313" s="66" t="s">
        <v>1277</v>
      </c>
      <c r="K313" s="66" t="s">
        <v>7</v>
      </c>
      <c r="L313" s="66" t="s">
        <v>230</v>
      </c>
      <c r="M313" s="67" t="s">
        <v>2491</v>
      </c>
      <c r="N313" s="66" t="s">
        <v>2529</v>
      </c>
      <c r="O313" s="66" t="s">
        <v>7</v>
      </c>
      <c r="P313" s="66" t="s">
        <v>230</v>
      </c>
      <c r="Q313" s="66" t="s">
        <v>5002</v>
      </c>
      <c r="R313" s="67" cm="1">
        <f t="array" aca="1" ref="R313" ca="1">_xlfn.CHOOSECOLS(_xlfn.CHOOSEROWS(_xlfn._xlws.FILTER(표2[],표2[DWG No.]=C313,""),1),6)</f>
        <v>43087</v>
      </c>
      <c r="S313" s="67" cm="1">
        <f t="array" aca="1" ref="S313" ca="1">_xlfn.CHOOSECOLS(_xlfn.CHOOSEROWS(_xlfn._xlws.FILTER(표2[],(표2[DWG No.]=C313)*(ISNUMBER(표2[Rev.])),""),1),6)</f>
        <v>43098</v>
      </c>
    </row>
    <row r="314" spans="1:19" ht="18" customHeight="1" x14ac:dyDescent="0.45">
      <c r="A314" s="64">
        <v>309</v>
      </c>
      <c r="B314" s="49" t="s">
        <v>57</v>
      </c>
      <c r="C314" s="65" t="s">
        <v>1278</v>
      </c>
      <c r="D314" s="66" t="s">
        <v>1279</v>
      </c>
      <c r="E314" s="65" t="s">
        <v>1280</v>
      </c>
      <c r="F314" s="66" t="s">
        <v>5</v>
      </c>
      <c r="G314" s="67">
        <v>43054</v>
      </c>
      <c r="H314" s="67">
        <v>43070</v>
      </c>
      <c r="I314" s="67">
        <v>43203</v>
      </c>
      <c r="J314" s="66" t="s">
        <v>1277</v>
      </c>
      <c r="K314" s="66" t="s">
        <v>7</v>
      </c>
      <c r="L314" s="66" t="s">
        <v>230</v>
      </c>
      <c r="M314" s="67" t="s">
        <v>2491</v>
      </c>
      <c r="N314" s="66" t="s">
        <v>2530</v>
      </c>
      <c r="O314" s="66" t="s">
        <v>7</v>
      </c>
      <c r="P314" s="66" t="s">
        <v>230</v>
      </c>
      <c r="Q314" s="66" t="s">
        <v>5002</v>
      </c>
      <c r="R314" s="67" cm="1">
        <f t="array" aca="1" ref="R314" ca="1">_xlfn.CHOOSECOLS(_xlfn.CHOOSEROWS(_xlfn._xlws.FILTER(표2[],표2[DWG No.]=C314,""),1),6)</f>
        <v>43087</v>
      </c>
      <c r="S314" s="67" cm="1">
        <f t="array" aca="1" ref="S314" ca="1">_xlfn.CHOOSECOLS(_xlfn.CHOOSEROWS(_xlfn._xlws.FILTER(표2[],(표2[DWG No.]=C314)*(ISNUMBER(표2[Rev.])),""),1),6)</f>
        <v>43098</v>
      </c>
    </row>
    <row r="315" spans="1:19" ht="18" customHeight="1" x14ac:dyDescent="0.45">
      <c r="A315" s="64">
        <v>310</v>
      </c>
      <c r="B315" s="49" t="s">
        <v>57</v>
      </c>
      <c r="C315" s="65" t="s">
        <v>1281</v>
      </c>
      <c r="D315" s="66" t="s">
        <v>1282</v>
      </c>
      <c r="E315" s="65" t="s">
        <v>1283</v>
      </c>
      <c r="F315" s="66" t="s">
        <v>6</v>
      </c>
      <c r="G315" s="67">
        <v>42797</v>
      </c>
      <c r="H315" s="67">
        <v>42930</v>
      </c>
      <c r="I315" s="67">
        <v>43848</v>
      </c>
      <c r="J315" s="66" t="s">
        <v>2805</v>
      </c>
      <c r="K315" s="66" t="s">
        <v>7</v>
      </c>
      <c r="L315" s="66" t="s">
        <v>89</v>
      </c>
      <c r="M315" s="67" t="s">
        <v>2815</v>
      </c>
      <c r="N315" s="66" t="s">
        <v>2852</v>
      </c>
      <c r="O315" s="66" t="s">
        <v>7</v>
      </c>
      <c r="P315" s="66" t="s">
        <v>89</v>
      </c>
      <c r="Q315" s="66" t="s">
        <v>65</v>
      </c>
      <c r="R315" s="67" cm="1">
        <f t="array" aca="1" ref="R315" ca="1">_xlfn.CHOOSECOLS(_xlfn.CHOOSEROWS(_xlfn._xlws.FILTER(표2[],표2[DWG No.]=C315,""),1),6)</f>
        <v>42803</v>
      </c>
      <c r="S315" s="67" cm="1">
        <f t="array" aca="1" ref="S315" ca="1">_xlfn.CHOOSECOLS(_xlfn.CHOOSEROWS(_xlfn._xlws.FILTER(표2[],(표2[DWG No.]=C315)*(ISNUMBER(표2[Rev.])),""),1),6)</f>
        <v>42940</v>
      </c>
    </row>
    <row r="316" spans="1:19" ht="18" customHeight="1" x14ac:dyDescent="0.45">
      <c r="A316" s="64">
        <v>311</v>
      </c>
      <c r="B316" s="49" t="s">
        <v>57</v>
      </c>
      <c r="C316" s="65" t="s">
        <v>1286</v>
      </c>
      <c r="D316" s="66" t="s">
        <v>1287</v>
      </c>
      <c r="E316" s="65" t="s">
        <v>1288</v>
      </c>
      <c r="F316" s="66" t="s">
        <v>6</v>
      </c>
      <c r="G316" s="67">
        <v>42825</v>
      </c>
      <c r="H316" s="67">
        <v>42930</v>
      </c>
      <c r="I316" s="67">
        <v>43848</v>
      </c>
      <c r="J316" s="66" t="s">
        <v>2805</v>
      </c>
      <c r="K316" s="66" t="s">
        <v>7</v>
      </c>
      <c r="L316" s="66" t="s">
        <v>89</v>
      </c>
      <c r="M316" s="67" t="s">
        <v>2815</v>
      </c>
      <c r="N316" s="66" t="s">
        <v>2853</v>
      </c>
      <c r="O316" s="66" t="s">
        <v>7</v>
      </c>
      <c r="P316" s="66" t="s">
        <v>89</v>
      </c>
      <c r="Q316" s="66" t="s">
        <v>65</v>
      </c>
      <c r="R316" s="67" cm="1">
        <f t="array" aca="1" ref="R316" ca="1">_xlfn.CHOOSECOLS(_xlfn.CHOOSEROWS(_xlfn._xlws.FILTER(표2[],표2[DWG No.]=C316,""),1),6)</f>
        <v>42835</v>
      </c>
      <c r="S316" s="67" cm="1">
        <f t="array" aca="1" ref="S316" ca="1">_xlfn.CHOOSECOLS(_xlfn.CHOOSEROWS(_xlfn._xlws.FILTER(표2[],(표2[DWG No.]=C316)*(ISNUMBER(표2[Rev.])),""),1),6)</f>
        <v>42940</v>
      </c>
    </row>
    <row r="317" spans="1:19" ht="18" customHeight="1" x14ac:dyDescent="0.45">
      <c r="A317" s="64">
        <v>312</v>
      </c>
      <c r="B317" s="49" t="s">
        <v>57</v>
      </c>
      <c r="C317" s="65" t="s">
        <v>1289</v>
      </c>
      <c r="D317" s="66" t="s">
        <v>1290</v>
      </c>
      <c r="E317" s="65" t="s">
        <v>1291</v>
      </c>
      <c r="F317" s="66" t="s">
        <v>6</v>
      </c>
      <c r="G317" s="67">
        <v>42825</v>
      </c>
      <c r="H317" s="67">
        <v>42930</v>
      </c>
      <c r="I317" s="67">
        <v>42940</v>
      </c>
      <c r="J317" s="66" t="s">
        <v>1284</v>
      </c>
      <c r="K317" s="66" t="s">
        <v>7</v>
      </c>
      <c r="L317" s="66" t="s">
        <v>62</v>
      </c>
      <c r="M317" s="67" t="s">
        <v>1285</v>
      </c>
      <c r="N317" s="66" t="s">
        <v>81</v>
      </c>
      <c r="O317" s="66" t="s">
        <v>7</v>
      </c>
      <c r="P317" s="66" t="s">
        <v>62</v>
      </c>
      <c r="Q317" s="66" t="s">
        <v>5002</v>
      </c>
      <c r="R317" s="67" cm="1">
        <f t="array" aca="1" ref="R317" ca="1">_xlfn.CHOOSECOLS(_xlfn.CHOOSEROWS(_xlfn._xlws.FILTER(표2[],표2[DWG No.]=C317,""),1),6)</f>
        <v>42831</v>
      </c>
      <c r="S317" s="67" cm="1">
        <f t="array" aca="1" ref="S317" ca="1">_xlfn.CHOOSECOLS(_xlfn.CHOOSEROWS(_xlfn._xlws.FILTER(표2[],(표2[DWG No.]=C317)*(ISNUMBER(표2[Rev.])),""),1),6)</f>
        <v>42940</v>
      </c>
    </row>
    <row r="318" spans="1:19" ht="18" customHeight="1" x14ac:dyDescent="0.45">
      <c r="A318" s="64">
        <v>313</v>
      </c>
      <c r="B318" s="49" t="s">
        <v>57</v>
      </c>
      <c r="C318" s="65" t="s">
        <v>1292</v>
      </c>
      <c r="D318" s="66" t="s">
        <v>1293</v>
      </c>
      <c r="E318" s="65" t="s">
        <v>1294</v>
      </c>
      <c r="F318" s="66" t="s">
        <v>6</v>
      </c>
      <c r="G318" s="67">
        <v>42832</v>
      </c>
      <c r="H318" s="67">
        <v>42916</v>
      </c>
      <c r="I318" s="67">
        <v>42970</v>
      </c>
      <c r="J318" s="66" t="s">
        <v>1295</v>
      </c>
      <c r="K318" s="66" t="s">
        <v>7</v>
      </c>
      <c r="L318" s="66" t="s">
        <v>62</v>
      </c>
      <c r="M318" s="67" t="s">
        <v>1296</v>
      </c>
      <c r="N318" s="66" t="s">
        <v>81</v>
      </c>
      <c r="O318" s="66" t="s">
        <v>7</v>
      </c>
      <c r="P318" s="66" t="s">
        <v>62</v>
      </c>
      <c r="Q318" s="66" t="s">
        <v>5002</v>
      </c>
      <c r="R318" s="67" cm="1">
        <f t="array" aca="1" ref="R318" ca="1">_xlfn.CHOOSECOLS(_xlfn.CHOOSEROWS(_xlfn._xlws.FILTER(표2[],표2[DWG No.]=C318,""),1),6)</f>
        <v>42843</v>
      </c>
      <c r="S318" s="67" cm="1">
        <f t="array" aca="1" ref="S318" ca="1">_xlfn.CHOOSECOLS(_xlfn.CHOOSEROWS(_xlfn._xlws.FILTER(표2[],(표2[DWG No.]=C318)*(ISNUMBER(표2[Rev.])),""),1),6)</f>
        <v>42970</v>
      </c>
    </row>
    <row r="319" spans="1:19" ht="18" customHeight="1" x14ac:dyDescent="0.45">
      <c r="A319" s="64">
        <v>314</v>
      </c>
      <c r="B319" s="49" t="s">
        <v>57</v>
      </c>
      <c r="C319" s="65" t="s">
        <v>1297</v>
      </c>
      <c r="D319" s="66" t="s">
        <v>2659</v>
      </c>
      <c r="E319" s="65" t="s">
        <v>1298</v>
      </c>
      <c r="F319" s="66" t="s">
        <v>6</v>
      </c>
      <c r="G319" s="67">
        <v>42825</v>
      </c>
      <c r="H319" s="67">
        <v>42930</v>
      </c>
      <c r="I319" s="67">
        <v>43848</v>
      </c>
      <c r="J319" s="66" t="s">
        <v>2806</v>
      </c>
      <c r="K319" s="66" t="s">
        <v>7</v>
      </c>
      <c r="L319" s="66" t="s">
        <v>89</v>
      </c>
      <c r="M319" s="67" t="s">
        <v>2815</v>
      </c>
      <c r="N319" s="66" t="s">
        <v>2854</v>
      </c>
      <c r="O319" s="66" t="s">
        <v>7</v>
      </c>
      <c r="P319" s="66" t="s">
        <v>89</v>
      </c>
      <c r="Q319" s="66" t="s">
        <v>65</v>
      </c>
      <c r="R319" s="67" cm="1">
        <f t="array" aca="1" ref="R319" ca="1">_xlfn.CHOOSECOLS(_xlfn.CHOOSEROWS(_xlfn._xlws.FILTER(표2[],표2[DWG No.]=C319,""),1),6)</f>
        <v>42835</v>
      </c>
      <c r="S319" s="67" cm="1">
        <f t="array" aca="1" ref="S319" ca="1">_xlfn.CHOOSECOLS(_xlfn.CHOOSEROWS(_xlfn._xlws.FILTER(표2[],(표2[DWG No.]=C319)*(ISNUMBER(표2[Rev.])),""),1),6)</f>
        <v>43034</v>
      </c>
    </row>
    <row r="320" spans="1:19" ht="18" customHeight="1" x14ac:dyDescent="0.45">
      <c r="A320" s="64">
        <v>315</v>
      </c>
      <c r="B320" s="49" t="s">
        <v>57</v>
      </c>
      <c r="C320" s="65" t="s">
        <v>1299</v>
      </c>
      <c r="D320" s="66" t="s">
        <v>1300</v>
      </c>
      <c r="E320" s="65" t="s">
        <v>1301</v>
      </c>
      <c r="F320" s="66" t="s">
        <v>6</v>
      </c>
      <c r="G320" s="67">
        <v>42832</v>
      </c>
      <c r="H320" s="67">
        <v>42916</v>
      </c>
      <c r="I320" s="67">
        <v>43741</v>
      </c>
      <c r="J320" s="66" t="s">
        <v>2711</v>
      </c>
      <c r="K320" s="66" t="s">
        <v>7</v>
      </c>
      <c r="L320" s="66" t="s">
        <v>230</v>
      </c>
      <c r="M320" s="67" t="s">
        <v>2712</v>
      </c>
      <c r="N320" s="66" t="s">
        <v>2713</v>
      </c>
      <c r="O320" s="66" t="s">
        <v>7</v>
      </c>
      <c r="P320" s="66" t="s">
        <v>230</v>
      </c>
      <c r="Q320" s="66" t="s">
        <v>65</v>
      </c>
      <c r="R320" s="67" cm="1">
        <f t="array" aca="1" ref="R320" ca="1">_xlfn.CHOOSECOLS(_xlfn.CHOOSEROWS(_xlfn._xlws.FILTER(표2[],표2[DWG No.]=C320,""),1),6)</f>
        <v>42843</v>
      </c>
      <c r="S320" s="67" cm="1">
        <f t="array" aca="1" ref="S320" ca="1">_xlfn.CHOOSECOLS(_xlfn.CHOOSEROWS(_xlfn._xlws.FILTER(표2[],(표2[DWG No.]=C320)*(ISNUMBER(표2[Rev.])),""),1),6)</f>
        <v>43021</v>
      </c>
    </row>
    <row r="321" spans="1:19" ht="18" customHeight="1" x14ac:dyDescent="0.45">
      <c r="A321" s="64">
        <v>316</v>
      </c>
      <c r="B321" s="49" t="s">
        <v>57</v>
      </c>
      <c r="C321" s="65" t="s">
        <v>1302</v>
      </c>
      <c r="D321" s="66" t="s">
        <v>1303</v>
      </c>
      <c r="E321" s="65" t="s">
        <v>1304</v>
      </c>
      <c r="F321" s="66" t="s">
        <v>6</v>
      </c>
      <c r="G321" s="67">
        <v>42993</v>
      </c>
      <c r="H321" s="67">
        <v>43042</v>
      </c>
      <c r="I321" s="67">
        <v>43763</v>
      </c>
      <c r="J321" s="66" t="s">
        <v>2725</v>
      </c>
      <c r="K321" s="66" t="s">
        <v>7</v>
      </c>
      <c r="L321" s="66" t="s">
        <v>230</v>
      </c>
      <c r="M321" s="67" t="s">
        <v>2726</v>
      </c>
      <c r="N321" s="66" t="s">
        <v>2727</v>
      </c>
      <c r="O321" s="66" t="s">
        <v>7</v>
      </c>
      <c r="P321" s="66" t="s">
        <v>230</v>
      </c>
      <c r="Q321" s="66" t="s">
        <v>65</v>
      </c>
      <c r="R321" s="67" cm="1">
        <f t="array" aca="1" ref="R321" ca="1">_xlfn.CHOOSECOLS(_xlfn.CHOOSEROWS(_xlfn._xlws.FILTER(표2[],표2[DWG No.]=C321,""),1),6)</f>
        <v>43038</v>
      </c>
      <c r="S321" s="67" cm="1">
        <f t="array" aca="1" ref="S321" ca="1">_xlfn.CHOOSECOLS(_xlfn.CHOOSEROWS(_xlfn._xlws.FILTER(표2[],(표2[DWG No.]=C321)*(ISNUMBER(표2[Rev.])),""),1),6)</f>
        <v>43066</v>
      </c>
    </row>
    <row r="322" spans="1:19" ht="18" customHeight="1" x14ac:dyDescent="0.45">
      <c r="A322" s="64">
        <v>317</v>
      </c>
      <c r="B322" s="49" t="s">
        <v>57</v>
      </c>
      <c r="C322" s="65" t="s">
        <v>1306</v>
      </c>
      <c r="D322" s="66" t="s">
        <v>1307</v>
      </c>
      <c r="E322" s="65" t="s">
        <v>1308</v>
      </c>
      <c r="F322" s="66" t="s">
        <v>6</v>
      </c>
      <c r="G322" s="67">
        <v>42825</v>
      </c>
      <c r="H322" s="67">
        <v>42916</v>
      </c>
      <c r="I322" s="67">
        <v>42943</v>
      </c>
      <c r="J322" s="66" t="s">
        <v>1309</v>
      </c>
      <c r="K322" s="66" t="s">
        <v>7</v>
      </c>
      <c r="L322" s="66" t="s">
        <v>62</v>
      </c>
      <c r="M322" s="67" t="s">
        <v>553</v>
      </c>
      <c r="N322" s="66" t="s">
        <v>81</v>
      </c>
      <c r="O322" s="66" t="s">
        <v>7</v>
      </c>
      <c r="P322" s="66" t="s">
        <v>62</v>
      </c>
      <c r="Q322" s="66" t="s">
        <v>5002</v>
      </c>
      <c r="R322" s="67" cm="1">
        <f t="array" aca="1" ref="R322" ca="1">_xlfn.CHOOSECOLS(_xlfn.CHOOSEROWS(_xlfn._xlws.FILTER(표2[],표2[DWG No.]=C322,""),1),6)</f>
        <v>42874</v>
      </c>
      <c r="S322" s="67" cm="1">
        <f t="array" aca="1" ref="S322" ca="1">_xlfn.CHOOSECOLS(_xlfn.CHOOSEROWS(_xlfn._xlws.FILTER(표2[],(표2[DWG No.]=C322)*(ISNUMBER(표2[Rev.])),""),1),6)</f>
        <v>42943</v>
      </c>
    </row>
    <row r="323" spans="1:19" ht="18" customHeight="1" x14ac:dyDescent="0.45">
      <c r="A323" s="64">
        <v>318</v>
      </c>
      <c r="B323" s="49" t="s">
        <v>57</v>
      </c>
      <c r="C323" s="65" t="s">
        <v>1310</v>
      </c>
      <c r="D323" s="66" t="s">
        <v>1311</v>
      </c>
      <c r="E323" s="65" t="s">
        <v>1312</v>
      </c>
      <c r="F323" s="66" t="s">
        <v>6</v>
      </c>
      <c r="G323" s="67">
        <v>42825</v>
      </c>
      <c r="H323" s="67">
        <v>42916</v>
      </c>
      <c r="I323" s="67">
        <v>42984</v>
      </c>
      <c r="J323" s="66" t="s">
        <v>1313</v>
      </c>
      <c r="K323" s="66" t="s">
        <v>7</v>
      </c>
      <c r="L323" s="66" t="s">
        <v>62</v>
      </c>
      <c r="M323" s="67" t="s">
        <v>246</v>
      </c>
      <c r="N323" s="66" t="s">
        <v>1314</v>
      </c>
      <c r="O323" s="66" t="s">
        <v>7</v>
      </c>
      <c r="P323" s="66" t="s">
        <v>62</v>
      </c>
      <c r="Q323" s="66" t="s">
        <v>5002</v>
      </c>
      <c r="R323" s="67" cm="1">
        <f t="array" aca="1" ref="R323" ca="1">_xlfn.CHOOSECOLS(_xlfn.CHOOSEROWS(_xlfn._xlws.FILTER(표2[],표2[DWG No.]=C323,""),1),6)</f>
        <v>42874</v>
      </c>
      <c r="S323" s="67" cm="1">
        <f t="array" aca="1" ref="S323" ca="1">_xlfn.CHOOSECOLS(_xlfn.CHOOSEROWS(_xlfn._xlws.FILTER(표2[],(표2[DWG No.]=C323)*(ISNUMBER(표2[Rev.])),""),1),6)</f>
        <v>42984</v>
      </c>
    </row>
    <row r="324" spans="1:19" ht="18" customHeight="1" x14ac:dyDescent="0.45">
      <c r="A324" s="64">
        <v>319</v>
      </c>
      <c r="B324" s="49" t="s">
        <v>57</v>
      </c>
      <c r="C324" s="65" t="s">
        <v>1315</v>
      </c>
      <c r="D324" s="66" t="s">
        <v>1316</v>
      </c>
      <c r="E324" s="65" t="s">
        <v>1317</v>
      </c>
      <c r="F324" s="66" t="s">
        <v>6</v>
      </c>
      <c r="G324" s="67">
        <v>42832</v>
      </c>
      <c r="H324" s="67">
        <v>42923</v>
      </c>
      <c r="I324" s="67">
        <v>43066</v>
      </c>
      <c r="J324" s="66" t="s">
        <v>1305</v>
      </c>
      <c r="K324" s="66" t="s">
        <v>7</v>
      </c>
      <c r="L324" s="66" t="s">
        <v>62</v>
      </c>
      <c r="M324" s="67" t="s">
        <v>155</v>
      </c>
      <c r="N324" s="66" t="s">
        <v>1318</v>
      </c>
      <c r="O324" s="66" t="s">
        <v>7</v>
      </c>
      <c r="P324" s="66" t="s">
        <v>62</v>
      </c>
      <c r="Q324" s="66" t="s">
        <v>5002</v>
      </c>
      <c r="R324" s="67" cm="1">
        <f t="array" aca="1" ref="R324" ca="1">_xlfn.CHOOSECOLS(_xlfn.CHOOSEROWS(_xlfn._xlws.FILTER(표2[],표2[DWG No.]=C324,""),1),6)</f>
        <v>42874</v>
      </c>
      <c r="S324" s="67" cm="1">
        <f t="array" aca="1" ref="S324" ca="1">_xlfn.CHOOSECOLS(_xlfn.CHOOSEROWS(_xlfn._xlws.FILTER(표2[],(표2[DWG No.]=C324)*(ISNUMBER(표2[Rev.])),""),1),6)</f>
        <v>43066</v>
      </c>
    </row>
    <row r="325" spans="1:19" ht="18" customHeight="1" x14ac:dyDescent="0.45">
      <c r="A325" s="64">
        <v>320</v>
      </c>
      <c r="B325" s="49" t="s">
        <v>57</v>
      </c>
      <c r="C325" s="65" t="s">
        <v>1319</v>
      </c>
      <c r="D325" s="66" t="s">
        <v>1320</v>
      </c>
      <c r="E325" s="65" t="s">
        <v>1321</v>
      </c>
      <c r="F325" s="66" t="s">
        <v>6</v>
      </c>
      <c r="G325" s="67">
        <v>42825</v>
      </c>
      <c r="H325" s="67">
        <v>42916</v>
      </c>
      <c r="I325" s="67">
        <v>42992</v>
      </c>
      <c r="J325" s="66" t="s">
        <v>1322</v>
      </c>
      <c r="K325" s="66" t="s">
        <v>7</v>
      </c>
      <c r="L325" s="66" t="s">
        <v>62</v>
      </c>
      <c r="M325" s="67" t="s">
        <v>408</v>
      </c>
      <c r="N325" s="66" t="s">
        <v>1323</v>
      </c>
      <c r="O325" s="66" t="s">
        <v>7</v>
      </c>
      <c r="P325" s="66" t="s">
        <v>62</v>
      </c>
      <c r="Q325" s="66" t="s">
        <v>5002</v>
      </c>
      <c r="R325" s="67" cm="1">
        <f t="array" aca="1" ref="R325" ca="1">_xlfn.CHOOSECOLS(_xlfn.CHOOSEROWS(_xlfn._xlws.FILTER(표2[],표2[DWG No.]=C325,""),1),6)</f>
        <v>42843</v>
      </c>
      <c r="S325" s="67" cm="1">
        <f t="array" aca="1" ref="S325" ca="1">_xlfn.CHOOSECOLS(_xlfn.CHOOSEROWS(_xlfn._xlws.FILTER(표2[],(표2[DWG No.]=C325)*(ISNUMBER(표2[Rev.])),""),1),6)</f>
        <v>42992</v>
      </c>
    </row>
    <row r="326" spans="1:19" ht="18" customHeight="1" x14ac:dyDescent="0.45">
      <c r="A326" s="64">
        <v>321</v>
      </c>
      <c r="B326" s="49" t="s">
        <v>57</v>
      </c>
      <c r="C326" s="65" t="s">
        <v>1324</v>
      </c>
      <c r="D326" s="66" t="s">
        <v>1325</v>
      </c>
      <c r="E326" s="65" t="s">
        <v>1326</v>
      </c>
      <c r="F326" s="66" t="s">
        <v>6</v>
      </c>
      <c r="G326" s="67">
        <v>42825</v>
      </c>
      <c r="H326" s="67">
        <v>42916</v>
      </c>
      <c r="I326" s="67">
        <v>42940</v>
      </c>
      <c r="J326" s="66" t="s">
        <v>1327</v>
      </c>
      <c r="K326" s="66" t="s">
        <v>7</v>
      </c>
      <c r="L326" s="66" t="s">
        <v>62</v>
      </c>
      <c r="M326" s="67" t="s">
        <v>541</v>
      </c>
      <c r="N326" s="66" t="s">
        <v>81</v>
      </c>
      <c r="O326" s="66" t="s">
        <v>7</v>
      </c>
      <c r="P326" s="66" t="s">
        <v>62</v>
      </c>
      <c r="Q326" s="66" t="s">
        <v>5002</v>
      </c>
      <c r="R326" s="67" cm="1">
        <f t="array" aca="1" ref="R326" ca="1">_xlfn.CHOOSECOLS(_xlfn.CHOOSEROWS(_xlfn._xlws.FILTER(표2[],표2[DWG No.]=C326,""),1),6)</f>
        <v>42874</v>
      </c>
      <c r="S326" s="67" cm="1">
        <f t="array" aca="1" ref="S326" ca="1">_xlfn.CHOOSECOLS(_xlfn.CHOOSEROWS(_xlfn._xlws.FILTER(표2[],(표2[DWG No.]=C326)*(ISNUMBER(표2[Rev.])),""),1),6)</f>
        <v>42940</v>
      </c>
    </row>
    <row r="327" spans="1:19" ht="18" customHeight="1" x14ac:dyDescent="0.45">
      <c r="A327" s="64">
        <v>322</v>
      </c>
      <c r="B327" s="49" t="s">
        <v>57</v>
      </c>
      <c r="C327" s="65" t="s">
        <v>1328</v>
      </c>
      <c r="D327" s="66" t="s">
        <v>1329</v>
      </c>
      <c r="E327" s="65" t="s">
        <v>1330</v>
      </c>
      <c r="F327" s="66" t="s">
        <v>6</v>
      </c>
      <c r="G327" s="67">
        <v>42825</v>
      </c>
      <c r="H327" s="67">
        <v>42916</v>
      </c>
      <c r="I327" s="67">
        <v>43038</v>
      </c>
      <c r="J327" s="66" t="s">
        <v>1331</v>
      </c>
      <c r="K327" s="66" t="s">
        <v>7</v>
      </c>
      <c r="L327" s="66" t="s">
        <v>62</v>
      </c>
      <c r="M327" s="67" t="s">
        <v>90</v>
      </c>
      <c r="N327" s="66" t="s">
        <v>1332</v>
      </c>
      <c r="O327" s="66" t="s">
        <v>7</v>
      </c>
      <c r="P327" s="66" t="s">
        <v>62</v>
      </c>
      <c r="Q327" s="66" t="s">
        <v>5002</v>
      </c>
      <c r="R327" s="67" cm="1">
        <f t="array" aca="1" ref="R327" ca="1">_xlfn.CHOOSECOLS(_xlfn.CHOOSEROWS(_xlfn._xlws.FILTER(표2[],표2[DWG No.]=C327,""),1),6)</f>
        <v>42874</v>
      </c>
      <c r="S327" s="67" cm="1">
        <f t="array" aca="1" ref="S327" ca="1">_xlfn.CHOOSECOLS(_xlfn.CHOOSEROWS(_xlfn._xlws.FILTER(표2[],(표2[DWG No.]=C327)*(ISNUMBER(표2[Rev.])),""),1),6)</f>
        <v>43038</v>
      </c>
    </row>
    <row r="328" spans="1:19" ht="18" customHeight="1" x14ac:dyDescent="0.45">
      <c r="A328" s="64">
        <v>323</v>
      </c>
      <c r="B328" s="49" t="s">
        <v>57</v>
      </c>
      <c r="C328" s="65" t="s">
        <v>1333</v>
      </c>
      <c r="D328" s="66" t="s">
        <v>1334</v>
      </c>
      <c r="E328" s="65" t="s">
        <v>1335</v>
      </c>
      <c r="F328" s="66" t="s">
        <v>6</v>
      </c>
      <c r="G328" s="67">
        <v>42846</v>
      </c>
      <c r="H328" s="67">
        <v>42916</v>
      </c>
      <c r="I328" s="67">
        <v>43034</v>
      </c>
      <c r="J328" s="66" t="s">
        <v>1336</v>
      </c>
      <c r="K328" s="66" t="s">
        <v>7</v>
      </c>
      <c r="L328" s="66" t="s">
        <v>62</v>
      </c>
      <c r="M328" s="67" t="s">
        <v>90</v>
      </c>
      <c r="N328" s="66" t="s">
        <v>1337</v>
      </c>
      <c r="O328" s="66" t="s">
        <v>7</v>
      </c>
      <c r="P328" s="66" t="s">
        <v>62</v>
      </c>
      <c r="Q328" s="66" t="s">
        <v>5002</v>
      </c>
      <c r="R328" s="67" cm="1">
        <f t="array" aca="1" ref="R328" ca="1">_xlfn.CHOOSECOLS(_xlfn.CHOOSEROWS(_xlfn._xlws.FILTER(표2[],표2[DWG No.]=C328,""),1),6)</f>
        <v>42874</v>
      </c>
      <c r="S328" s="67" cm="1">
        <f t="array" aca="1" ref="S328" ca="1">_xlfn.CHOOSECOLS(_xlfn.CHOOSEROWS(_xlfn._xlws.FILTER(표2[],(표2[DWG No.]=C328)*(ISNUMBER(표2[Rev.])),""),1),6)</f>
        <v>43034</v>
      </c>
    </row>
    <row r="329" spans="1:19" ht="18" customHeight="1" x14ac:dyDescent="0.45">
      <c r="A329" s="64">
        <v>324</v>
      </c>
      <c r="B329" s="49" t="s">
        <v>57</v>
      </c>
      <c r="C329" s="65" t="s">
        <v>1338</v>
      </c>
      <c r="D329" s="66" t="s">
        <v>1339</v>
      </c>
      <c r="E329" s="65" t="s">
        <v>1340</v>
      </c>
      <c r="F329" s="66" t="s">
        <v>6</v>
      </c>
      <c r="G329" s="67">
        <v>42846</v>
      </c>
      <c r="H329" s="67">
        <v>42916</v>
      </c>
      <c r="I329" s="67">
        <v>43034</v>
      </c>
      <c r="J329" s="66" t="s">
        <v>1341</v>
      </c>
      <c r="K329" s="66" t="s">
        <v>7</v>
      </c>
      <c r="L329" s="66" t="s">
        <v>62</v>
      </c>
      <c r="M329" s="67" t="s">
        <v>90</v>
      </c>
      <c r="N329" s="66" t="s">
        <v>1342</v>
      </c>
      <c r="O329" s="66" t="s">
        <v>7</v>
      </c>
      <c r="P329" s="66" t="s">
        <v>62</v>
      </c>
      <c r="Q329" s="66" t="s">
        <v>5002</v>
      </c>
      <c r="R329" s="67" cm="1">
        <f t="array" aca="1" ref="R329" ca="1">_xlfn.CHOOSECOLS(_xlfn.CHOOSEROWS(_xlfn._xlws.FILTER(표2[],표2[DWG No.]=C329,""),1),6)</f>
        <v>42874</v>
      </c>
      <c r="S329" s="67" cm="1">
        <f t="array" aca="1" ref="S329" ca="1">_xlfn.CHOOSECOLS(_xlfn.CHOOSEROWS(_xlfn._xlws.FILTER(표2[],(표2[DWG No.]=C329)*(ISNUMBER(표2[Rev.])),""),1),6)</f>
        <v>43034</v>
      </c>
    </row>
    <row r="330" spans="1:19" ht="18" customHeight="1" x14ac:dyDescent="0.45">
      <c r="A330" s="64">
        <v>325</v>
      </c>
      <c r="B330" s="49" t="s">
        <v>57</v>
      </c>
      <c r="C330" s="65" t="s">
        <v>1343</v>
      </c>
      <c r="D330" s="66" t="s">
        <v>1344</v>
      </c>
      <c r="E330" s="65" t="s">
        <v>1345</v>
      </c>
      <c r="F330" s="66" t="s">
        <v>6</v>
      </c>
      <c r="G330" s="67">
        <v>42825</v>
      </c>
      <c r="H330" s="67">
        <v>42916</v>
      </c>
      <c r="I330" s="67">
        <v>43852</v>
      </c>
      <c r="J330" s="66" t="s">
        <v>2807</v>
      </c>
      <c r="K330" s="66" t="s">
        <v>7</v>
      </c>
      <c r="L330" s="66" t="s">
        <v>89</v>
      </c>
      <c r="M330" s="67" t="s">
        <v>2872</v>
      </c>
      <c r="N330" s="66" t="s">
        <v>2886</v>
      </c>
      <c r="O330" s="66" t="s">
        <v>7</v>
      </c>
      <c r="P330" s="66" t="s">
        <v>89</v>
      </c>
      <c r="Q330" s="66" t="s">
        <v>65</v>
      </c>
      <c r="R330" s="67" cm="1">
        <f t="array" aca="1" ref="R330" ca="1">_xlfn.CHOOSECOLS(_xlfn.CHOOSEROWS(_xlfn._xlws.FILTER(표2[],표2[DWG No.]=C330,""),1),6)</f>
        <v>42835</v>
      </c>
      <c r="S330" s="67" cm="1">
        <f t="array" aca="1" ref="S330" ca="1">_xlfn.CHOOSECOLS(_xlfn.CHOOSEROWS(_xlfn._xlws.FILTER(표2[],(표2[DWG No.]=C330)*(ISNUMBER(표2[Rev.])),""),1),6)</f>
        <v>43040</v>
      </c>
    </row>
    <row r="331" spans="1:19" ht="18" customHeight="1" x14ac:dyDescent="0.45">
      <c r="A331" s="64">
        <v>326</v>
      </c>
      <c r="B331" s="49" t="s">
        <v>57</v>
      </c>
      <c r="C331" s="65" t="s">
        <v>1346</v>
      </c>
      <c r="D331" s="66" t="s">
        <v>1347</v>
      </c>
      <c r="E331" s="65" t="s">
        <v>1348</v>
      </c>
      <c r="F331" s="66" t="s">
        <v>6</v>
      </c>
      <c r="G331" s="67">
        <v>42846</v>
      </c>
      <c r="H331" s="67">
        <v>42923</v>
      </c>
      <c r="I331" s="67">
        <v>43507</v>
      </c>
      <c r="J331" s="66" t="s">
        <v>2640</v>
      </c>
      <c r="K331" s="66" t="s">
        <v>7</v>
      </c>
      <c r="L331" s="66" t="s">
        <v>230</v>
      </c>
      <c r="M331" s="67" t="s">
        <v>2641</v>
      </c>
      <c r="N331" s="66" t="s">
        <v>2642</v>
      </c>
      <c r="O331" s="66" t="s">
        <v>7</v>
      </c>
      <c r="P331" s="66" t="s">
        <v>230</v>
      </c>
      <c r="Q331" s="66" t="s">
        <v>65</v>
      </c>
      <c r="R331" s="67" cm="1">
        <f t="array" aca="1" ref="R331" ca="1">_xlfn.CHOOSECOLS(_xlfn.CHOOSEROWS(_xlfn._xlws.FILTER(표2[],표2[DWG No.]=C331,""),1),6)</f>
        <v>42874</v>
      </c>
      <c r="S331" s="67" cm="1">
        <f t="array" aca="1" ref="S331" ca="1">_xlfn.CHOOSECOLS(_xlfn.CHOOSEROWS(_xlfn._xlws.FILTER(표2[],(표2[DWG No.]=C331)*(ISNUMBER(표2[Rev.])),""),1),6)</f>
        <v>42943</v>
      </c>
    </row>
    <row r="332" spans="1:19" ht="18" customHeight="1" x14ac:dyDescent="0.45">
      <c r="A332" s="64">
        <v>327</v>
      </c>
      <c r="B332" s="49" t="s">
        <v>57</v>
      </c>
      <c r="C332" s="65" t="s">
        <v>1349</v>
      </c>
      <c r="D332" s="66" t="s">
        <v>1350</v>
      </c>
      <c r="E332" s="65" t="s">
        <v>1351</v>
      </c>
      <c r="F332" s="66" t="s">
        <v>6</v>
      </c>
      <c r="G332" s="67">
        <v>42993</v>
      </c>
      <c r="H332" s="67">
        <v>43042</v>
      </c>
      <c r="I332" s="67">
        <v>43328</v>
      </c>
      <c r="J332" s="66" t="s">
        <v>2532</v>
      </c>
      <c r="K332" s="66" t="s">
        <v>7</v>
      </c>
      <c r="L332" s="66" t="s">
        <v>89</v>
      </c>
      <c r="M332" s="67" t="s">
        <v>2531</v>
      </c>
      <c r="N332" s="66" t="s">
        <v>2533</v>
      </c>
      <c r="O332" s="66" t="s">
        <v>7</v>
      </c>
      <c r="P332" s="66" t="s">
        <v>89</v>
      </c>
      <c r="Q332" s="66" t="s">
        <v>65</v>
      </c>
      <c r="R332" s="67" cm="1">
        <f t="array" aca="1" ref="R332" ca="1">_xlfn.CHOOSECOLS(_xlfn.CHOOSEROWS(_xlfn._xlws.FILTER(표2[],표2[DWG No.]=C332,""),1),6)</f>
        <v>43021</v>
      </c>
      <c r="S332" s="67" cm="1">
        <f t="array" aca="1" ref="S332" ca="1">_xlfn.CHOOSECOLS(_xlfn.CHOOSEROWS(_xlfn._xlws.FILTER(표2[],(표2[DWG No.]=C332)*(ISNUMBER(표2[Rev.])),""),1),6)</f>
        <v>43066</v>
      </c>
    </row>
    <row r="333" spans="1:19" ht="18" customHeight="1" x14ac:dyDescent="0.45">
      <c r="A333" s="64">
        <v>328</v>
      </c>
      <c r="B333" s="49" t="s">
        <v>57</v>
      </c>
      <c r="C333" s="65" t="s">
        <v>1352</v>
      </c>
      <c r="D333" s="66" t="s">
        <v>1353</v>
      </c>
      <c r="E333" s="65" t="s">
        <v>1354</v>
      </c>
      <c r="F333" s="66" t="s">
        <v>6</v>
      </c>
      <c r="G333" s="67">
        <v>42832</v>
      </c>
      <c r="H333" s="67">
        <v>42923</v>
      </c>
      <c r="I333" s="67">
        <v>43852</v>
      </c>
      <c r="J333" s="66" t="s">
        <v>2807</v>
      </c>
      <c r="K333" s="66" t="s">
        <v>7</v>
      </c>
      <c r="L333" s="66" t="s">
        <v>89</v>
      </c>
      <c r="M333" s="67" t="s">
        <v>2872</v>
      </c>
      <c r="N333" s="66" t="s">
        <v>2887</v>
      </c>
      <c r="O333" s="66" t="s">
        <v>7</v>
      </c>
      <c r="P333" s="66" t="s">
        <v>89</v>
      </c>
      <c r="Q333" s="66" t="s">
        <v>65</v>
      </c>
      <c r="R333" s="67" cm="1">
        <f t="array" aca="1" ref="R333" ca="1">_xlfn.CHOOSECOLS(_xlfn.CHOOSEROWS(_xlfn._xlws.FILTER(표2[],표2[DWG No.]=C333,""),1),6)</f>
        <v>42843</v>
      </c>
      <c r="S333" s="67" cm="1">
        <f t="array" aca="1" ref="S333" ca="1">_xlfn.CHOOSECOLS(_xlfn.CHOOSEROWS(_xlfn._xlws.FILTER(표2[],(표2[DWG No.]=C333)*(ISNUMBER(표2[Rev.])),""),1),6)</f>
        <v>43066</v>
      </c>
    </row>
    <row r="334" spans="1:19" ht="18" customHeight="1" x14ac:dyDescent="0.45">
      <c r="A334" s="64">
        <v>329</v>
      </c>
      <c r="B334" s="49" t="s">
        <v>57</v>
      </c>
      <c r="C334" s="65" t="s">
        <v>1355</v>
      </c>
      <c r="D334" s="66" t="s">
        <v>1356</v>
      </c>
      <c r="E334" s="65" t="s">
        <v>1357</v>
      </c>
      <c r="F334" s="66" t="s">
        <v>6</v>
      </c>
      <c r="G334" s="67">
        <v>42832</v>
      </c>
      <c r="H334" s="67">
        <v>42923</v>
      </c>
      <c r="I334" s="67">
        <v>43066</v>
      </c>
      <c r="J334" s="66" t="s">
        <v>1305</v>
      </c>
      <c r="K334" s="66" t="s">
        <v>7</v>
      </c>
      <c r="L334" s="66" t="s">
        <v>62</v>
      </c>
      <c r="M334" s="67" t="s">
        <v>155</v>
      </c>
      <c r="N334" s="66" t="s">
        <v>1358</v>
      </c>
      <c r="O334" s="66" t="s">
        <v>7</v>
      </c>
      <c r="P334" s="66" t="s">
        <v>62</v>
      </c>
      <c r="Q334" s="66" t="s">
        <v>5002</v>
      </c>
      <c r="R334" s="67" cm="1">
        <f t="array" aca="1" ref="R334" ca="1">_xlfn.CHOOSECOLS(_xlfn.CHOOSEROWS(_xlfn._xlws.FILTER(표2[],표2[DWG No.]=C334,""),1),6)</f>
        <v>42843</v>
      </c>
      <c r="S334" s="67" cm="1">
        <f t="array" aca="1" ref="S334" ca="1">_xlfn.CHOOSECOLS(_xlfn.CHOOSEROWS(_xlfn._xlws.FILTER(표2[],(표2[DWG No.]=C334)*(ISNUMBER(표2[Rev.])),""),1),6)</f>
        <v>43066</v>
      </c>
    </row>
    <row r="335" spans="1:19" ht="18" customHeight="1" x14ac:dyDescent="0.45">
      <c r="A335" s="64">
        <v>330</v>
      </c>
      <c r="B335" s="49" t="s">
        <v>57</v>
      </c>
      <c r="C335" s="65" t="s">
        <v>1359</v>
      </c>
      <c r="D335" s="66" t="s">
        <v>1360</v>
      </c>
      <c r="E335" s="65" t="s">
        <v>1361</v>
      </c>
      <c r="F335" s="66" t="s">
        <v>6</v>
      </c>
      <c r="G335" s="67">
        <v>42832</v>
      </c>
      <c r="H335" s="67">
        <v>42923</v>
      </c>
      <c r="I335" s="67">
        <v>43852</v>
      </c>
      <c r="J335" s="66" t="s">
        <v>2807</v>
      </c>
      <c r="K335" s="66" t="s">
        <v>7</v>
      </c>
      <c r="L335" s="66" t="s">
        <v>89</v>
      </c>
      <c r="M335" s="67" t="s">
        <v>2872</v>
      </c>
      <c r="N335" s="66" t="s">
        <v>2888</v>
      </c>
      <c r="O335" s="66" t="s">
        <v>7</v>
      </c>
      <c r="P335" s="66" t="s">
        <v>89</v>
      </c>
      <c r="Q335" s="66" t="s">
        <v>65</v>
      </c>
      <c r="R335" s="67" cm="1">
        <f t="array" aca="1" ref="R335" ca="1">_xlfn.CHOOSECOLS(_xlfn.CHOOSEROWS(_xlfn._xlws.FILTER(표2[],표2[DWG No.]=C335,""),1),6)</f>
        <v>42843</v>
      </c>
      <c r="S335" s="67" cm="1">
        <f t="array" aca="1" ref="S335" ca="1">_xlfn.CHOOSECOLS(_xlfn.CHOOSEROWS(_xlfn._xlws.FILTER(표2[],(표2[DWG No.]=C335)*(ISNUMBER(표2[Rev.])),""),1),6)</f>
        <v>43038</v>
      </c>
    </row>
    <row r="336" spans="1:19" ht="18" customHeight="1" x14ac:dyDescent="0.45">
      <c r="A336" s="64">
        <v>331</v>
      </c>
      <c r="B336" s="49" t="s">
        <v>57</v>
      </c>
      <c r="C336" s="65" t="s">
        <v>1362</v>
      </c>
      <c r="D336" s="66" t="s">
        <v>1363</v>
      </c>
      <c r="E336" s="65" t="s">
        <v>1364</v>
      </c>
      <c r="F336" s="66" t="s">
        <v>6</v>
      </c>
      <c r="G336" s="67">
        <v>42832</v>
      </c>
      <c r="H336" s="67">
        <v>42923</v>
      </c>
      <c r="I336" s="67">
        <v>43500</v>
      </c>
      <c r="J336" s="66" t="s">
        <v>2643</v>
      </c>
      <c r="K336" s="66" t="s">
        <v>7</v>
      </c>
      <c r="L336" s="66" t="s">
        <v>230</v>
      </c>
      <c r="M336" s="67" t="s">
        <v>2644</v>
      </c>
      <c r="N336" s="66" t="s">
        <v>2645</v>
      </c>
      <c r="O336" s="66" t="s">
        <v>7</v>
      </c>
      <c r="P336" s="66" t="s">
        <v>230</v>
      </c>
      <c r="Q336" s="66" t="s">
        <v>65</v>
      </c>
      <c r="R336" s="67" cm="1">
        <f t="array" aca="1" ref="R336" ca="1">_xlfn.CHOOSECOLS(_xlfn.CHOOSEROWS(_xlfn._xlws.FILTER(표2[],표2[DWG No.]=C336,""),1),6)</f>
        <v>42843</v>
      </c>
      <c r="S336" s="67" cm="1">
        <f t="array" aca="1" ref="S336" ca="1">_xlfn.CHOOSECOLS(_xlfn.CHOOSEROWS(_xlfn._xlws.FILTER(표2[],(표2[DWG No.]=C336)*(ISNUMBER(표2[Rev.])),""),1),6)</f>
        <v>43066</v>
      </c>
    </row>
    <row r="337" spans="1:19" ht="18" customHeight="1" x14ac:dyDescent="0.45">
      <c r="A337" s="64">
        <v>332</v>
      </c>
      <c r="B337" s="49" t="s">
        <v>57</v>
      </c>
      <c r="C337" s="65" t="s">
        <v>1365</v>
      </c>
      <c r="D337" s="66" t="s">
        <v>1366</v>
      </c>
      <c r="E337" s="65" t="s">
        <v>1367</v>
      </c>
      <c r="F337" s="66" t="s">
        <v>6</v>
      </c>
      <c r="G337" s="67">
        <v>42832</v>
      </c>
      <c r="H337" s="67">
        <v>42923</v>
      </c>
      <c r="I337" s="67">
        <v>43038</v>
      </c>
      <c r="J337" s="66" t="s">
        <v>1331</v>
      </c>
      <c r="K337" s="66" t="s">
        <v>7</v>
      </c>
      <c r="L337" s="66" t="s">
        <v>62</v>
      </c>
      <c r="M337" s="67" t="s">
        <v>90</v>
      </c>
      <c r="N337" s="66" t="s">
        <v>1368</v>
      </c>
      <c r="O337" s="66" t="s">
        <v>7</v>
      </c>
      <c r="P337" s="66" t="s">
        <v>62</v>
      </c>
      <c r="Q337" s="66" t="s">
        <v>5002</v>
      </c>
      <c r="R337" s="67" cm="1">
        <f t="array" aca="1" ref="R337" ca="1">_xlfn.CHOOSECOLS(_xlfn.CHOOSEROWS(_xlfn._xlws.FILTER(표2[],표2[DWG No.]=C337,""),1),6)</f>
        <v>42874</v>
      </c>
      <c r="S337" s="67" cm="1">
        <f t="array" aca="1" ref="S337" ca="1">_xlfn.CHOOSECOLS(_xlfn.CHOOSEROWS(_xlfn._xlws.FILTER(표2[],(표2[DWG No.]=C337)*(ISNUMBER(표2[Rev.])),""),1),6)</f>
        <v>43038</v>
      </c>
    </row>
    <row r="338" spans="1:19" ht="18" customHeight="1" x14ac:dyDescent="0.45">
      <c r="A338" s="64">
        <v>333</v>
      </c>
      <c r="B338" s="49" t="s">
        <v>57</v>
      </c>
      <c r="C338" s="65" t="s">
        <v>1369</v>
      </c>
      <c r="D338" s="66" t="s">
        <v>1370</v>
      </c>
      <c r="E338" s="65" t="s">
        <v>1371</v>
      </c>
      <c r="F338" s="66" t="s">
        <v>6</v>
      </c>
      <c r="G338" s="67">
        <v>42832</v>
      </c>
      <c r="H338" s="67">
        <v>42923</v>
      </c>
      <c r="I338" s="67">
        <v>43066</v>
      </c>
      <c r="J338" s="66" t="s">
        <v>1305</v>
      </c>
      <c r="K338" s="66" t="s">
        <v>7</v>
      </c>
      <c r="L338" s="66" t="s">
        <v>62</v>
      </c>
      <c r="M338" s="67" t="s">
        <v>155</v>
      </c>
      <c r="N338" s="66" t="s">
        <v>1372</v>
      </c>
      <c r="O338" s="66" t="s">
        <v>7</v>
      </c>
      <c r="P338" s="66" t="s">
        <v>62</v>
      </c>
      <c r="Q338" s="66" t="s">
        <v>5002</v>
      </c>
      <c r="R338" s="67" cm="1">
        <f t="array" aca="1" ref="R338" ca="1">_xlfn.CHOOSECOLS(_xlfn.CHOOSEROWS(_xlfn._xlws.FILTER(표2[],표2[DWG No.]=C338,""),1),6)</f>
        <v>42843</v>
      </c>
      <c r="S338" s="67" cm="1">
        <f t="array" aca="1" ref="S338" ca="1">_xlfn.CHOOSECOLS(_xlfn.CHOOSEROWS(_xlfn._xlws.FILTER(표2[],(표2[DWG No.]=C338)*(ISNUMBER(표2[Rev.])),""),1),6)</f>
        <v>43066</v>
      </c>
    </row>
    <row r="339" spans="1:19" ht="18" customHeight="1" x14ac:dyDescent="0.45">
      <c r="A339" s="64">
        <v>334</v>
      </c>
      <c r="B339" s="49" t="s">
        <v>57</v>
      </c>
      <c r="C339" s="65" t="s">
        <v>1373</v>
      </c>
      <c r="D339" s="66" t="s">
        <v>1374</v>
      </c>
      <c r="E339" s="65" t="s">
        <v>1375</v>
      </c>
      <c r="F339" s="66" t="s">
        <v>6</v>
      </c>
      <c r="G339" s="67">
        <v>42839</v>
      </c>
      <c r="H339" s="67">
        <v>42947</v>
      </c>
      <c r="I339" s="67">
        <v>42933</v>
      </c>
      <c r="J339" s="66" t="s">
        <v>1376</v>
      </c>
      <c r="K339" s="66" t="s">
        <v>7</v>
      </c>
      <c r="L339" s="66" t="s">
        <v>62</v>
      </c>
      <c r="M339" s="67" t="s">
        <v>262</v>
      </c>
      <c r="N339" s="66" t="s">
        <v>81</v>
      </c>
      <c r="O339" s="66" t="s">
        <v>7</v>
      </c>
      <c r="P339" s="66" t="s">
        <v>62</v>
      </c>
      <c r="Q339" s="66" t="s">
        <v>5002</v>
      </c>
      <c r="R339" s="67" cm="1">
        <f t="array" aca="1" ref="R339" ca="1">_xlfn.CHOOSECOLS(_xlfn.CHOOSEROWS(_xlfn._xlws.FILTER(표2[],표2[DWG No.]=C339,""),1),6)</f>
        <v>42843</v>
      </c>
      <c r="S339" s="67" cm="1">
        <f t="array" aca="1" ref="S339" ca="1">_xlfn.CHOOSECOLS(_xlfn.CHOOSEROWS(_xlfn._xlws.FILTER(표2[],(표2[DWG No.]=C339)*(ISNUMBER(표2[Rev.])),""),1),6)</f>
        <v>42933</v>
      </c>
    </row>
    <row r="340" spans="1:19" ht="18" customHeight="1" x14ac:dyDescent="0.45">
      <c r="A340" s="64">
        <v>335</v>
      </c>
      <c r="B340" s="49" t="s">
        <v>57</v>
      </c>
      <c r="C340" s="65" t="s">
        <v>1377</v>
      </c>
      <c r="D340" s="66" t="s">
        <v>1378</v>
      </c>
      <c r="E340" s="65" t="s">
        <v>1379</v>
      </c>
      <c r="F340" s="66" t="s">
        <v>6</v>
      </c>
      <c r="G340" s="67">
        <v>42839</v>
      </c>
      <c r="H340" s="67">
        <v>42947</v>
      </c>
      <c r="I340" s="67">
        <v>43314</v>
      </c>
      <c r="J340" s="66" t="s">
        <v>2534</v>
      </c>
      <c r="K340" s="66" t="s">
        <v>7</v>
      </c>
      <c r="L340" s="66" t="s">
        <v>89</v>
      </c>
      <c r="M340" s="67" t="s">
        <v>2497</v>
      </c>
      <c r="N340" s="66" t="s">
        <v>2535</v>
      </c>
      <c r="O340" s="66" t="s">
        <v>7</v>
      </c>
      <c r="P340" s="66" t="s">
        <v>89</v>
      </c>
      <c r="Q340" s="66" t="s">
        <v>65</v>
      </c>
      <c r="R340" s="67" cm="1">
        <f t="array" aca="1" ref="R340" ca="1">_xlfn.CHOOSECOLS(_xlfn.CHOOSEROWS(_xlfn._xlws.FILTER(표2[],표2[DWG No.]=C340,""),1),6)</f>
        <v>42843</v>
      </c>
      <c r="S340" s="67" cm="1">
        <f t="array" aca="1" ref="S340" ca="1">_xlfn.CHOOSECOLS(_xlfn.CHOOSEROWS(_xlfn._xlws.FILTER(표2[],(표2[DWG No.]=C340)*(ISNUMBER(표2[Rev.])),""),1),6)</f>
        <v>42992</v>
      </c>
    </row>
    <row r="341" spans="1:19" ht="18" customHeight="1" x14ac:dyDescent="0.45">
      <c r="A341" s="64">
        <v>336</v>
      </c>
      <c r="B341" s="49" t="s">
        <v>57</v>
      </c>
      <c r="C341" s="65" t="s">
        <v>1380</v>
      </c>
      <c r="D341" s="66" t="s">
        <v>1381</v>
      </c>
      <c r="E341" s="65" t="s">
        <v>1382</v>
      </c>
      <c r="F341" s="66" t="s">
        <v>6</v>
      </c>
      <c r="G341" s="67">
        <v>42839</v>
      </c>
      <c r="H341" s="67">
        <v>42947</v>
      </c>
      <c r="I341" s="67">
        <v>43342</v>
      </c>
      <c r="J341" s="66" t="s">
        <v>2536</v>
      </c>
      <c r="K341" s="66" t="s">
        <v>7</v>
      </c>
      <c r="L341" s="66" t="s">
        <v>89</v>
      </c>
      <c r="M341" s="67" t="s">
        <v>2531</v>
      </c>
      <c r="N341" s="66" t="s">
        <v>2537</v>
      </c>
      <c r="O341" s="66" t="s">
        <v>7</v>
      </c>
      <c r="P341" s="66" t="s">
        <v>89</v>
      </c>
      <c r="Q341" s="66" t="s">
        <v>65</v>
      </c>
      <c r="R341" s="67" cm="1">
        <f t="array" aca="1" ref="R341" ca="1">_xlfn.CHOOSECOLS(_xlfn.CHOOSEROWS(_xlfn._xlws.FILTER(표2[],표2[DWG No.]=C341,""),1),6)</f>
        <v>42872</v>
      </c>
      <c r="S341" s="67" cm="1">
        <f t="array" aca="1" ref="S341" ca="1">_xlfn.CHOOSECOLS(_xlfn.CHOOSEROWS(_xlfn._xlws.FILTER(표2[],(표2[DWG No.]=C341)*(ISNUMBER(표2[Rev.])),""),1),6)</f>
        <v>43003</v>
      </c>
    </row>
    <row r="342" spans="1:19" ht="18" customHeight="1" x14ac:dyDescent="0.45">
      <c r="A342" s="64">
        <v>337</v>
      </c>
      <c r="B342" s="49" t="s">
        <v>57</v>
      </c>
      <c r="C342" s="65" t="s">
        <v>1383</v>
      </c>
      <c r="D342" s="66" t="s">
        <v>1384</v>
      </c>
      <c r="E342" s="65" t="s">
        <v>1385</v>
      </c>
      <c r="F342" s="66" t="s">
        <v>6</v>
      </c>
      <c r="G342" s="67">
        <v>42839</v>
      </c>
      <c r="H342" s="67">
        <v>42947</v>
      </c>
      <c r="I342" s="67">
        <v>43342</v>
      </c>
      <c r="J342" s="66" t="s">
        <v>2536</v>
      </c>
      <c r="K342" s="66" t="s">
        <v>7</v>
      </c>
      <c r="L342" s="66" t="s">
        <v>89</v>
      </c>
      <c r="M342" s="67" t="s">
        <v>2531</v>
      </c>
      <c r="N342" s="66" t="s">
        <v>2538</v>
      </c>
      <c r="O342" s="66" t="s">
        <v>7</v>
      </c>
      <c r="P342" s="66" t="s">
        <v>89</v>
      </c>
      <c r="Q342" s="66" t="s">
        <v>65</v>
      </c>
      <c r="R342" s="67" cm="1">
        <f t="array" aca="1" ref="R342" ca="1">_xlfn.CHOOSECOLS(_xlfn.CHOOSEROWS(_xlfn._xlws.FILTER(표2[],표2[DWG No.]=C342,""),1),6)</f>
        <v>42843</v>
      </c>
      <c r="S342" s="67" cm="1">
        <f t="array" aca="1" ref="S342" ca="1">_xlfn.CHOOSECOLS(_xlfn.CHOOSEROWS(_xlfn._xlws.FILTER(표2[],(표2[DWG No.]=C342)*(ISNUMBER(표2[Rev.])),""),1),6)</f>
        <v>42992</v>
      </c>
    </row>
    <row r="343" spans="1:19" ht="18" customHeight="1" x14ac:dyDescent="0.45">
      <c r="A343" s="64">
        <v>338</v>
      </c>
      <c r="B343" s="49" t="s">
        <v>57</v>
      </c>
      <c r="C343" s="65" t="s">
        <v>1386</v>
      </c>
      <c r="D343" s="66" t="s">
        <v>1387</v>
      </c>
      <c r="E343" s="65" t="s">
        <v>1388</v>
      </c>
      <c r="F343" s="66" t="s">
        <v>6</v>
      </c>
      <c r="G343" s="67">
        <v>42853</v>
      </c>
      <c r="H343" s="67">
        <v>42947</v>
      </c>
      <c r="I343" s="67">
        <v>43328</v>
      </c>
      <c r="J343" s="66" t="s">
        <v>2532</v>
      </c>
      <c r="K343" s="66" t="s">
        <v>7</v>
      </c>
      <c r="L343" s="66" t="s">
        <v>89</v>
      </c>
      <c r="M343" s="67" t="s">
        <v>2531</v>
      </c>
      <c r="N343" s="66" t="s">
        <v>2539</v>
      </c>
      <c r="O343" s="66" t="s">
        <v>7</v>
      </c>
      <c r="P343" s="66" t="s">
        <v>89</v>
      </c>
      <c r="Q343" s="66" t="s">
        <v>65</v>
      </c>
      <c r="R343" s="67" cm="1">
        <f t="array" aca="1" ref="R343" ca="1">_xlfn.CHOOSECOLS(_xlfn.CHOOSEROWS(_xlfn._xlws.FILTER(표2[],표2[DWG No.]=C343,""),1),6)</f>
        <v>42878</v>
      </c>
      <c r="S343" s="67" cm="1">
        <f t="array" aca="1" ref="S343" ca="1">_xlfn.CHOOSECOLS(_xlfn.CHOOSEROWS(_xlfn._xlws.FILTER(표2[],(표2[DWG No.]=C343)*(ISNUMBER(표2[Rev.])),""),1),6)</f>
        <v>43034</v>
      </c>
    </row>
    <row r="344" spans="1:19" ht="18" customHeight="1" x14ac:dyDescent="0.45">
      <c r="A344" s="64">
        <v>339</v>
      </c>
      <c r="B344" s="49" t="s">
        <v>57</v>
      </c>
      <c r="C344" s="65" t="s">
        <v>1389</v>
      </c>
      <c r="D344" s="66" t="s">
        <v>1390</v>
      </c>
      <c r="E344" s="65" t="s">
        <v>1391</v>
      </c>
      <c r="F344" s="66" t="s">
        <v>6</v>
      </c>
      <c r="G344" s="67">
        <v>42846</v>
      </c>
      <c r="H344" s="67">
        <v>42947</v>
      </c>
      <c r="I344" s="67">
        <v>43363</v>
      </c>
      <c r="J344" s="66" t="s">
        <v>2540</v>
      </c>
      <c r="K344" s="66" t="s">
        <v>7</v>
      </c>
      <c r="L344" s="66" t="s">
        <v>230</v>
      </c>
      <c r="M344" s="67" t="s">
        <v>2541</v>
      </c>
      <c r="N344" s="66" t="s">
        <v>2542</v>
      </c>
      <c r="O344" s="66" t="s">
        <v>7</v>
      </c>
      <c r="P344" s="66" t="s">
        <v>230</v>
      </c>
      <c r="Q344" s="66" t="s">
        <v>65</v>
      </c>
      <c r="R344" s="67" cm="1">
        <f t="array" aca="1" ref="R344" ca="1">_xlfn.CHOOSECOLS(_xlfn.CHOOSEROWS(_xlfn._xlws.FILTER(표2[],표2[DWG No.]=C344,""),1),6)</f>
        <v>42874</v>
      </c>
      <c r="S344" s="67" cm="1">
        <f t="array" aca="1" ref="S344" ca="1">_xlfn.CHOOSECOLS(_xlfn.CHOOSEROWS(_xlfn._xlws.FILTER(표2[],(표2[DWG No.]=C344)*(ISNUMBER(표2[Rev.])),""),1),6)</f>
        <v>42947</v>
      </c>
    </row>
    <row r="345" spans="1:19" ht="18" customHeight="1" x14ac:dyDescent="0.45">
      <c r="A345" s="64">
        <v>340</v>
      </c>
      <c r="B345" s="49" t="s">
        <v>57</v>
      </c>
      <c r="C345" s="65" t="s">
        <v>1392</v>
      </c>
      <c r="D345" s="66" t="s">
        <v>1393</v>
      </c>
      <c r="E345" s="65" t="s">
        <v>1394</v>
      </c>
      <c r="F345" s="66" t="s">
        <v>6</v>
      </c>
      <c r="G345" s="67">
        <v>42846</v>
      </c>
      <c r="H345" s="67">
        <v>42947</v>
      </c>
      <c r="I345" s="67">
        <v>43741</v>
      </c>
      <c r="J345" s="66" t="s">
        <v>2711</v>
      </c>
      <c r="K345" s="66" t="s">
        <v>7</v>
      </c>
      <c r="L345" s="66" t="s">
        <v>1987</v>
      </c>
      <c r="M345" s="67" t="s">
        <v>2712</v>
      </c>
      <c r="N345" s="66" t="s">
        <v>2714</v>
      </c>
      <c r="O345" s="66" t="s">
        <v>7</v>
      </c>
      <c r="P345" s="66" t="s">
        <v>1987</v>
      </c>
      <c r="Q345" s="66" t="s">
        <v>65</v>
      </c>
      <c r="R345" s="67" cm="1">
        <f t="array" aca="1" ref="R345" ca="1">_xlfn.CHOOSECOLS(_xlfn.CHOOSEROWS(_xlfn._xlws.FILTER(표2[],표2[DWG No.]=C345,""),1),6)</f>
        <v>42874</v>
      </c>
      <c r="S345" s="67" cm="1">
        <f t="array" aca="1" ref="S345" ca="1">_xlfn.CHOOSECOLS(_xlfn.CHOOSEROWS(_xlfn._xlws.FILTER(표2[],(표2[DWG No.]=C345)*(ISNUMBER(표2[Rev.])),""),1),6)</f>
        <v>43021</v>
      </c>
    </row>
    <row r="346" spans="1:19" ht="18" customHeight="1" x14ac:dyDescent="0.45">
      <c r="A346" s="64">
        <v>341</v>
      </c>
      <c r="B346" s="49" t="s">
        <v>57</v>
      </c>
      <c r="C346" s="65" t="s">
        <v>1395</v>
      </c>
      <c r="D346" s="66" t="s">
        <v>1396</v>
      </c>
      <c r="E346" s="65" t="s">
        <v>1397</v>
      </c>
      <c r="F346" s="66" t="s">
        <v>6</v>
      </c>
      <c r="G346" s="67">
        <v>42846</v>
      </c>
      <c r="H346" s="67">
        <v>42947</v>
      </c>
      <c r="I346" s="67">
        <v>43741</v>
      </c>
      <c r="J346" s="66" t="s">
        <v>2711</v>
      </c>
      <c r="K346" s="66" t="s">
        <v>7</v>
      </c>
      <c r="L346" s="66" t="s">
        <v>1987</v>
      </c>
      <c r="M346" s="67" t="s">
        <v>2712</v>
      </c>
      <c r="N346" s="66" t="s">
        <v>2715</v>
      </c>
      <c r="O346" s="66" t="s">
        <v>7</v>
      </c>
      <c r="P346" s="66" t="s">
        <v>1987</v>
      </c>
      <c r="Q346" s="66" t="s">
        <v>65</v>
      </c>
      <c r="R346" s="67" cm="1">
        <f t="array" aca="1" ref="R346" ca="1">_xlfn.CHOOSECOLS(_xlfn.CHOOSEROWS(_xlfn._xlws.FILTER(표2[],표2[DWG No.]=C346,""),1),6)</f>
        <v>42872</v>
      </c>
      <c r="S346" s="67" cm="1">
        <f t="array" aca="1" ref="S346" ca="1">_xlfn.CHOOSECOLS(_xlfn.CHOOSEROWS(_xlfn._xlws.FILTER(표2[],(표2[DWG No.]=C346)*(ISNUMBER(표2[Rev.])),""),1),6)</f>
        <v>43021</v>
      </c>
    </row>
    <row r="347" spans="1:19" ht="18" customHeight="1" x14ac:dyDescent="0.45">
      <c r="A347" s="64">
        <v>342</v>
      </c>
      <c r="B347" s="49" t="s">
        <v>57</v>
      </c>
      <c r="C347" s="65" t="s">
        <v>1398</v>
      </c>
      <c r="D347" s="66" t="s">
        <v>1399</v>
      </c>
      <c r="E347" s="65" t="s">
        <v>1400</v>
      </c>
      <c r="F347" s="66" t="s">
        <v>6</v>
      </c>
      <c r="G347" s="67">
        <v>42853</v>
      </c>
      <c r="H347" s="67">
        <v>42947</v>
      </c>
      <c r="I347" s="67">
        <v>42984</v>
      </c>
      <c r="J347" s="66" t="s">
        <v>1401</v>
      </c>
      <c r="K347" s="66" t="s">
        <v>7</v>
      </c>
      <c r="L347" s="66" t="s">
        <v>62</v>
      </c>
      <c r="M347" s="67" t="s">
        <v>1402</v>
      </c>
      <c r="N347" s="66" t="s">
        <v>1403</v>
      </c>
      <c r="O347" s="66" t="s">
        <v>7</v>
      </c>
      <c r="P347" s="66" t="s">
        <v>62</v>
      </c>
      <c r="Q347" s="66" t="s">
        <v>5003</v>
      </c>
      <c r="R347" s="67" cm="1">
        <f t="array" aca="1" ref="R347" ca="1">_xlfn.CHOOSECOLS(_xlfn.CHOOSEROWS(_xlfn._xlws.FILTER(표2[],표2[DWG No.]=C347,""),1),6)</f>
        <v>42874</v>
      </c>
      <c r="S347" s="67" cm="1">
        <f t="array" aca="1" ref="S347" ca="1">_xlfn.CHOOSECOLS(_xlfn.CHOOSEROWS(_xlfn._xlws.FILTER(표2[],(표2[DWG No.]=C347)*(ISNUMBER(표2[Rev.])),""),1),6)</f>
        <v>42984</v>
      </c>
    </row>
    <row r="348" spans="1:19" ht="18" customHeight="1" x14ac:dyDescent="0.45">
      <c r="A348" s="64">
        <v>343</v>
      </c>
      <c r="B348" s="49" t="s">
        <v>57</v>
      </c>
      <c r="C348" s="65" t="s">
        <v>1404</v>
      </c>
      <c r="D348" s="66" t="s">
        <v>1405</v>
      </c>
      <c r="E348" s="65" t="s">
        <v>1406</v>
      </c>
      <c r="F348" s="66" t="s">
        <v>6</v>
      </c>
      <c r="G348" s="67">
        <v>42853</v>
      </c>
      <c r="H348" s="67">
        <v>42947</v>
      </c>
      <c r="I348" s="67">
        <v>43718</v>
      </c>
      <c r="J348" s="66" t="s">
        <v>2703</v>
      </c>
      <c r="K348" s="66" t="s">
        <v>7</v>
      </c>
      <c r="L348" s="66" t="s">
        <v>89</v>
      </c>
      <c r="M348" s="67" t="s">
        <v>2704</v>
      </c>
      <c r="N348" s="66" t="s">
        <v>2705</v>
      </c>
      <c r="O348" s="66" t="s">
        <v>7</v>
      </c>
      <c r="P348" s="66" t="s">
        <v>89</v>
      </c>
      <c r="Q348" s="66" t="s">
        <v>65</v>
      </c>
      <c r="R348" s="67" cm="1">
        <f t="array" aca="1" ref="R348" ca="1">_xlfn.CHOOSECOLS(_xlfn.CHOOSEROWS(_xlfn._xlws.FILTER(표2[],표2[DWG No.]=C348,""),1),6)</f>
        <v>42874</v>
      </c>
      <c r="S348" s="67" cm="1">
        <f t="array" aca="1" ref="S348" ca="1">_xlfn.CHOOSECOLS(_xlfn.CHOOSEROWS(_xlfn._xlws.FILTER(표2[],(표2[DWG No.]=C348)*(ISNUMBER(표2[Rev.])),""),1),6)</f>
        <v>43021</v>
      </c>
    </row>
    <row r="349" spans="1:19" ht="18" customHeight="1" x14ac:dyDescent="0.45">
      <c r="A349" s="64">
        <v>344</v>
      </c>
      <c r="B349" s="49" t="s">
        <v>57</v>
      </c>
      <c r="C349" s="65" t="s">
        <v>1407</v>
      </c>
      <c r="D349" s="66" t="s">
        <v>1408</v>
      </c>
      <c r="E349" s="65" t="s">
        <v>1409</v>
      </c>
      <c r="F349" s="66" t="s">
        <v>6</v>
      </c>
      <c r="G349" s="67">
        <v>42853</v>
      </c>
      <c r="H349" s="67">
        <v>42947</v>
      </c>
      <c r="I349" s="67">
        <v>43328</v>
      </c>
      <c r="J349" s="66" t="s">
        <v>2532</v>
      </c>
      <c r="K349" s="66" t="s">
        <v>7</v>
      </c>
      <c r="L349" s="66" t="s">
        <v>89</v>
      </c>
      <c r="M349" s="67" t="s">
        <v>2531</v>
      </c>
      <c r="N349" s="66" t="s">
        <v>2543</v>
      </c>
      <c r="O349" s="66" t="s">
        <v>7</v>
      </c>
      <c r="P349" s="66" t="s">
        <v>89</v>
      </c>
      <c r="Q349" s="66" t="s">
        <v>65</v>
      </c>
      <c r="R349" s="67" cm="1">
        <f t="array" aca="1" ref="R349" ca="1">_xlfn.CHOOSECOLS(_xlfn.CHOOSEROWS(_xlfn._xlws.FILTER(표2[],표2[DWG No.]=C349,""),1),6)</f>
        <v>42874</v>
      </c>
      <c r="S349" s="67" cm="1">
        <f t="array" aca="1" ref="S349" ca="1">_xlfn.CHOOSECOLS(_xlfn.CHOOSEROWS(_xlfn._xlws.FILTER(표2[],(표2[DWG No.]=C349)*(ISNUMBER(표2[Rev.])),""),1),6)</f>
        <v>43021</v>
      </c>
    </row>
    <row r="350" spans="1:19" ht="18" customHeight="1" x14ac:dyDescent="0.45">
      <c r="A350" s="64">
        <v>345</v>
      </c>
      <c r="B350" s="49" t="s">
        <v>57</v>
      </c>
      <c r="C350" s="65" t="s">
        <v>1410</v>
      </c>
      <c r="D350" s="66" t="s">
        <v>1411</v>
      </c>
      <c r="E350" s="65" t="s">
        <v>1412</v>
      </c>
      <c r="F350" s="66" t="s">
        <v>6</v>
      </c>
      <c r="G350" s="67">
        <v>42853</v>
      </c>
      <c r="H350" s="67">
        <v>42947</v>
      </c>
      <c r="I350" s="67">
        <v>43336</v>
      </c>
      <c r="J350" s="66" t="s">
        <v>2544</v>
      </c>
      <c r="K350" s="66" t="s">
        <v>7</v>
      </c>
      <c r="L350" s="66" t="s">
        <v>89</v>
      </c>
      <c r="M350" s="67" t="s">
        <v>2531</v>
      </c>
      <c r="N350" s="66" t="s">
        <v>2545</v>
      </c>
      <c r="O350" s="66" t="s">
        <v>7</v>
      </c>
      <c r="P350" s="66" t="s">
        <v>89</v>
      </c>
      <c r="Q350" s="66" t="s">
        <v>65</v>
      </c>
      <c r="R350" s="67" cm="1">
        <f t="array" aca="1" ref="R350" ca="1">_xlfn.CHOOSECOLS(_xlfn.CHOOSEROWS(_xlfn._xlws.FILTER(표2[],표2[DWG No.]=C350,""),1),6)</f>
        <v>42874</v>
      </c>
      <c r="S350" s="67" cm="1">
        <f t="array" aca="1" ref="S350" ca="1">_xlfn.CHOOSECOLS(_xlfn.CHOOSEROWS(_xlfn._xlws.FILTER(표2[],(표2[DWG No.]=C350)*(ISNUMBER(표2[Rev.])),""),1),6)</f>
        <v>42947</v>
      </c>
    </row>
    <row r="351" spans="1:19" ht="18" customHeight="1" x14ac:dyDescent="0.45">
      <c r="A351" s="64">
        <v>346</v>
      </c>
      <c r="B351" s="49" t="s">
        <v>57</v>
      </c>
      <c r="C351" s="65" t="s">
        <v>1414</v>
      </c>
      <c r="D351" s="66" t="s">
        <v>1415</v>
      </c>
      <c r="E351" s="65" t="s">
        <v>1416</v>
      </c>
      <c r="F351" s="66" t="s">
        <v>6</v>
      </c>
      <c r="G351" s="67">
        <v>42839</v>
      </c>
      <c r="H351" s="67">
        <v>42947</v>
      </c>
      <c r="I351" s="67">
        <v>42933</v>
      </c>
      <c r="J351" s="66" t="s">
        <v>1376</v>
      </c>
      <c r="K351" s="66" t="s">
        <v>7</v>
      </c>
      <c r="L351" s="66" t="s">
        <v>62</v>
      </c>
      <c r="M351" s="67" t="s">
        <v>262</v>
      </c>
      <c r="N351" s="66" t="s">
        <v>81</v>
      </c>
      <c r="O351" s="66" t="s">
        <v>7</v>
      </c>
      <c r="P351" s="66" t="s">
        <v>62</v>
      </c>
      <c r="Q351" s="66" t="s">
        <v>5002</v>
      </c>
      <c r="R351" s="67" cm="1">
        <f t="array" aca="1" ref="R351" ca="1">_xlfn.CHOOSECOLS(_xlfn.CHOOSEROWS(_xlfn._xlws.FILTER(표2[],표2[DWG No.]=C351,""),1),6)</f>
        <v>42843</v>
      </c>
      <c r="S351" s="67" cm="1">
        <f t="array" aca="1" ref="S351" ca="1">_xlfn.CHOOSECOLS(_xlfn.CHOOSEROWS(_xlfn._xlws.FILTER(표2[],(표2[DWG No.]=C351)*(ISNUMBER(표2[Rev.])),""),1),6)</f>
        <v>42933</v>
      </c>
    </row>
    <row r="352" spans="1:19" ht="18" customHeight="1" x14ac:dyDescent="0.45">
      <c r="A352" s="64">
        <v>347</v>
      </c>
      <c r="B352" s="49" t="s">
        <v>57</v>
      </c>
      <c r="C352" s="65" t="s">
        <v>1417</v>
      </c>
      <c r="D352" s="66" t="s">
        <v>1418</v>
      </c>
      <c r="E352" s="65" t="s">
        <v>1419</v>
      </c>
      <c r="F352" s="66" t="s">
        <v>6</v>
      </c>
      <c r="G352" s="67">
        <v>42839</v>
      </c>
      <c r="H352" s="67">
        <v>42947</v>
      </c>
      <c r="I352" s="67">
        <v>42933</v>
      </c>
      <c r="J352" s="66" t="s">
        <v>1376</v>
      </c>
      <c r="K352" s="66" t="s">
        <v>7</v>
      </c>
      <c r="L352" s="66" t="s">
        <v>62</v>
      </c>
      <c r="M352" s="67" t="s">
        <v>262</v>
      </c>
      <c r="N352" s="66" t="s">
        <v>81</v>
      </c>
      <c r="O352" s="66" t="s">
        <v>7</v>
      </c>
      <c r="P352" s="66" t="s">
        <v>62</v>
      </c>
      <c r="Q352" s="66" t="s">
        <v>5002</v>
      </c>
      <c r="R352" s="67" cm="1">
        <f t="array" aca="1" ref="R352" ca="1">_xlfn.CHOOSECOLS(_xlfn.CHOOSEROWS(_xlfn._xlws.FILTER(표2[],표2[DWG No.]=C352,""),1),6)</f>
        <v>42843</v>
      </c>
      <c r="S352" s="67" cm="1">
        <f t="array" aca="1" ref="S352" ca="1">_xlfn.CHOOSECOLS(_xlfn.CHOOSEROWS(_xlfn._xlws.FILTER(표2[],(표2[DWG No.]=C352)*(ISNUMBER(표2[Rev.])),""),1),6)</f>
        <v>42933</v>
      </c>
    </row>
    <row r="353" spans="1:19" ht="18" customHeight="1" x14ac:dyDescent="0.45">
      <c r="A353" s="64">
        <v>348</v>
      </c>
      <c r="B353" s="49" t="s">
        <v>57</v>
      </c>
      <c r="C353" s="65" t="s">
        <v>1420</v>
      </c>
      <c r="D353" s="66" t="s">
        <v>1421</v>
      </c>
      <c r="E353" s="65" t="s">
        <v>1422</v>
      </c>
      <c r="F353" s="66" t="s">
        <v>6</v>
      </c>
      <c r="G353" s="67">
        <v>42839</v>
      </c>
      <c r="H353" s="67">
        <v>42947</v>
      </c>
      <c r="I353" s="67">
        <v>43342</v>
      </c>
      <c r="J353" s="66" t="s">
        <v>2536</v>
      </c>
      <c r="K353" s="66" t="s">
        <v>7</v>
      </c>
      <c r="L353" s="66" t="s">
        <v>89</v>
      </c>
      <c r="M353" s="67" t="s">
        <v>2531</v>
      </c>
      <c r="N353" s="66" t="s">
        <v>2546</v>
      </c>
      <c r="O353" s="66" t="s">
        <v>7</v>
      </c>
      <c r="P353" s="66" t="s">
        <v>89</v>
      </c>
      <c r="Q353" s="66" t="s">
        <v>65</v>
      </c>
      <c r="R353" s="67" cm="1">
        <f t="array" aca="1" ref="R353" ca="1">_xlfn.CHOOSECOLS(_xlfn.CHOOSEROWS(_xlfn._xlws.FILTER(표2[],표2[DWG No.]=C353,""),1),6)</f>
        <v>42872</v>
      </c>
      <c r="S353" s="67" cm="1">
        <f t="array" aca="1" ref="S353" ca="1">_xlfn.CHOOSECOLS(_xlfn.CHOOSEROWS(_xlfn._xlws.FILTER(표2[],(표2[DWG No.]=C353)*(ISNUMBER(표2[Rev.])),""),1),6)</f>
        <v>43003</v>
      </c>
    </row>
    <row r="354" spans="1:19" ht="18" customHeight="1" x14ac:dyDescent="0.45">
      <c r="A354" s="64">
        <v>349</v>
      </c>
      <c r="B354" s="49" t="s">
        <v>57</v>
      </c>
      <c r="C354" s="65" t="s">
        <v>1423</v>
      </c>
      <c r="D354" s="66" t="s">
        <v>1424</v>
      </c>
      <c r="E354" s="65" t="s">
        <v>1425</v>
      </c>
      <c r="F354" s="66" t="s">
        <v>6</v>
      </c>
      <c r="G354" s="67">
        <v>42839</v>
      </c>
      <c r="H354" s="67">
        <v>42947</v>
      </c>
      <c r="I354" s="67">
        <v>43342</v>
      </c>
      <c r="J354" s="66" t="s">
        <v>2536</v>
      </c>
      <c r="K354" s="66" t="s">
        <v>7</v>
      </c>
      <c r="L354" s="66" t="s">
        <v>89</v>
      </c>
      <c r="M354" s="67" t="s">
        <v>2531</v>
      </c>
      <c r="N354" s="66" t="s">
        <v>2547</v>
      </c>
      <c r="O354" s="66" t="s">
        <v>7</v>
      </c>
      <c r="P354" s="66" t="s">
        <v>89</v>
      </c>
      <c r="Q354" s="66" t="s">
        <v>65</v>
      </c>
      <c r="R354" s="67" cm="1">
        <f t="array" aca="1" ref="R354" ca="1">_xlfn.CHOOSECOLS(_xlfn.CHOOSEROWS(_xlfn._xlws.FILTER(표2[],표2[DWG No.]=C354,""),1),6)</f>
        <v>42843</v>
      </c>
      <c r="S354" s="67" cm="1">
        <f t="array" aca="1" ref="S354" ca="1">_xlfn.CHOOSECOLS(_xlfn.CHOOSEROWS(_xlfn._xlws.FILTER(표2[],(표2[DWG No.]=C354)*(ISNUMBER(표2[Rev.])),""),1),6)</f>
        <v>42992</v>
      </c>
    </row>
    <row r="355" spans="1:19" ht="18" customHeight="1" x14ac:dyDescent="0.45">
      <c r="A355" s="64">
        <v>350</v>
      </c>
      <c r="B355" s="49" t="s">
        <v>57</v>
      </c>
      <c r="C355" s="65" t="s">
        <v>1426</v>
      </c>
      <c r="D355" s="66" t="s">
        <v>1427</v>
      </c>
      <c r="E355" s="65" t="s">
        <v>1428</v>
      </c>
      <c r="F355" s="66" t="s">
        <v>6</v>
      </c>
      <c r="G355" s="67">
        <v>42853</v>
      </c>
      <c r="H355" s="67">
        <v>42947</v>
      </c>
      <c r="I355" s="67">
        <v>43328</v>
      </c>
      <c r="J355" s="66" t="s">
        <v>2532</v>
      </c>
      <c r="K355" s="66" t="s">
        <v>7</v>
      </c>
      <c r="L355" s="66" t="s">
        <v>89</v>
      </c>
      <c r="M355" s="67" t="s">
        <v>2531</v>
      </c>
      <c r="N355" s="66" t="s">
        <v>2548</v>
      </c>
      <c r="O355" s="66" t="s">
        <v>7</v>
      </c>
      <c r="P355" s="66" t="s">
        <v>89</v>
      </c>
      <c r="Q355" s="66" t="s">
        <v>65</v>
      </c>
      <c r="R355" s="67" cm="1">
        <f t="array" aca="1" ref="R355" ca="1">_xlfn.CHOOSECOLS(_xlfn.CHOOSEROWS(_xlfn._xlws.FILTER(표2[],표2[DWG No.]=C355,""),1),6)</f>
        <v>42878</v>
      </c>
      <c r="S355" s="67" cm="1">
        <f t="array" aca="1" ref="S355" ca="1">_xlfn.CHOOSECOLS(_xlfn.CHOOSEROWS(_xlfn._xlws.FILTER(표2[],(표2[DWG No.]=C355)*(ISNUMBER(표2[Rev.])),""),1),6)</f>
        <v>43034</v>
      </c>
    </row>
    <row r="356" spans="1:19" ht="18" customHeight="1" x14ac:dyDescent="0.45">
      <c r="A356" s="64">
        <v>351</v>
      </c>
      <c r="B356" s="49" t="s">
        <v>57</v>
      </c>
      <c r="C356" s="65" t="s">
        <v>1429</v>
      </c>
      <c r="D356" s="66" t="s">
        <v>1430</v>
      </c>
      <c r="E356" s="65" t="s">
        <v>1431</v>
      </c>
      <c r="F356" s="66" t="s">
        <v>6</v>
      </c>
      <c r="G356" s="67">
        <v>42846</v>
      </c>
      <c r="H356" s="67">
        <v>42947</v>
      </c>
      <c r="I356" s="67">
        <v>43336</v>
      </c>
      <c r="J356" s="66" t="s">
        <v>2544</v>
      </c>
      <c r="K356" s="66" t="s">
        <v>7</v>
      </c>
      <c r="L356" s="66" t="s">
        <v>89</v>
      </c>
      <c r="M356" s="67" t="s">
        <v>2531</v>
      </c>
      <c r="N356" s="66" t="s">
        <v>2549</v>
      </c>
      <c r="O356" s="66" t="s">
        <v>7</v>
      </c>
      <c r="P356" s="66" t="s">
        <v>89</v>
      </c>
      <c r="Q356" s="66" t="s">
        <v>65</v>
      </c>
      <c r="R356" s="67" cm="1">
        <f t="array" aca="1" ref="R356" ca="1">_xlfn.CHOOSECOLS(_xlfn.CHOOSEROWS(_xlfn._xlws.FILTER(표2[],표2[DWG No.]=C356,""),1),6)</f>
        <v>42874</v>
      </c>
      <c r="S356" s="67" cm="1">
        <f t="array" aca="1" ref="S356" ca="1">_xlfn.CHOOSECOLS(_xlfn.CHOOSEROWS(_xlfn._xlws.FILTER(표2[],(표2[DWG No.]=C356)*(ISNUMBER(표2[Rev.])),""),1),6)</f>
        <v>42992</v>
      </c>
    </row>
    <row r="357" spans="1:19" ht="18" customHeight="1" x14ac:dyDescent="0.45">
      <c r="A357" s="64">
        <v>352</v>
      </c>
      <c r="B357" s="49" t="s">
        <v>57</v>
      </c>
      <c r="C357" s="65" t="s">
        <v>1432</v>
      </c>
      <c r="D357" s="66" t="s">
        <v>1433</v>
      </c>
      <c r="E357" s="65" t="s">
        <v>1434</v>
      </c>
      <c r="F357" s="66" t="s">
        <v>6</v>
      </c>
      <c r="G357" s="67">
        <v>42846</v>
      </c>
      <c r="H357" s="67">
        <v>42947</v>
      </c>
      <c r="I357" s="67">
        <v>43336</v>
      </c>
      <c r="J357" s="66" t="s">
        <v>2544</v>
      </c>
      <c r="K357" s="66" t="s">
        <v>7</v>
      </c>
      <c r="L357" s="66" t="s">
        <v>89</v>
      </c>
      <c r="M357" s="67" t="s">
        <v>2531</v>
      </c>
      <c r="N357" s="66" t="s">
        <v>2550</v>
      </c>
      <c r="O357" s="66" t="s">
        <v>7</v>
      </c>
      <c r="P357" s="66" t="s">
        <v>89</v>
      </c>
      <c r="Q357" s="66" t="s">
        <v>65</v>
      </c>
      <c r="R357" s="67" cm="1">
        <f t="array" aca="1" ref="R357" ca="1">_xlfn.CHOOSECOLS(_xlfn.CHOOSEROWS(_xlfn._xlws.FILTER(표2[],표2[DWG No.]=C357,""),1),6)</f>
        <v>42874</v>
      </c>
      <c r="S357" s="67" cm="1">
        <f t="array" aca="1" ref="S357" ca="1">_xlfn.CHOOSECOLS(_xlfn.CHOOSEROWS(_xlfn._xlws.FILTER(표2[],(표2[DWG No.]=C357)*(ISNUMBER(표2[Rev.])),""),1),6)</f>
        <v>43021</v>
      </c>
    </row>
    <row r="358" spans="1:19" ht="18" customHeight="1" x14ac:dyDescent="0.45">
      <c r="A358" s="64">
        <v>353</v>
      </c>
      <c r="B358" s="49" t="s">
        <v>57</v>
      </c>
      <c r="C358" s="65" t="s">
        <v>1435</v>
      </c>
      <c r="D358" s="66" t="s">
        <v>1436</v>
      </c>
      <c r="E358" s="65" t="s">
        <v>1437</v>
      </c>
      <c r="F358" s="66" t="s">
        <v>6</v>
      </c>
      <c r="G358" s="67">
        <v>42846</v>
      </c>
      <c r="H358" s="67">
        <v>42947</v>
      </c>
      <c r="I358" s="67">
        <v>43336</v>
      </c>
      <c r="J358" s="66" t="s">
        <v>2544</v>
      </c>
      <c r="K358" s="66" t="s">
        <v>7</v>
      </c>
      <c r="L358" s="66" t="s">
        <v>89</v>
      </c>
      <c r="M358" s="67" t="s">
        <v>2531</v>
      </c>
      <c r="N358" s="66" t="s">
        <v>2551</v>
      </c>
      <c r="O358" s="66" t="s">
        <v>7</v>
      </c>
      <c r="P358" s="66" t="s">
        <v>89</v>
      </c>
      <c r="Q358" s="66" t="s">
        <v>65</v>
      </c>
      <c r="R358" s="67" cm="1">
        <f t="array" aca="1" ref="R358" ca="1">_xlfn.CHOOSECOLS(_xlfn.CHOOSEROWS(_xlfn._xlws.FILTER(표2[],표2[DWG No.]=C358,""),1),6)</f>
        <v>42872</v>
      </c>
      <c r="S358" s="67" cm="1">
        <f t="array" aca="1" ref="S358" ca="1">_xlfn.CHOOSECOLS(_xlfn.CHOOSEROWS(_xlfn._xlws.FILTER(표2[],(표2[DWG No.]=C358)*(ISNUMBER(표2[Rev.])),""),1),6)</f>
        <v>43021</v>
      </c>
    </row>
    <row r="359" spans="1:19" ht="18" customHeight="1" x14ac:dyDescent="0.45">
      <c r="A359" s="64">
        <v>354</v>
      </c>
      <c r="B359" s="49" t="s">
        <v>57</v>
      </c>
      <c r="C359" s="65" t="s">
        <v>1438</v>
      </c>
      <c r="D359" s="66" t="s">
        <v>1439</v>
      </c>
      <c r="E359" s="65" t="s">
        <v>1440</v>
      </c>
      <c r="F359" s="66" t="s">
        <v>6</v>
      </c>
      <c r="G359" s="67">
        <v>42853</v>
      </c>
      <c r="H359" s="67">
        <v>42947</v>
      </c>
      <c r="I359" s="67">
        <v>42947</v>
      </c>
      <c r="J359" s="66" t="s">
        <v>1413</v>
      </c>
      <c r="K359" s="66" t="s">
        <v>7</v>
      </c>
      <c r="L359" s="66" t="s">
        <v>62</v>
      </c>
      <c r="M359" s="67" t="s">
        <v>221</v>
      </c>
      <c r="N359" s="66" t="s">
        <v>81</v>
      </c>
      <c r="O359" s="66" t="s">
        <v>7</v>
      </c>
      <c r="P359" s="66" t="s">
        <v>62</v>
      </c>
      <c r="Q359" s="66" t="s">
        <v>5003</v>
      </c>
      <c r="R359" s="67" cm="1">
        <f t="array" aca="1" ref="R359" ca="1">_xlfn.CHOOSECOLS(_xlfn.CHOOSEROWS(_xlfn._xlws.FILTER(표2[],표2[DWG No.]=C359,""),1),6)</f>
        <v>42874</v>
      </c>
      <c r="S359" s="67" cm="1">
        <f t="array" aca="1" ref="S359" ca="1">_xlfn.CHOOSECOLS(_xlfn.CHOOSEROWS(_xlfn._xlws.FILTER(표2[],(표2[DWG No.]=C359)*(ISNUMBER(표2[Rev.])),""),1),6)</f>
        <v>42947</v>
      </c>
    </row>
    <row r="360" spans="1:19" ht="18" customHeight="1" x14ac:dyDescent="0.45">
      <c r="A360" s="64">
        <v>355</v>
      </c>
      <c r="B360" s="49" t="s">
        <v>57</v>
      </c>
      <c r="C360" s="65" t="s">
        <v>1441</v>
      </c>
      <c r="D360" s="66" t="s">
        <v>1442</v>
      </c>
      <c r="E360" s="65" t="s">
        <v>1443</v>
      </c>
      <c r="F360" s="66" t="s">
        <v>6</v>
      </c>
      <c r="G360" s="67">
        <v>42853</v>
      </c>
      <c r="H360" s="67">
        <v>42947</v>
      </c>
      <c r="I360" s="67">
        <v>43718</v>
      </c>
      <c r="J360" s="66" t="s">
        <v>2703</v>
      </c>
      <c r="K360" s="66" t="s">
        <v>7</v>
      </c>
      <c r="L360" s="66" t="s">
        <v>89</v>
      </c>
      <c r="M360" s="67" t="s">
        <v>2704</v>
      </c>
      <c r="N360" s="66" t="s">
        <v>2706</v>
      </c>
      <c r="O360" s="66" t="s">
        <v>7</v>
      </c>
      <c r="P360" s="66" t="s">
        <v>89</v>
      </c>
      <c r="Q360" s="66" t="s">
        <v>65</v>
      </c>
      <c r="R360" s="67" cm="1">
        <f t="array" aca="1" ref="R360" ca="1">_xlfn.CHOOSECOLS(_xlfn.CHOOSEROWS(_xlfn._xlws.FILTER(표2[],표2[DWG No.]=C360,""),1),6)</f>
        <v>42874</v>
      </c>
      <c r="S360" s="67" cm="1">
        <f t="array" aca="1" ref="S360" ca="1">_xlfn.CHOOSECOLS(_xlfn.CHOOSEROWS(_xlfn._xlws.FILTER(표2[],(표2[DWG No.]=C360)*(ISNUMBER(표2[Rev.])),""),1),6)</f>
        <v>43021</v>
      </c>
    </row>
    <row r="361" spans="1:19" ht="18" customHeight="1" x14ac:dyDescent="0.45">
      <c r="A361" s="64">
        <v>356</v>
      </c>
      <c r="B361" s="49" t="s">
        <v>57</v>
      </c>
      <c r="C361" s="65" t="s">
        <v>1444</v>
      </c>
      <c r="D361" s="66" t="s">
        <v>1445</v>
      </c>
      <c r="E361" s="65" t="s">
        <v>1446</v>
      </c>
      <c r="F361" s="66" t="s">
        <v>6</v>
      </c>
      <c r="G361" s="67">
        <v>42853</v>
      </c>
      <c r="H361" s="67">
        <v>42947</v>
      </c>
      <c r="I361" s="67">
        <v>43328</v>
      </c>
      <c r="J361" s="66" t="s">
        <v>2532</v>
      </c>
      <c r="K361" s="66" t="s">
        <v>7</v>
      </c>
      <c r="L361" s="66" t="s">
        <v>89</v>
      </c>
      <c r="M361" s="67" t="s">
        <v>2531</v>
      </c>
      <c r="N361" s="66" t="s">
        <v>2552</v>
      </c>
      <c r="O361" s="66" t="s">
        <v>7</v>
      </c>
      <c r="P361" s="66" t="s">
        <v>89</v>
      </c>
      <c r="Q361" s="66" t="s">
        <v>65</v>
      </c>
      <c r="R361" s="67" cm="1">
        <f t="array" aca="1" ref="R361" ca="1">_xlfn.CHOOSECOLS(_xlfn.CHOOSEROWS(_xlfn._xlws.FILTER(표2[],표2[DWG No.]=C361,""),1),6)</f>
        <v>42874</v>
      </c>
      <c r="S361" s="67" cm="1">
        <f t="array" aca="1" ref="S361" ca="1">_xlfn.CHOOSECOLS(_xlfn.CHOOSEROWS(_xlfn._xlws.FILTER(표2[],(표2[DWG No.]=C361)*(ISNUMBER(표2[Rev.])),""),1),6)</f>
        <v>43021</v>
      </c>
    </row>
    <row r="362" spans="1:19" ht="18" customHeight="1" x14ac:dyDescent="0.45">
      <c r="A362" s="64">
        <v>357</v>
      </c>
      <c r="B362" s="49" t="s">
        <v>57</v>
      </c>
      <c r="C362" s="65" t="s">
        <v>1447</v>
      </c>
      <c r="D362" s="66" t="s">
        <v>1448</v>
      </c>
      <c r="E362" s="65" t="s">
        <v>1449</v>
      </c>
      <c r="F362" s="66" t="s">
        <v>6</v>
      </c>
      <c r="G362" s="67">
        <v>42853</v>
      </c>
      <c r="H362" s="67">
        <v>42947</v>
      </c>
      <c r="I362" s="67">
        <v>43336</v>
      </c>
      <c r="J362" s="66" t="s">
        <v>2544</v>
      </c>
      <c r="K362" s="66" t="s">
        <v>7</v>
      </c>
      <c r="L362" s="66" t="s">
        <v>89</v>
      </c>
      <c r="M362" s="67" t="s">
        <v>2531</v>
      </c>
      <c r="N362" s="66" t="s">
        <v>2553</v>
      </c>
      <c r="O362" s="66" t="s">
        <v>7</v>
      </c>
      <c r="P362" s="66" t="s">
        <v>89</v>
      </c>
      <c r="Q362" s="66" t="s">
        <v>65</v>
      </c>
      <c r="R362" s="67" cm="1">
        <f t="array" aca="1" ref="R362" ca="1">_xlfn.CHOOSECOLS(_xlfn.CHOOSEROWS(_xlfn._xlws.FILTER(표2[],표2[DWG No.]=C362,""),1),6)</f>
        <v>42874</v>
      </c>
      <c r="S362" s="67" cm="1">
        <f t="array" aca="1" ref="S362" ca="1">_xlfn.CHOOSECOLS(_xlfn.CHOOSEROWS(_xlfn._xlws.FILTER(표2[],(표2[DWG No.]=C362)*(ISNUMBER(표2[Rev.])),""),1),6)</f>
        <v>42947</v>
      </c>
    </row>
    <row r="363" spans="1:19" ht="18" customHeight="1" x14ac:dyDescent="0.45">
      <c r="A363" s="64">
        <v>358</v>
      </c>
      <c r="B363" s="49" t="s">
        <v>57</v>
      </c>
      <c r="C363" s="65" t="s">
        <v>1450</v>
      </c>
      <c r="D363" s="66" t="s">
        <v>1451</v>
      </c>
      <c r="E363" s="65" t="s">
        <v>1452</v>
      </c>
      <c r="F363" s="66" t="s">
        <v>6</v>
      </c>
      <c r="G363" s="67">
        <v>42930</v>
      </c>
      <c r="H363" s="67">
        <v>43020</v>
      </c>
      <c r="I363" s="67">
        <v>43307</v>
      </c>
      <c r="J363" s="66" t="s">
        <v>2554</v>
      </c>
      <c r="K363" s="66" t="s">
        <v>7</v>
      </c>
      <c r="L363" s="66" t="s">
        <v>89</v>
      </c>
      <c r="M363" s="67" t="s">
        <v>2452</v>
      </c>
      <c r="N363" s="66" t="s">
        <v>2555</v>
      </c>
      <c r="O363" s="66" t="s">
        <v>7</v>
      </c>
      <c r="P363" s="66" t="s">
        <v>89</v>
      </c>
      <c r="Q363" s="66" t="s">
        <v>65</v>
      </c>
      <c r="R363" s="67" cm="1">
        <f t="array" aca="1" ref="R363" ca="1">_xlfn.CHOOSECOLS(_xlfn.CHOOSEROWS(_xlfn._xlws.FILTER(표2[],표2[DWG No.]=C363,""),1),6)</f>
        <v>42948</v>
      </c>
      <c r="S363" s="67" cm="1">
        <f t="array" aca="1" ref="S363" ca="1">_xlfn.CHOOSECOLS(_xlfn.CHOOSEROWS(_xlfn._xlws.FILTER(표2[],(표2[DWG No.]=C363)*(ISNUMBER(표2[Rev.])),""),1),6)</f>
        <v>43066</v>
      </c>
    </row>
    <row r="364" spans="1:19" ht="18" customHeight="1" x14ac:dyDescent="0.45">
      <c r="A364" s="64">
        <v>359</v>
      </c>
      <c r="B364" s="49" t="s">
        <v>57</v>
      </c>
      <c r="C364" s="65" t="s">
        <v>1453</v>
      </c>
      <c r="D364" s="66" t="s">
        <v>1454</v>
      </c>
      <c r="E364" s="65" t="s">
        <v>1455</v>
      </c>
      <c r="F364" s="66" t="s">
        <v>6</v>
      </c>
      <c r="G364" s="67">
        <v>42965</v>
      </c>
      <c r="H364" s="67">
        <v>43055</v>
      </c>
      <c r="I364" s="67">
        <v>43034</v>
      </c>
      <c r="J364" s="66" t="s">
        <v>1456</v>
      </c>
      <c r="K364" s="66" t="s">
        <v>7</v>
      </c>
      <c r="L364" s="66" t="s">
        <v>62</v>
      </c>
      <c r="M364" s="67" t="s">
        <v>90</v>
      </c>
      <c r="N364" s="66" t="s">
        <v>1457</v>
      </c>
      <c r="O364" s="66" t="s">
        <v>7</v>
      </c>
      <c r="P364" s="66" t="s">
        <v>62</v>
      </c>
      <c r="Q364" s="66" t="s">
        <v>5002</v>
      </c>
      <c r="R364" s="67" cm="1">
        <f t="array" aca="1" ref="R364" ca="1">_xlfn.CHOOSECOLS(_xlfn.CHOOSEROWS(_xlfn._xlws.FILTER(표2[],표2[DWG No.]=C364,""),1),6)</f>
        <v>42989</v>
      </c>
      <c r="S364" s="67" cm="1">
        <f t="array" aca="1" ref="S364" ca="1">_xlfn.CHOOSECOLS(_xlfn.CHOOSEROWS(_xlfn._xlws.FILTER(표2[],(표2[DWG No.]=C364)*(ISNUMBER(표2[Rev.])),""),1),6)</f>
        <v>43034</v>
      </c>
    </row>
    <row r="365" spans="1:19" ht="18" customHeight="1" x14ac:dyDescent="0.45">
      <c r="A365" s="64">
        <v>360</v>
      </c>
      <c r="B365" s="49" t="s">
        <v>57</v>
      </c>
      <c r="C365" s="65" t="s">
        <v>1458</v>
      </c>
      <c r="D365" s="66" t="s">
        <v>1459</v>
      </c>
      <c r="E365" s="65" t="s">
        <v>1460</v>
      </c>
      <c r="F365" s="66" t="s">
        <v>6</v>
      </c>
      <c r="G365" s="67">
        <v>42965</v>
      </c>
      <c r="H365" s="67">
        <v>43055</v>
      </c>
      <c r="I365" s="67">
        <v>43034</v>
      </c>
      <c r="J365" s="66" t="s">
        <v>1461</v>
      </c>
      <c r="K365" s="66" t="s">
        <v>7</v>
      </c>
      <c r="L365" s="66" t="s">
        <v>62</v>
      </c>
      <c r="M365" s="67" t="s">
        <v>90</v>
      </c>
      <c r="N365" s="66" t="s">
        <v>1462</v>
      </c>
      <c r="O365" s="66" t="s">
        <v>7</v>
      </c>
      <c r="P365" s="66" t="s">
        <v>62</v>
      </c>
      <c r="Q365" s="66" t="s">
        <v>5002</v>
      </c>
      <c r="R365" s="67" cm="1">
        <f t="array" aca="1" ref="R365" ca="1">_xlfn.CHOOSECOLS(_xlfn.CHOOSEROWS(_xlfn._xlws.FILTER(표2[],표2[DWG No.]=C365,""),1),6)</f>
        <v>42998</v>
      </c>
      <c r="S365" s="67" cm="1">
        <f t="array" aca="1" ref="S365" ca="1">_xlfn.CHOOSECOLS(_xlfn.CHOOSEROWS(_xlfn._xlws.FILTER(표2[],(표2[DWG No.]=C365)*(ISNUMBER(표2[Rev.])),""),1),6)</f>
        <v>43034</v>
      </c>
    </row>
    <row r="366" spans="1:19" ht="18" customHeight="1" x14ac:dyDescent="0.45">
      <c r="A366" s="64">
        <v>361</v>
      </c>
      <c r="B366" s="49" t="s">
        <v>57</v>
      </c>
      <c r="C366" s="65" t="s">
        <v>1463</v>
      </c>
      <c r="D366" s="66" t="s">
        <v>1464</v>
      </c>
      <c r="E366" s="65" t="s">
        <v>1465</v>
      </c>
      <c r="F366" s="66" t="s">
        <v>6</v>
      </c>
      <c r="G366" s="67">
        <v>42965</v>
      </c>
      <c r="H366" s="67">
        <v>43055</v>
      </c>
      <c r="I366" s="67">
        <v>43034</v>
      </c>
      <c r="J366" s="66" t="s">
        <v>1461</v>
      </c>
      <c r="K366" s="66" t="s">
        <v>7</v>
      </c>
      <c r="L366" s="66" t="s">
        <v>62</v>
      </c>
      <c r="M366" s="67" t="s">
        <v>90</v>
      </c>
      <c r="N366" s="66" t="s">
        <v>1466</v>
      </c>
      <c r="O366" s="66" t="s">
        <v>7</v>
      </c>
      <c r="P366" s="66" t="s">
        <v>62</v>
      </c>
      <c r="Q366" s="66" t="s">
        <v>5002</v>
      </c>
      <c r="R366" s="67" cm="1">
        <f t="array" aca="1" ref="R366" ca="1">_xlfn.CHOOSECOLS(_xlfn.CHOOSEROWS(_xlfn._xlws.FILTER(표2[],표2[DWG No.]=C366,""),1),6)</f>
        <v>42998</v>
      </c>
      <c r="S366" s="67" cm="1">
        <f t="array" aca="1" ref="S366" ca="1">_xlfn.CHOOSECOLS(_xlfn.CHOOSEROWS(_xlfn._xlws.FILTER(표2[],(표2[DWG No.]=C366)*(ISNUMBER(표2[Rev.])),""),1),6)</f>
        <v>43034</v>
      </c>
    </row>
    <row r="367" spans="1:19" ht="18" customHeight="1" x14ac:dyDescent="0.45">
      <c r="A367" s="64">
        <v>362</v>
      </c>
      <c r="B367" s="49" t="s">
        <v>57</v>
      </c>
      <c r="C367" s="65" t="s">
        <v>1467</v>
      </c>
      <c r="D367" s="66" t="s">
        <v>1468</v>
      </c>
      <c r="E367" s="65" t="s">
        <v>1469</v>
      </c>
      <c r="F367" s="66" t="s">
        <v>6</v>
      </c>
      <c r="G367" s="67">
        <v>42965</v>
      </c>
      <c r="H367" s="67">
        <v>43055</v>
      </c>
      <c r="I367" s="67">
        <v>43034</v>
      </c>
      <c r="J367" s="66" t="s">
        <v>1461</v>
      </c>
      <c r="K367" s="66" t="s">
        <v>7</v>
      </c>
      <c r="L367" s="66" t="s">
        <v>62</v>
      </c>
      <c r="M367" s="67" t="s">
        <v>90</v>
      </c>
      <c r="N367" s="66" t="s">
        <v>1470</v>
      </c>
      <c r="O367" s="66" t="s">
        <v>7</v>
      </c>
      <c r="P367" s="66" t="s">
        <v>62</v>
      </c>
      <c r="Q367" s="66" t="s">
        <v>5002</v>
      </c>
      <c r="R367" s="67" cm="1">
        <f t="array" aca="1" ref="R367" ca="1">_xlfn.CHOOSECOLS(_xlfn.CHOOSEROWS(_xlfn._xlws.FILTER(표2[],표2[DWG No.]=C367,""),1),6)</f>
        <v>42998</v>
      </c>
      <c r="S367" s="67" cm="1">
        <f t="array" aca="1" ref="S367" ca="1">_xlfn.CHOOSECOLS(_xlfn.CHOOSEROWS(_xlfn._xlws.FILTER(표2[],(표2[DWG No.]=C367)*(ISNUMBER(표2[Rev.])),""),1),6)</f>
        <v>43034</v>
      </c>
    </row>
    <row r="368" spans="1:19" ht="18" customHeight="1" x14ac:dyDescent="0.45">
      <c r="A368" s="64">
        <v>363</v>
      </c>
      <c r="B368" s="49" t="s">
        <v>57</v>
      </c>
      <c r="C368" s="65" t="s">
        <v>1471</v>
      </c>
      <c r="D368" s="66" t="s">
        <v>1472</v>
      </c>
      <c r="E368" s="65" t="s">
        <v>1473</v>
      </c>
      <c r="F368" s="66" t="s">
        <v>6</v>
      </c>
      <c r="G368" s="67">
        <v>42965</v>
      </c>
      <c r="H368" s="67">
        <v>43055</v>
      </c>
      <c r="I368" s="67">
        <v>43066</v>
      </c>
      <c r="J368" s="66" t="s">
        <v>1474</v>
      </c>
      <c r="K368" s="66" t="s">
        <v>7</v>
      </c>
      <c r="L368" s="66" t="s">
        <v>62</v>
      </c>
      <c r="M368" s="67" t="s">
        <v>155</v>
      </c>
      <c r="N368" s="66" t="s">
        <v>1475</v>
      </c>
      <c r="O368" s="66" t="s">
        <v>7</v>
      </c>
      <c r="P368" s="66" t="s">
        <v>62</v>
      </c>
      <c r="Q368" s="66" t="s">
        <v>5002</v>
      </c>
      <c r="R368" s="67" cm="1">
        <f t="array" aca="1" ref="R368" ca="1">_xlfn.CHOOSECOLS(_xlfn.CHOOSEROWS(_xlfn._xlws.FILTER(표2[],표2[DWG No.]=C368,""),1),6)</f>
        <v>43038</v>
      </c>
      <c r="S368" s="67" cm="1">
        <f t="array" aca="1" ref="S368" ca="1">_xlfn.CHOOSECOLS(_xlfn.CHOOSEROWS(_xlfn._xlws.FILTER(표2[],(표2[DWG No.]=C368)*(ISNUMBER(표2[Rev.])),""),1),6)</f>
        <v>43066</v>
      </c>
    </row>
    <row r="369" spans="1:19" ht="18" customHeight="1" x14ac:dyDescent="0.45">
      <c r="A369" s="64">
        <v>364</v>
      </c>
      <c r="B369" s="49" t="s">
        <v>57</v>
      </c>
      <c r="C369" s="65" t="s">
        <v>1476</v>
      </c>
      <c r="D369" s="66" t="s">
        <v>1477</v>
      </c>
      <c r="E369" s="65" t="s">
        <v>1478</v>
      </c>
      <c r="F369" s="66" t="s">
        <v>6</v>
      </c>
      <c r="G369" s="67">
        <v>42895</v>
      </c>
      <c r="H369" s="67">
        <v>42993</v>
      </c>
      <c r="I369" s="67">
        <v>43486</v>
      </c>
      <c r="J369" s="66" t="s">
        <v>2646</v>
      </c>
      <c r="K369" s="66" t="s">
        <v>7</v>
      </c>
      <c r="L369" s="66" t="s">
        <v>89</v>
      </c>
      <c r="M369" s="67" t="s">
        <v>2647</v>
      </c>
      <c r="N369" s="66" t="s">
        <v>2648</v>
      </c>
      <c r="O369" s="66" t="s">
        <v>7</v>
      </c>
      <c r="P369" s="66" t="s">
        <v>89</v>
      </c>
      <c r="Q369" s="66" t="s">
        <v>65</v>
      </c>
      <c r="R369" s="67" cm="1">
        <f t="array" aca="1" ref="R369" ca="1">_xlfn.CHOOSECOLS(_xlfn.CHOOSEROWS(_xlfn._xlws.FILTER(표2[],표2[DWG No.]=C369,""),1),6)</f>
        <v>42900</v>
      </c>
      <c r="S369" s="67" cm="1">
        <f t="array" aca="1" ref="S369" ca="1">_xlfn.CHOOSECOLS(_xlfn.CHOOSEROWS(_xlfn._xlws.FILTER(표2[],(표2[DWG No.]=C369)*(ISNUMBER(표2[Rev.])),""),1),6)</f>
        <v>43040</v>
      </c>
    </row>
    <row r="370" spans="1:19" ht="18" customHeight="1" x14ac:dyDescent="0.45">
      <c r="A370" s="64">
        <v>365</v>
      </c>
      <c r="B370" s="49" t="s">
        <v>57</v>
      </c>
      <c r="C370" s="65" t="s">
        <v>1479</v>
      </c>
      <c r="D370" s="66" t="s">
        <v>1480</v>
      </c>
      <c r="E370" s="65" t="s">
        <v>1481</v>
      </c>
      <c r="F370" s="66" t="s">
        <v>5</v>
      </c>
      <c r="G370" s="67">
        <v>42811</v>
      </c>
      <c r="H370" s="67">
        <v>42947</v>
      </c>
      <c r="I370" s="67">
        <v>42933</v>
      </c>
      <c r="J370" s="66" t="s">
        <v>1482</v>
      </c>
      <c r="K370" s="66" t="s">
        <v>7</v>
      </c>
      <c r="L370" s="66" t="s">
        <v>62</v>
      </c>
      <c r="M370" s="67" t="s">
        <v>262</v>
      </c>
      <c r="N370" s="66" t="s">
        <v>81</v>
      </c>
      <c r="O370" s="66" t="s">
        <v>7</v>
      </c>
      <c r="P370" s="66" t="s">
        <v>62</v>
      </c>
      <c r="Q370" s="66" t="s">
        <v>5002</v>
      </c>
      <c r="R370" s="67" cm="1">
        <f t="array" aca="1" ref="R370" ca="1">_xlfn.CHOOSECOLS(_xlfn.CHOOSEROWS(_xlfn._xlws.FILTER(표2[],표2[DWG No.]=C370,""),1),6)</f>
        <v>42816</v>
      </c>
      <c r="S370" s="67" cm="1">
        <f t="array" aca="1" ref="S370" ca="1">_xlfn.CHOOSECOLS(_xlfn.CHOOSEROWS(_xlfn._xlws.FILTER(표2[],(표2[DWG No.]=C370)*(ISNUMBER(표2[Rev.])),""),1),6)</f>
        <v>42933</v>
      </c>
    </row>
    <row r="371" spans="1:19" ht="18" customHeight="1" x14ac:dyDescent="0.45">
      <c r="A371" s="64">
        <v>366</v>
      </c>
      <c r="B371" s="49" t="s">
        <v>57</v>
      </c>
      <c r="C371" s="65" t="s">
        <v>1483</v>
      </c>
      <c r="D371" s="66" t="s">
        <v>1484</v>
      </c>
      <c r="E371" s="65" t="s">
        <v>1485</v>
      </c>
      <c r="F371" s="66" t="s">
        <v>5</v>
      </c>
      <c r="G371" s="67">
        <v>42811</v>
      </c>
      <c r="H371" s="67">
        <v>42947</v>
      </c>
      <c r="I371" s="67">
        <v>42933</v>
      </c>
      <c r="J371" s="66" t="s">
        <v>1482</v>
      </c>
      <c r="K371" s="66" t="s">
        <v>7</v>
      </c>
      <c r="L371" s="66" t="s">
        <v>62</v>
      </c>
      <c r="M371" s="67" t="s">
        <v>262</v>
      </c>
      <c r="N371" s="66" t="s">
        <v>81</v>
      </c>
      <c r="O371" s="66" t="s">
        <v>7</v>
      </c>
      <c r="P371" s="66" t="s">
        <v>62</v>
      </c>
      <c r="Q371" s="66" t="s">
        <v>5002</v>
      </c>
      <c r="R371" s="67" cm="1">
        <f t="array" aca="1" ref="R371" ca="1">_xlfn.CHOOSECOLS(_xlfn.CHOOSEROWS(_xlfn._xlws.FILTER(표2[],표2[DWG No.]=C371,""),1),6)</f>
        <v>42816</v>
      </c>
      <c r="S371" s="67" cm="1">
        <f t="array" aca="1" ref="S371" ca="1">_xlfn.CHOOSECOLS(_xlfn.CHOOSEROWS(_xlfn._xlws.FILTER(표2[],(표2[DWG No.]=C371)*(ISNUMBER(표2[Rev.])),""),1),6)</f>
        <v>42933</v>
      </c>
    </row>
    <row r="372" spans="1:19" ht="18" customHeight="1" x14ac:dyDescent="0.45">
      <c r="A372" s="64">
        <v>367</v>
      </c>
      <c r="B372" s="49" t="s">
        <v>57</v>
      </c>
      <c r="C372" s="65" t="s">
        <v>1486</v>
      </c>
      <c r="D372" s="66" t="s">
        <v>1487</v>
      </c>
      <c r="E372" s="65" t="s">
        <v>1488</v>
      </c>
      <c r="F372" s="66" t="s">
        <v>5</v>
      </c>
      <c r="G372" s="67">
        <v>42811</v>
      </c>
      <c r="H372" s="67">
        <v>42947</v>
      </c>
      <c r="I372" s="67">
        <v>42933</v>
      </c>
      <c r="J372" s="66" t="s">
        <v>1482</v>
      </c>
      <c r="K372" s="66" t="s">
        <v>7</v>
      </c>
      <c r="L372" s="66" t="s">
        <v>62</v>
      </c>
      <c r="M372" s="67" t="s">
        <v>262</v>
      </c>
      <c r="N372" s="66" t="s">
        <v>81</v>
      </c>
      <c r="O372" s="66" t="s">
        <v>7</v>
      </c>
      <c r="P372" s="66" t="s">
        <v>62</v>
      </c>
      <c r="Q372" s="66" t="s">
        <v>5002</v>
      </c>
      <c r="R372" s="67" cm="1">
        <f t="array" aca="1" ref="R372" ca="1">_xlfn.CHOOSECOLS(_xlfn.CHOOSEROWS(_xlfn._xlws.FILTER(표2[],표2[DWG No.]=C372,""),1),6)</f>
        <v>42816</v>
      </c>
      <c r="S372" s="67" cm="1">
        <f t="array" aca="1" ref="S372" ca="1">_xlfn.CHOOSECOLS(_xlfn.CHOOSEROWS(_xlfn._xlws.FILTER(표2[],(표2[DWG No.]=C372)*(ISNUMBER(표2[Rev.])),""),1),6)</f>
        <v>42933</v>
      </c>
    </row>
    <row r="373" spans="1:19" ht="18" customHeight="1" x14ac:dyDescent="0.45">
      <c r="A373" s="64">
        <v>368</v>
      </c>
      <c r="B373" s="49" t="s">
        <v>57</v>
      </c>
      <c r="C373" s="65" t="s">
        <v>1489</v>
      </c>
      <c r="D373" s="66" t="s">
        <v>1490</v>
      </c>
      <c r="E373" s="65" t="s">
        <v>1491</v>
      </c>
      <c r="F373" s="66" t="s">
        <v>5</v>
      </c>
      <c r="G373" s="67">
        <v>42811</v>
      </c>
      <c r="H373" s="67">
        <v>42947</v>
      </c>
      <c r="I373" s="67">
        <v>42933</v>
      </c>
      <c r="J373" s="66" t="s">
        <v>1482</v>
      </c>
      <c r="K373" s="66" t="s">
        <v>7</v>
      </c>
      <c r="L373" s="66" t="s">
        <v>62</v>
      </c>
      <c r="M373" s="67" t="s">
        <v>262</v>
      </c>
      <c r="N373" s="66" t="s">
        <v>81</v>
      </c>
      <c r="O373" s="66" t="s">
        <v>7</v>
      </c>
      <c r="P373" s="66" t="s">
        <v>62</v>
      </c>
      <c r="Q373" s="66" t="s">
        <v>5002</v>
      </c>
      <c r="R373" s="67" cm="1">
        <f t="array" aca="1" ref="R373" ca="1">_xlfn.CHOOSECOLS(_xlfn.CHOOSEROWS(_xlfn._xlws.FILTER(표2[],표2[DWG No.]=C373,""),1),6)</f>
        <v>42816</v>
      </c>
      <c r="S373" s="67" cm="1">
        <f t="array" aca="1" ref="S373" ca="1">_xlfn.CHOOSECOLS(_xlfn.CHOOSEROWS(_xlfn._xlws.FILTER(표2[],(표2[DWG No.]=C373)*(ISNUMBER(표2[Rev.])),""),1),6)</f>
        <v>42933</v>
      </c>
    </row>
    <row r="374" spans="1:19" ht="18" customHeight="1" x14ac:dyDescent="0.45">
      <c r="A374" s="64">
        <v>369</v>
      </c>
      <c r="B374" s="49" t="s">
        <v>57</v>
      </c>
      <c r="C374" s="65" t="s">
        <v>1492</v>
      </c>
      <c r="D374" s="66" t="s">
        <v>1493</v>
      </c>
      <c r="E374" s="65" t="s">
        <v>1494</v>
      </c>
      <c r="F374" s="66" t="s">
        <v>5</v>
      </c>
      <c r="G374" s="67">
        <v>42811</v>
      </c>
      <c r="H374" s="67">
        <v>42947</v>
      </c>
      <c r="I374" s="67">
        <v>42933</v>
      </c>
      <c r="J374" s="66" t="s">
        <v>1482</v>
      </c>
      <c r="K374" s="66" t="s">
        <v>7</v>
      </c>
      <c r="L374" s="66" t="s">
        <v>62</v>
      </c>
      <c r="M374" s="67" t="s">
        <v>262</v>
      </c>
      <c r="N374" s="66" t="s">
        <v>81</v>
      </c>
      <c r="O374" s="66" t="s">
        <v>7</v>
      </c>
      <c r="P374" s="66" t="s">
        <v>62</v>
      </c>
      <c r="Q374" s="66" t="s">
        <v>5002</v>
      </c>
      <c r="R374" s="67" cm="1">
        <f t="array" aca="1" ref="R374" ca="1">_xlfn.CHOOSECOLS(_xlfn.CHOOSEROWS(_xlfn._xlws.FILTER(표2[],표2[DWG No.]=C374,""),1),6)</f>
        <v>42816</v>
      </c>
      <c r="S374" s="67" cm="1">
        <f t="array" aca="1" ref="S374" ca="1">_xlfn.CHOOSECOLS(_xlfn.CHOOSEROWS(_xlfn._xlws.FILTER(표2[],(표2[DWG No.]=C374)*(ISNUMBER(표2[Rev.])),""),1),6)</f>
        <v>42933</v>
      </c>
    </row>
    <row r="375" spans="1:19" ht="18" customHeight="1" x14ac:dyDescent="0.45">
      <c r="A375" s="64">
        <v>370</v>
      </c>
      <c r="B375" s="49" t="s">
        <v>57</v>
      </c>
      <c r="C375" s="65" t="s">
        <v>1495</v>
      </c>
      <c r="D375" s="66" t="s">
        <v>1496</v>
      </c>
      <c r="E375" s="65" t="s">
        <v>1497</v>
      </c>
      <c r="F375" s="66" t="s">
        <v>6</v>
      </c>
      <c r="G375" s="67">
        <v>42797</v>
      </c>
      <c r="H375" s="67">
        <v>42886</v>
      </c>
      <c r="I375" s="67">
        <v>42891</v>
      </c>
      <c r="J375" s="66" t="s">
        <v>1498</v>
      </c>
      <c r="K375" s="66" t="s">
        <v>7</v>
      </c>
      <c r="L375" s="66" t="s">
        <v>62</v>
      </c>
      <c r="M375" s="67" t="s">
        <v>1499</v>
      </c>
      <c r="N375" s="66" t="s">
        <v>1500</v>
      </c>
      <c r="O375" s="66" t="s">
        <v>7</v>
      </c>
      <c r="P375" s="66" t="s">
        <v>62</v>
      </c>
      <c r="Q375" s="66" t="s">
        <v>5002</v>
      </c>
      <c r="R375" s="67" cm="1">
        <f t="array" aca="1" ref="R375" ca="1">_xlfn.CHOOSECOLS(_xlfn.CHOOSEROWS(_xlfn._xlws.FILTER(표2[],표2[DWG No.]=C375,""),1),6)</f>
        <v>42816</v>
      </c>
      <c r="S375" s="67" cm="1">
        <f t="array" aca="1" ref="S375" ca="1">_xlfn.CHOOSECOLS(_xlfn.CHOOSEROWS(_xlfn._xlws.FILTER(표2[],(표2[DWG No.]=C375)*(ISNUMBER(표2[Rev.])),""),1),6)</f>
        <v>42891</v>
      </c>
    </row>
    <row r="376" spans="1:19" ht="18" customHeight="1" x14ac:dyDescent="0.45">
      <c r="A376" s="64">
        <v>371</v>
      </c>
      <c r="B376" s="49" t="s">
        <v>57</v>
      </c>
      <c r="C376" s="65" t="s">
        <v>1501</v>
      </c>
      <c r="D376" s="66" t="s">
        <v>1502</v>
      </c>
      <c r="E376" s="65" t="s">
        <v>1503</v>
      </c>
      <c r="F376" s="66" t="s">
        <v>6</v>
      </c>
      <c r="G376" s="67">
        <v>42797</v>
      </c>
      <c r="H376" s="67">
        <v>42886</v>
      </c>
      <c r="I376" s="67">
        <v>42891</v>
      </c>
      <c r="J376" s="66" t="s">
        <v>1498</v>
      </c>
      <c r="K376" s="66" t="s">
        <v>7</v>
      </c>
      <c r="L376" s="66" t="s">
        <v>62</v>
      </c>
      <c r="M376" s="67" t="s">
        <v>1499</v>
      </c>
      <c r="N376" s="66" t="s">
        <v>1504</v>
      </c>
      <c r="O376" s="66" t="s">
        <v>7</v>
      </c>
      <c r="P376" s="66" t="s">
        <v>62</v>
      </c>
      <c r="Q376" s="66" t="s">
        <v>5002</v>
      </c>
      <c r="R376" s="67" cm="1">
        <f t="array" aca="1" ref="R376" ca="1">_xlfn.CHOOSECOLS(_xlfn.CHOOSEROWS(_xlfn._xlws.FILTER(표2[],표2[DWG No.]=C376,""),1),6)</f>
        <v>42816</v>
      </c>
      <c r="S376" s="67" cm="1">
        <f t="array" aca="1" ref="S376" ca="1">_xlfn.CHOOSECOLS(_xlfn.CHOOSEROWS(_xlfn._xlws.FILTER(표2[],(표2[DWG No.]=C376)*(ISNUMBER(표2[Rev.])),""),1),6)</f>
        <v>42891</v>
      </c>
    </row>
    <row r="377" spans="1:19" ht="18" customHeight="1" x14ac:dyDescent="0.45">
      <c r="A377" s="64">
        <v>372</v>
      </c>
      <c r="B377" s="49" t="s">
        <v>57</v>
      </c>
      <c r="C377" s="65" t="s">
        <v>1505</v>
      </c>
      <c r="D377" s="66" t="s">
        <v>1506</v>
      </c>
      <c r="E377" s="65" t="s">
        <v>1507</v>
      </c>
      <c r="F377" s="66" t="s">
        <v>6</v>
      </c>
      <c r="G377" s="67">
        <v>42797</v>
      </c>
      <c r="H377" s="67">
        <v>42886</v>
      </c>
      <c r="I377" s="67">
        <v>42891</v>
      </c>
      <c r="J377" s="66" t="s">
        <v>1498</v>
      </c>
      <c r="K377" s="66" t="s">
        <v>7</v>
      </c>
      <c r="L377" s="66" t="s">
        <v>62</v>
      </c>
      <c r="M377" s="67" t="s">
        <v>1499</v>
      </c>
      <c r="N377" s="66" t="s">
        <v>1508</v>
      </c>
      <c r="O377" s="66" t="s">
        <v>7</v>
      </c>
      <c r="P377" s="66" t="s">
        <v>62</v>
      </c>
      <c r="Q377" s="66" t="s">
        <v>5002</v>
      </c>
      <c r="R377" s="67" cm="1">
        <f t="array" aca="1" ref="R377" ca="1">_xlfn.CHOOSECOLS(_xlfn.CHOOSEROWS(_xlfn._xlws.FILTER(표2[],표2[DWG No.]=C377,""),1),6)</f>
        <v>42816</v>
      </c>
      <c r="S377" s="67" cm="1">
        <f t="array" aca="1" ref="S377" ca="1">_xlfn.CHOOSECOLS(_xlfn.CHOOSEROWS(_xlfn._xlws.FILTER(표2[],(표2[DWG No.]=C377)*(ISNUMBER(표2[Rev.])),""),1),6)</f>
        <v>42891</v>
      </c>
    </row>
    <row r="378" spans="1:19" ht="18" customHeight="1" x14ac:dyDescent="0.45">
      <c r="A378" s="64">
        <v>373</v>
      </c>
      <c r="B378" s="49" t="s">
        <v>57</v>
      </c>
      <c r="C378" s="65" t="s">
        <v>1509</v>
      </c>
      <c r="D378" s="66" t="s">
        <v>1510</v>
      </c>
      <c r="E378" s="65" t="s">
        <v>1511</v>
      </c>
      <c r="F378" s="66" t="s">
        <v>6</v>
      </c>
      <c r="G378" s="67">
        <v>42797</v>
      </c>
      <c r="H378" s="67">
        <v>42886</v>
      </c>
      <c r="I378" s="67">
        <v>42891</v>
      </c>
      <c r="J378" s="66" t="s">
        <v>1498</v>
      </c>
      <c r="K378" s="66" t="s">
        <v>7</v>
      </c>
      <c r="L378" s="66" t="s">
        <v>62</v>
      </c>
      <c r="M378" s="67" t="s">
        <v>1499</v>
      </c>
      <c r="N378" s="66" t="s">
        <v>1512</v>
      </c>
      <c r="O378" s="66" t="s">
        <v>7</v>
      </c>
      <c r="P378" s="66" t="s">
        <v>62</v>
      </c>
      <c r="Q378" s="66" t="s">
        <v>5002</v>
      </c>
      <c r="R378" s="67" cm="1">
        <f t="array" aca="1" ref="R378" ca="1">_xlfn.CHOOSECOLS(_xlfn.CHOOSEROWS(_xlfn._xlws.FILTER(표2[],표2[DWG No.]=C378,""),1),6)</f>
        <v>42816</v>
      </c>
      <c r="S378" s="67" cm="1">
        <f t="array" aca="1" ref="S378" ca="1">_xlfn.CHOOSECOLS(_xlfn.CHOOSEROWS(_xlfn._xlws.FILTER(표2[],(표2[DWG No.]=C378)*(ISNUMBER(표2[Rev.])),""),1),6)</f>
        <v>42891</v>
      </c>
    </row>
    <row r="379" spans="1:19" ht="18" customHeight="1" x14ac:dyDescent="0.45">
      <c r="A379" s="64">
        <v>374</v>
      </c>
      <c r="B379" s="49" t="s">
        <v>57</v>
      </c>
      <c r="C379" s="65" t="s">
        <v>1513</v>
      </c>
      <c r="D379" s="66" t="s">
        <v>1514</v>
      </c>
      <c r="E379" s="65" t="s">
        <v>1515</v>
      </c>
      <c r="F379" s="66" t="s">
        <v>6</v>
      </c>
      <c r="G379" s="67">
        <v>42797</v>
      </c>
      <c r="H379" s="67">
        <v>42886</v>
      </c>
      <c r="I379" s="67">
        <v>42891</v>
      </c>
      <c r="J379" s="66" t="s">
        <v>1498</v>
      </c>
      <c r="K379" s="66" t="s">
        <v>7</v>
      </c>
      <c r="L379" s="66" t="s">
        <v>62</v>
      </c>
      <c r="M379" s="67" t="s">
        <v>1499</v>
      </c>
      <c r="N379" s="66" t="s">
        <v>1516</v>
      </c>
      <c r="O379" s="66" t="s">
        <v>7</v>
      </c>
      <c r="P379" s="66" t="s">
        <v>62</v>
      </c>
      <c r="Q379" s="66" t="s">
        <v>5002</v>
      </c>
      <c r="R379" s="67" cm="1">
        <f t="array" aca="1" ref="R379" ca="1">_xlfn.CHOOSECOLS(_xlfn.CHOOSEROWS(_xlfn._xlws.FILTER(표2[],표2[DWG No.]=C379,""),1),6)</f>
        <v>42816</v>
      </c>
      <c r="S379" s="67" cm="1">
        <f t="array" aca="1" ref="S379" ca="1">_xlfn.CHOOSECOLS(_xlfn.CHOOSEROWS(_xlfn._xlws.FILTER(표2[],(표2[DWG No.]=C379)*(ISNUMBER(표2[Rev.])),""),1),6)</f>
        <v>42891</v>
      </c>
    </row>
    <row r="380" spans="1:19" ht="18" customHeight="1" x14ac:dyDescent="0.45">
      <c r="A380" s="64">
        <v>375</v>
      </c>
      <c r="B380" s="49" t="s">
        <v>57</v>
      </c>
      <c r="C380" s="65" t="s">
        <v>1517</v>
      </c>
      <c r="D380" s="66" t="s">
        <v>1518</v>
      </c>
      <c r="E380" s="65" t="s">
        <v>1519</v>
      </c>
      <c r="F380" s="66" t="s">
        <v>6</v>
      </c>
      <c r="G380" s="67">
        <v>42797</v>
      </c>
      <c r="H380" s="67">
        <v>42886</v>
      </c>
      <c r="I380" s="67">
        <v>42891</v>
      </c>
      <c r="J380" s="66" t="s">
        <v>1498</v>
      </c>
      <c r="K380" s="66" t="s">
        <v>7</v>
      </c>
      <c r="L380" s="66" t="s">
        <v>62</v>
      </c>
      <c r="M380" s="67" t="s">
        <v>1499</v>
      </c>
      <c r="N380" s="66" t="s">
        <v>1520</v>
      </c>
      <c r="O380" s="66" t="s">
        <v>7</v>
      </c>
      <c r="P380" s="66" t="s">
        <v>62</v>
      </c>
      <c r="Q380" s="66" t="s">
        <v>5002</v>
      </c>
      <c r="R380" s="67" cm="1">
        <f t="array" aca="1" ref="R380" ca="1">_xlfn.CHOOSECOLS(_xlfn.CHOOSEROWS(_xlfn._xlws.FILTER(표2[],표2[DWG No.]=C380,""),1),6)</f>
        <v>42816</v>
      </c>
      <c r="S380" s="67" cm="1">
        <f t="array" aca="1" ref="S380" ca="1">_xlfn.CHOOSECOLS(_xlfn.CHOOSEROWS(_xlfn._xlws.FILTER(표2[],(표2[DWG No.]=C380)*(ISNUMBER(표2[Rev.])),""),1),6)</f>
        <v>42891</v>
      </c>
    </row>
    <row r="381" spans="1:19" ht="18" customHeight="1" x14ac:dyDescent="0.45">
      <c r="A381" s="64">
        <v>376</v>
      </c>
      <c r="B381" s="49" t="s">
        <v>57</v>
      </c>
      <c r="C381" s="65" t="s">
        <v>1521</v>
      </c>
      <c r="D381" s="66" t="s">
        <v>1522</v>
      </c>
      <c r="E381" s="65" t="s">
        <v>1523</v>
      </c>
      <c r="F381" s="66" t="s">
        <v>6</v>
      </c>
      <c r="G381" s="67">
        <v>42797</v>
      </c>
      <c r="H381" s="67">
        <v>42886</v>
      </c>
      <c r="I381" s="67">
        <v>42891</v>
      </c>
      <c r="J381" s="66" t="s">
        <v>1498</v>
      </c>
      <c r="K381" s="66" t="s">
        <v>7</v>
      </c>
      <c r="L381" s="66" t="s">
        <v>62</v>
      </c>
      <c r="M381" s="67" t="s">
        <v>1499</v>
      </c>
      <c r="N381" s="66" t="s">
        <v>1524</v>
      </c>
      <c r="O381" s="66" t="s">
        <v>7</v>
      </c>
      <c r="P381" s="66" t="s">
        <v>62</v>
      </c>
      <c r="Q381" s="66" t="s">
        <v>5002</v>
      </c>
      <c r="R381" s="67" cm="1">
        <f t="array" aca="1" ref="R381" ca="1">_xlfn.CHOOSECOLS(_xlfn.CHOOSEROWS(_xlfn._xlws.FILTER(표2[],표2[DWG No.]=C381,""),1),6)</f>
        <v>42816</v>
      </c>
      <c r="S381" s="67" cm="1">
        <f t="array" aca="1" ref="S381" ca="1">_xlfn.CHOOSECOLS(_xlfn.CHOOSEROWS(_xlfn._xlws.FILTER(표2[],(표2[DWG No.]=C381)*(ISNUMBER(표2[Rev.])),""),1),6)</f>
        <v>42891</v>
      </c>
    </row>
    <row r="382" spans="1:19" ht="18" customHeight="1" x14ac:dyDescent="0.45">
      <c r="A382" s="64">
        <v>377</v>
      </c>
      <c r="B382" s="49" t="s">
        <v>57</v>
      </c>
      <c r="C382" s="65" t="s">
        <v>1525</v>
      </c>
      <c r="D382" s="66" t="s">
        <v>1526</v>
      </c>
      <c r="E382" s="65" t="s">
        <v>1527</v>
      </c>
      <c r="F382" s="66" t="s">
        <v>6</v>
      </c>
      <c r="G382" s="67">
        <v>42797</v>
      </c>
      <c r="H382" s="67">
        <v>42886</v>
      </c>
      <c r="I382" s="67">
        <v>42891</v>
      </c>
      <c r="J382" s="66" t="s">
        <v>1498</v>
      </c>
      <c r="K382" s="66" t="s">
        <v>7</v>
      </c>
      <c r="L382" s="66" t="s">
        <v>62</v>
      </c>
      <c r="M382" s="67" t="s">
        <v>1499</v>
      </c>
      <c r="N382" s="66" t="s">
        <v>1528</v>
      </c>
      <c r="O382" s="66" t="s">
        <v>7</v>
      </c>
      <c r="P382" s="66" t="s">
        <v>62</v>
      </c>
      <c r="Q382" s="66" t="s">
        <v>5002</v>
      </c>
      <c r="R382" s="67" cm="1">
        <f t="array" aca="1" ref="R382" ca="1">_xlfn.CHOOSECOLS(_xlfn.CHOOSEROWS(_xlfn._xlws.FILTER(표2[],표2[DWG No.]=C382,""),1),6)</f>
        <v>42816</v>
      </c>
      <c r="S382" s="67" cm="1">
        <f t="array" aca="1" ref="S382" ca="1">_xlfn.CHOOSECOLS(_xlfn.CHOOSEROWS(_xlfn._xlws.FILTER(표2[],(표2[DWG No.]=C382)*(ISNUMBER(표2[Rev.])),""),1),6)</f>
        <v>42891</v>
      </c>
    </row>
    <row r="383" spans="1:19" ht="18" customHeight="1" x14ac:dyDescent="0.45">
      <c r="A383" s="64">
        <v>378</v>
      </c>
      <c r="B383" s="49" t="s">
        <v>57</v>
      </c>
      <c r="C383" s="65" t="s">
        <v>1529</v>
      </c>
      <c r="D383" s="66" t="s">
        <v>1530</v>
      </c>
      <c r="E383" s="65" t="s">
        <v>1531</v>
      </c>
      <c r="F383" s="66" t="s">
        <v>6</v>
      </c>
      <c r="G383" s="67">
        <v>42797</v>
      </c>
      <c r="H383" s="67">
        <v>42886</v>
      </c>
      <c r="I383" s="67">
        <v>42891</v>
      </c>
      <c r="J383" s="66" t="s">
        <v>1498</v>
      </c>
      <c r="K383" s="66" t="s">
        <v>7</v>
      </c>
      <c r="L383" s="66" t="s">
        <v>62</v>
      </c>
      <c r="M383" s="67" t="s">
        <v>1499</v>
      </c>
      <c r="N383" s="66" t="s">
        <v>1532</v>
      </c>
      <c r="O383" s="66" t="s">
        <v>7</v>
      </c>
      <c r="P383" s="66" t="s">
        <v>62</v>
      </c>
      <c r="Q383" s="66" t="s">
        <v>5002</v>
      </c>
      <c r="R383" s="67" cm="1">
        <f t="array" aca="1" ref="R383" ca="1">_xlfn.CHOOSECOLS(_xlfn.CHOOSEROWS(_xlfn._xlws.FILTER(표2[],표2[DWG No.]=C383,""),1),6)</f>
        <v>42816</v>
      </c>
      <c r="S383" s="67" cm="1">
        <f t="array" aca="1" ref="S383" ca="1">_xlfn.CHOOSECOLS(_xlfn.CHOOSEROWS(_xlfn._xlws.FILTER(표2[],(표2[DWG No.]=C383)*(ISNUMBER(표2[Rev.])),""),1),6)</f>
        <v>42891</v>
      </c>
    </row>
    <row r="384" spans="1:19" ht="18" customHeight="1" x14ac:dyDescent="0.45">
      <c r="A384" s="64">
        <v>379</v>
      </c>
      <c r="B384" s="49" t="s">
        <v>57</v>
      </c>
      <c r="C384" s="65" t="s">
        <v>5014</v>
      </c>
      <c r="D384" s="66" t="s">
        <v>1533</v>
      </c>
      <c r="E384" s="65" t="s">
        <v>1534</v>
      </c>
      <c r="F384" s="66" t="s">
        <v>6</v>
      </c>
      <c r="G384" s="67">
        <v>42937</v>
      </c>
      <c r="H384" s="67">
        <v>43008</v>
      </c>
      <c r="I384" s="67">
        <v>42984</v>
      </c>
      <c r="J384" s="66" t="s">
        <v>1535</v>
      </c>
      <c r="K384" s="66" t="s">
        <v>7</v>
      </c>
      <c r="L384" s="66" t="s">
        <v>62</v>
      </c>
      <c r="M384" s="67">
        <v>42990</v>
      </c>
      <c r="N384" s="66" t="s">
        <v>5015</v>
      </c>
      <c r="O384" s="66" t="s">
        <v>4991</v>
      </c>
      <c r="P384" s="66">
        <v>0</v>
      </c>
      <c r="Q384" s="66" t="s">
        <v>5002</v>
      </c>
      <c r="R384" s="67" cm="1">
        <f t="array" aca="1" ref="R384" ca="1">_xlfn.CHOOSECOLS(_xlfn.CHOOSEROWS(_xlfn._xlws.FILTER(표2[],표2[DWG No.]=C384,""),1),6)</f>
        <v>42933</v>
      </c>
      <c r="S384" s="67" cm="1">
        <f t="array" aca="1" ref="S384" ca="1">_xlfn.CHOOSECOLS(_xlfn.CHOOSEROWS(_xlfn._xlws.FILTER(표2[],(표2[DWG No.]=C384)*(ISNUMBER(표2[Rev.])),""),1),6)</f>
        <v>42984</v>
      </c>
    </row>
    <row r="385" spans="1:19" ht="18" customHeight="1" x14ac:dyDescent="0.45">
      <c r="A385" s="64">
        <v>380</v>
      </c>
      <c r="B385" s="49" t="s">
        <v>57</v>
      </c>
      <c r="C385" s="65" t="s">
        <v>1536</v>
      </c>
      <c r="D385" s="66" t="s">
        <v>1537</v>
      </c>
      <c r="E385" s="65" t="s">
        <v>1538</v>
      </c>
      <c r="F385" s="66" t="s">
        <v>6</v>
      </c>
      <c r="G385" s="67">
        <v>42935</v>
      </c>
      <c r="H385" s="67">
        <v>43039</v>
      </c>
      <c r="I385" s="67">
        <v>43851</v>
      </c>
      <c r="J385" s="66" t="s">
        <v>2808</v>
      </c>
      <c r="K385" s="66" t="s">
        <v>7</v>
      </c>
      <c r="L385" s="66" t="s">
        <v>230</v>
      </c>
      <c r="M385" s="67" t="s">
        <v>2855</v>
      </c>
      <c r="N385" s="66" t="s">
        <v>2856</v>
      </c>
      <c r="O385" s="66" t="s">
        <v>7</v>
      </c>
      <c r="P385" s="66" t="s">
        <v>230</v>
      </c>
      <c r="Q385" s="66" t="s">
        <v>65</v>
      </c>
      <c r="R385" s="67" cm="1">
        <f t="array" aca="1" ref="R385" ca="1">_xlfn.CHOOSECOLS(_xlfn.CHOOSEROWS(_xlfn._xlws.FILTER(표2[],표2[DWG No.]=C385,""),1),6)</f>
        <v>42937</v>
      </c>
      <c r="S385" s="67" cm="1">
        <f t="array" aca="1" ref="S385" ca="1">_xlfn.CHOOSECOLS(_xlfn.CHOOSEROWS(_xlfn._xlws.FILTER(표2[],(표2[DWG No.]=C385)*(ISNUMBER(표2[Rev.])),""),1),6)</f>
        <v>43066</v>
      </c>
    </row>
    <row r="386" spans="1:19" ht="18" customHeight="1" x14ac:dyDescent="0.45">
      <c r="A386" s="64">
        <v>381</v>
      </c>
      <c r="B386" s="49" t="s">
        <v>57</v>
      </c>
      <c r="C386" s="65" t="s">
        <v>1539</v>
      </c>
      <c r="D386" s="66" t="s">
        <v>1540</v>
      </c>
      <c r="E386" s="65" t="s">
        <v>1541</v>
      </c>
      <c r="F386" s="66" t="s">
        <v>6</v>
      </c>
      <c r="G386" s="67">
        <v>42947</v>
      </c>
      <c r="H386" s="67">
        <v>43039</v>
      </c>
      <c r="I386" s="67">
        <v>43851</v>
      </c>
      <c r="J386" s="66" t="s">
        <v>2808</v>
      </c>
      <c r="K386" s="66" t="s">
        <v>7</v>
      </c>
      <c r="L386" s="66" t="s">
        <v>89</v>
      </c>
      <c r="M386" s="67" t="s">
        <v>2855</v>
      </c>
      <c r="N386" s="66" t="s">
        <v>2857</v>
      </c>
      <c r="O386" s="66" t="s">
        <v>7</v>
      </c>
      <c r="P386" s="66" t="s">
        <v>89</v>
      </c>
      <c r="Q386" s="66" t="s">
        <v>65</v>
      </c>
      <c r="R386" s="67" cm="1">
        <f t="array" aca="1" ref="R386" ca="1">_xlfn.CHOOSECOLS(_xlfn.CHOOSEROWS(_xlfn._xlws.FILTER(표2[],표2[DWG No.]=C386,""),1),6)</f>
        <v>42977</v>
      </c>
      <c r="S386" s="67" cm="1">
        <f t="array" aca="1" ref="S386" ca="1">_xlfn.CHOOSECOLS(_xlfn.CHOOSEROWS(_xlfn._xlws.FILTER(표2[],(표2[DWG No.]=C386)*(ISNUMBER(표2[Rev.])),""),1),6)</f>
        <v>43066</v>
      </c>
    </row>
    <row r="387" spans="1:19" ht="18" customHeight="1" x14ac:dyDescent="0.45">
      <c r="A387" s="64">
        <v>382</v>
      </c>
      <c r="B387" s="49" t="s">
        <v>57</v>
      </c>
      <c r="C387" s="65" t="s">
        <v>1542</v>
      </c>
      <c r="D387" s="66" t="s">
        <v>1543</v>
      </c>
      <c r="E387" s="65" t="s">
        <v>1544</v>
      </c>
      <c r="F387" s="66" t="s">
        <v>6</v>
      </c>
      <c r="G387" s="67">
        <v>42947</v>
      </c>
      <c r="H387" s="67">
        <v>43039</v>
      </c>
      <c r="I387" s="67">
        <v>43210</v>
      </c>
      <c r="J387" s="66" t="s">
        <v>1545</v>
      </c>
      <c r="K387" s="66" t="s">
        <v>7</v>
      </c>
      <c r="L387" s="66" t="s">
        <v>89</v>
      </c>
      <c r="M387" s="67" t="s">
        <v>2491</v>
      </c>
      <c r="N387" s="66" t="s">
        <v>2556</v>
      </c>
      <c r="O387" s="66" t="s">
        <v>7</v>
      </c>
      <c r="P387" s="66" t="s">
        <v>89</v>
      </c>
      <c r="Q387" s="66" t="s">
        <v>5002</v>
      </c>
      <c r="R387" s="67" cm="1">
        <f t="array" aca="1" ref="R387" ca="1">_xlfn.CHOOSECOLS(_xlfn.CHOOSEROWS(_xlfn._xlws.FILTER(표2[],표2[DWG No.]=C387,""),1),6)</f>
        <v>42977</v>
      </c>
      <c r="S387" s="67" cm="1">
        <f t="array" aca="1" ref="S387" ca="1">_xlfn.CHOOSECOLS(_xlfn.CHOOSEROWS(_xlfn._xlws.FILTER(표2[],(표2[DWG No.]=C387)*(ISNUMBER(표2[Rev.])),""),1),6)</f>
        <v>43066</v>
      </c>
    </row>
    <row r="388" spans="1:19" ht="18" customHeight="1" x14ac:dyDescent="0.45">
      <c r="A388" s="64">
        <v>383</v>
      </c>
      <c r="B388" s="49" t="s">
        <v>57</v>
      </c>
      <c r="C388" s="65" t="s">
        <v>1546</v>
      </c>
      <c r="D388" s="66" t="s">
        <v>1547</v>
      </c>
      <c r="E388" s="65" t="s">
        <v>1548</v>
      </c>
      <c r="F388" s="66" t="s">
        <v>6</v>
      </c>
      <c r="G388" s="67">
        <v>42947</v>
      </c>
      <c r="H388" s="67">
        <v>43039</v>
      </c>
      <c r="I388" s="67">
        <v>43192</v>
      </c>
      <c r="J388" s="66" t="s">
        <v>1549</v>
      </c>
      <c r="K388" s="66" t="s">
        <v>7</v>
      </c>
      <c r="L388" s="66" t="s">
        <v>89</v>
      </c>
      <c r="M388" s="67" t="s">
        <v>165</v>
      </c>
      <c r="N388" s="66" t="s">
        <v>1550</v>
      </c>
      <c r="O388" s="66" t="s">
        <v>7</v>
      </c>
      <c r="P388" s="66" t="s">
        <v>89</v>
      </c>
      <c r="Q388" s="66" t="s">
        <v>5002</v>
      </c>
      <c r="R388" s="67" cm="1">
        <f t="array" aca="1" ref="R388" ca="1">_xlfn.CHOOSECOLS(_xlfn.CHOOSEROWS(_xlfn._xlws.FILTER(표2[],표2[DWG No.]=C388,""),1),6)</f>
        <v>43038</v>
      </c>
      <c r="S388" s="67" cm="1">
        <f t="array" aca="1" ref="S388" ca="1">_xlfn.CHOOSECOLS(_xlfn.CHOOSEROWS(_xlfn._xlws.FILTER(표2[],(표2[DWG No.]=C388)*(ISNUMBER(표2[Rev.])),""),1),6)</f>
        <v>43069</v>
      </c>
    </row>
    <row r="389" spans="1:19" ht="18" customHeight="1" x14ac:dyDescent="0.45">
      <c r="A389" s="64">
        <v>384</v>
      </c>
      <c r="B389" s="49" t="s">
        <v>57</v>
      </c>
      <c r="C389" s="65" t="s">
        <v>1551</v>
      </c>
      <c r="D389" s="66" t="s">
        <v>1552</v>
      </c>
      <c r="E389" s="65" t="s">
        <v>1553</v>
      </c>
      <c r="F389" s="66" t="s">
        <v>6</v>
      </c>
      <c r="G389" s="67">
        <v>42937</v>
      </c>
      <c r="H389" s="67">
        <v>43039</v>
      </c>
      <c r="I389" s="67">
        <v>43180</v>
      </c>
      <c r="J389" s="66" t="s">
        <v>1554</v>
      </c>
      <c r="K389" s="66" t="s">
        <v>7</v>
      </c>
      <c r="L389" s="66" t="s">
        <v>89</v>
      </c>
      <c r="M389" s="67" t="s">
        <v>241</v>
      </c>
      <c r="N389" s="66" t="s">
        <v>1555</v>
      </c>
      <c r="O389" s="66" t="s">
        <v>7</v>
      </c>
      <c r="P389" s="66" t="s">
        <v>89</v>
      </c>
      <c r="Q389" s="66" t="s">
        <v>5002</v>
      </c>
      <c r="R389" s="67" cm="1">
        <f t="array" aca="1" ref="R389" ca="1">_xlfn.CHOOSECOLS(_xlfn.CHOOSEROWS(_xlfn._xlws.FILTER(표2[],표2[DWG No.]=C389,""),1),6)</f>
        <v>42948</v>
      </c>
      <c r="S389" s="67" cm="1">
        <f t="array" aca="1" ref="S389" ca="1">_xlfn.CHOOSECOLS(_xlfn.CHOOSEROWS(_xlfn._xlws.FILTER(표2[],(표2[DWG No.]=C389)*(ISNUMBER(표2[Rev.])),""),1),6)</f>
        <v>43040</v>
      </c>
    </row>
    <row r="390" spans="1:19" ht="18" customHeight="1" x14ac:dyDescent="0.45">
      <c r="A390" s="64">
        <v>385</v>
      </c>
      <c r="B390" s="49" t="s">
        <v>57</v>
      </c>
      <c r="C390" s="65" t="s">
        <v>1556</v>
      </c>
      <c r="D390" s="66" t="s">
        <v>1557</v>
      </c>
      <c r="E390" s="65" t="s">
        <v>1558</v>
      </c>
      <c r="F390" s="66" t="s">
        <v>6</v>
      </c>
      <c r="G390" s="67">
        <v>42935</v>
      </c>
      <c r="H390" s="67">
        <v>43039</v>
      </c>
      <c r="I390" s="67">
        <v>42992</v>
      </c>
      <c r="J390" s="66" t="s">
        <v>1559</v>
      </c>
      <c r="K390" s="66" t="s">
        <v>7</v>
      </c>
      <c r="L390" s="66" t="s">
        <v>62</v>
      </c>
      <c r="M390" s="67" t="s">
        <v>408</v>
      </c>
      <c r="N390" s="66" t="s">
        <v>1560</v>
      </c>
      <c r="O390" s="66" t="s">
        <v>7</v>
      </c>
      <c r="P390" s="66" t="s">
        <v>62</v>
      </c>
      <c r="Q390" s="66" t="s">
        <v>5002</v>
      </c>
      <c r="R390" s="67" cm="1">
        <f t="array" aca="1" ref="R390" ca="1">_xlfn.CHOOSECOLS(_xlfn.CHOOSEROWS(_xlfn._xlws.FILTER(표2[],표2[DWG No.]=C390,""),1),6)</f>
        <v>42937</v>
      </c>
      <c r="S390" s="67" cm="1">
        <f t="array" aca="1" ref="S390" ca="1">_xlfn.CHOOSECOLS(_xlfn.CHOOSEROWS(_xlfn._xlws.FILTER(표2[],(표2[DWG No.]=C390)*(ISNUMBER(표2[Rev.])),""),1),6)</f>
        <v>42992</v>
      </c>
    </row>
    <row r="391" spans="1:19" ht="18" customHeight="1" x14ac:dyDescent="0.45">
      <c r="A391" s="64">
        <v>386</v>
      </c>
      <c r="B391" s="49" t="s">
        <v>57</v>
      </c>
      <c r="C391" s="65" t="s">
        <v>1561</v>
      </c>
      <c r="D391" s="66" t="s">
        <v>1562</v>
      </c>
      <c r="E391" s="65" t="s">
        <v>1563</v>
      </c>
      <c r="F391" s="66" t="s">
        <v>6</v>
      </c>
      <c r="G391" s="67">
        <v>42941</v>
      </c>
      <c r="H391" s="67">
        <v>43044</v>
      </c>
      <c r="I391" s="67">
        <v>43068</v>
      </c>
      <c r="J391" s="66" t="s">
        <v>1564</v>
      </c>
      <c r="K391" s="66" t="s">
        <v>7</v>
      </c>
      <c r="L391" s="66" t="s">
        <v>89</v>
      </c>
      <c r="M391" s="67" t="s">
        <v>527</v>
      </c>
      <c r="N391" s="66" t="s">
        <v>1565</v>
      </c>
      <c r="O391" s="66" t="s">
        <v>7</v>
      </c>
      <c r="P391" s="66" t="s">
        <v>89</v>
      </c>
      <c r="Q391" s="66" t="s">
        <v>5002</v>
      </c>
      <c r="R391" s="67" cm="1">
        <f t="array" aca="1" ref="R391" ca="1">_xlfn.CHOOSECOLS(_xlfn.CHOOSEROWS(_xlfn._xlws.FILTER(표2[],표2[DWG No.]=C391,""),1),6)</f>
        <v>42942</v>
      </c>
      <c r="S391" s="67" cm="1">
        <f t="array" aca="1" ref="S391" ca="1">_xlfn.CHOOSECOLS(_xlfn.CHOOSEROWS(_xlfn._xlws.FILTER(표2[],(표2[DWG No.]=C391)*(ISNUMBER(표2[Rev.])),""),1),6)</f>
        <v>43007</v>
      </c>
    </row>
    <row r="392" spans="1:19" ht="18" customHeight="1" x14ac:dyDescent="0.45">
      <c r="A392" s="64">
        <v>387</v>
      </c>
      <c r="B392" s="49" t="s">
        <v>57</v>
      </c>
      <c r="C392" s="65" t="s">
        <v>1566</v>
      </c>
      <c r="D392" s="66" t="s">
        <v>1567</v>
      </c>
      <c r="E392" s="65" t="s">
        <v>1568</v>
      </c>
      <c r="F392" s="66" t="s">
        <v>5</v>
      </c>
      <c r="G392" s="67">
        <v>42846</v>
      </c>
      <c r="H392" s="67">
        <v>42978</v>
      </c>
      <c r="I392" s="67">
        <v>43848</v>
      </c>
      <c r="J392" s="66" t="s">
        <v>2809</v>
      </c>
      <c r="K392" s="66" t="s">
        <v>7</v>
      </c>
      <c r="L392" s="66" t="s">
        <v>89</v>
      </c>
      <c r="M392" s="67" t="s">
        <v>2815</v>
      </c>
      <c r="N392" s="66" t="s">
        <v>2858</v>
      </c>
      <c r="O392" s="66" t="s">
        <v>7</v>
      </c>
      <c r="P392" s="66" t="s">
        <v>89</v>
      </c>
      <c r="Q392" s="66" t="s">
        <v>65</v>
      </c>
      <c r="R392" s="67" cm="1">
        <f t="array" aca="1" ref="R392" ca="1">_xlfn.CHOOSECOLS(_xlfn.CHOOSEROWS(_xlfn._xlws.FILTER(표2[],표2[DWG No.]=C392,""),1),6)</f>
        <v>42866</v>
      </c>
      <c r="S392" s="67" cm="1">
        <f t="array" aca="1" ref="S392" ca="1">_xlfn.CHOOSECOLS(_xlfn.CHOOSEROWS(_xlfn._xlws.FILTER(표2[],(표2[DWG No.]=C392)*(ISNUMBER(표2[Rev.])),""),1),6)</f>
        <v>42992</v>
      </c>
    </row>
    <row r="393" spans="1:19" ht="18" customHeight="1" x14ac:dyDescent="0.45">
      <c r="A393" s="64">
        <v>388</v>
      </c>
      <c r="B393" s="49" t="s">
        <v>57</v>
      </c>
      <c r="C393" s="65" t="s">
        <v>1569</v>
      </c>
      <c r="D393" s="66" t="s">
        <v>1570</v>
      </c>
      <c r="E393" s="65" t="s">
        <v>1571</v>
      </c>
      <c r="F393" s="66" t="s">
        <v>5</v>
      </c>
      <c r="G393" s="67">
        <v>42846</v>
      </c>
      <c r="H393" s="67">
        <v>42978</v>
      </c>
      <c r="I393" s="67">
        <v>43848</v>
      </c>
      <c r="J393" s="66" t="s">
        <v>2809</v>
      </c>
      <c r="K393" s="66" t="s">
        <v>7</v>
      </c>
      <c r="L393" s="66" t="s">
        <v>89</v>
      </c>
      <c r="M393" s="67" t="s">
        <v>2815</v>
      </c>
      <c r="N393" s="66" t="s">
        <v>2859</v>
      </c>
      <c r="O393" s="66" t="s">
        <v>7</v>
      </c>
      <c r="P393" s="66" t="s">
        <v>89</v>
      </c>
      <c r="Q393" s="66" t="s">
        <v>65</v>
      </c>
      <c r="R393" s="67" cm="1">
        <f t="array" aca="1" ref="R393" ca="1">_xlfn.CHOOSECOLS(_xlfn.CHOOSEROWS(_xlfn._xlws.FILTER(표2[],표2[DWG No.]=C393,""),1),6)</f>
        <v>42866</v>
      </c>
      <c r="S393" s="67" cm="1">
        <f t="array" aca="1" ref="S393" ca="1">_xlfn.CHOOSECOLS(_xlfn.CHOOSEROWS(_xlfn._xlws.FILTER(표2[],(표2[DWG No.]=C393)*(ISNUMBER(표2[Rev.])),""),1),6)</f>
        <v>42992</v>
      </c>
    </row>
    <row r="394" spans="1:19" ht="18" customHeight="1" x14ac:dyDescent="0.45">
      <c r="A394" s="64">
        <v>389</v>
      </c>
      <c r="B394" s="49" t="s">
        <v>57</v>
      </c>
      <c r="C394" s="65" t="s">
        <v>1572</v>
      </c>
      <c r="D394" s="66" t="s">
        <v>1573</v>
      </c>
      <c r="E394" s="65" t="s">
        <v>1574</v>
      </c>
      <c r="F394" s="66" t="s">
        <v>5</v>
      </c>
      <c r="G394" s="67">
        <v>42846</v>
      </c>
      <c r="H394" s="67">
        <v>42978</v>
      </c>
      <c r="I394" s="67">
        <v>43848</v>
      </c>
      <c r="J394" s="66" t="s">
        <v>2809</v>
      </c>
      <c r="K394" s="66" t="s">
        <v>7</v>
      </c>
      <c r="L394" s="66" t="s">
        <v>89</v>
      </c>
      <c r="M394" s="67" t="s">
        <v>2815</v>
      </c>
      <c r="N394" s="66" t="s">
        <v>2860</v>
      </c>
      <c r="O394" s="66" t="s">
        <v>7</v>
      </c>
      <c r="P394" s="66" t="s">
        <v>89</v>
      </c>
      <c r="Q394" s="66" t="s">
        <v>65</v>
      </c>
      <c r="R394" s="67" cm="1">
        <f t="array" aca="1" ref="R394" ca="1">_xlfn.CHOOSECOLS(_xlfn.CHOOSEROWS(_xlfn._xlws.FILTER(표2[],표2[DWG No.]=C394,""),1),6)</f>
        <v>42866</v>
      </c>
      <c r="S394" s="67" cm="1">
        <f t="array" aca="1" ref="S394" ca="1">_xlfn.CHOOSECOLS(_xlfn.CHOOSEROWS(_xlfn._xlws.FILTER(표2[],(표2[DWG No.]=C394)*(ISNUMBER(표2[Rev.])),""),1),6)</f>
        <v>42992</v>
      </c>
    </row>
    <row r="395" spans="1:19" ht="18" customHeight="1" x14ac:dyDescent="0.45">
      <c r="A395" s="64">
        <v>390</v>
      </c>
      <c r="B395" s="49" t="s">
        <v>57</v>
      </c>
      <c r="C395" s="65" t="s">
        <v>1575</v>
      </c>
      <c r="D395" s="66" t="s">
        <v>1576</v>
      </c>
      <c r="E395" s="65" t="s">
        <v>1577</v>
      </c>
      <c r="F395" s="66" t="s">
        <v>5</v>
      </c>
      <c r="G395" s="67">
        <v>42846</v>
      </c>
      <c r="H395" s="67">
        <v>42978</v>
      </c>
      <c r="I395" s="67">
        <v>43848</v>
      </c>
      <c r="J395" s="66" t="s">
        <v>2809</v>
      </c>
      <c r="K395" s="66" t="s">
        <v>7</v>
      </c>
      <c r="L395" s="66" t="s">
        <v>89</v>
      </c>
      <c r="M395" s="67" t="s">
        <v>2815</v>
      </c>
      <c r="N395" s="66" t="s">
        <v>2861</v>
      </c>
      <c r="O395" s="66" t="s">
        <v>7</v>
      </c>
      <c r="P395" s="66" t="s">
        <v>89</v>
      </c>
      <c r="Q395" s="66" t="s">
        <v>65</v>
      </c>
      <c r="R395" s="67" cm="1">
        <f t="array" aca="1" ref="R395" ca="1">_xlfn.CHOOSECOLS(_xlfn.CHOOSEROWS(_xlfn._xlws.FILTER(표2[],표2[DWG No.]=C395,""),1),6)</f>
        <v>42866</v>
      </c>
      <c r="S395" s="67" cm="1">
        <f t="array" aca="1" ref="S395" ca="1">_xlfn.CHOOSECOLS(_xlfn.CHOOSEROWS(_xlfn._xlws.FILTER(표2[],(표2[DWG No.]=C395)*(ISNUMBER(표2[Rev.])),""),1),6)</f>
        <v>42992</v>
      </c>
    </row>
    <row r="396" spans="1:19" ht="18" customHeight="1" x14ac:dyDescent="0.45">
      <c r="A396" s="64">
        <v>391</v>
      </c>
      <c r="B396" s="49" t="s">
        <v>57</v>
      </c>
      <c r="C396" s="65" t="s">
        <v>1578</v>
      </c>
      <c r="D396" s="66" t="s">
        <v>1579</v>
      </c>
      <c r="E396" s="65" t="s">
        <v>1580</v>
      </c>
      <c r="F396" s="66" t="s">
        <v>5</v>
      </c>
      <c r="G396" s="67">
        <v>42846</v>
      </c>
      <c r="H396" s="67">
        <v>42978</v>
      </c>
      <c r="I396" s="67">
        <v>43848</v>
      </c>
      <c r="J396" s="66" t="s">
        <v>2809</v>
      </c>
      <c r="K396" s="66" t="s">
        <v>7</v>
      </c>
      <c r="L396" s="66" t="s">
        <v>89</v>
      </c>
      <c r="M396" s="67" t="s">
        <v>2815</v>
      </c>
      <c r="N396" s="66" t="s">
        <v>2862</v>
      </c>
      <c r="O396" s="66" t="s">
        <v>7</v>
      </c>
      <c r="P396" s="66" t="s">
        <v>89</v>
      </c>
      <c r="Q396" s="66" t="s">
        <v>65</v>
      </c>
      <c r="R396" s="67" cm="1">
        <f t="array" aca="1" ref="R396" ca="1">_xlfn.CHOOSECOLS(_xlfn.CHOOSEROWS(_xlfn._xlws.FILTER(표2[],표2[DWG No.]=C396,""),1),6)</f>
        <v>42866</v>
      </c>
      <c r="S396" s="67" cm="1">
        <f t="array" aca="1" ref="S396" ca="1">_xlfn.CHOOSECOLS(_xlfn.CHOOSEROWS(_xlfn._xlws.FILTER(표2[],(표2[DWG No.]=C396)*(ISNUMBER(표2[Rev.])),""),1),6)</f>
        <v>42992</v>
      </c>
    </row>
    <row r="397" spans="1:19" ht="18" customHeight="1" x14ac:dyDescent="0.45">
      <c r="A397" s="64">
        <v>392</v>
      </c>
      <c r="B397" s="49" t="s">
        <v>57</v>
      </c>
      <c r="C397" s="65" t="s">
        <v>1581</v>
      </c>
      <c r="D397" s="66" t="s">
        <v>1582</v>
      </c>
      <c r="E397" s="65" t="s">
        <v>1583</v>
      </c>
      <c r="F397" s="66" t="s">
        <v>5</v>
      </c>
      <c r="G397" s="67">
        <v>42846</v>
      </c>
      <c r="H397" s="67">
        <v>42978</v>
      </c>
      <c r="I397" s="67">
        <v>43848</v>
      </c>
      <c r="J397" s="66" t="s">
        <v>2809</v>
      </c>
      <c r="K397" s="66" t="s">
        <v>7</v>
      </c>
      <c r="L397" s="66" t="s">
        <v>89</v>
      </c>
      <c r="M397" s="67" t="s">
        <v>2815</v>
      </c>
      <c r="N397" s="66" t="s">
        <v>2863</v>
      </c>
      <c r="O397" s="66" t="s">
        <v>7</v>
      </c>
      <c r="P397" s="66" t="s">
        <v>89</v>
      </c>
      <c r="Q397" s="66" t="s">
        <v>65</v>
      </c>
      <c r="R397" s="67" cm="1">
        <f t="array" aca="1" ref="R397" ca="1">_xlfn.CHOOSECOLS(_xlfn.CHOOSEROWS(_xlfn._xlws.FILTER(표2[],표2[DWG No.]=C397,""),1),6)</f>
        <v>42866</v>
      </c>
      <c r="S397" s="67" cm="1">
        <f t="array" aca="1" ref="S397" ca="1">_xlfn.CHOOSECOLS(_xlfn.CHOOSEROWS(_xlfn._xlws.FILTER(표2[],(표2[DWG No.]=C397)*(ISNUMBER(표2[Rev.])),""),1),6)</f>
        <v>42992</v>
      </c>
    </row>
    <row r="398" spans="1:19" ht="18" customHeight="1" x14ac:dyDescent="0.45">
      <c r="A398" s="64">
        <v>393</v>
      </c>
      <c r="B398" s="49" t="s">
        <v>57</v>
      </c>
      <c r="C398" s="65" t="s">
        <v>1584</v>
      </c>
      <c r="D398" s="66" t="s">
        <v>1585</v>
      </c>
      <c r="E398" s="65" t="s">
        <v>1586</v>
      </c>
      <c r="F398" s="66" t="s">
        <v>5</v>
      </c>
      <c r="G398" s="67">
        <v>42846</v>
      </c>
      <c r="H398" s="67">
        <v>42978</v>
      </c>
      <c r="I398" s="67">
        <v>43848</v>
      </c>
      <c r="J398" s="66" t="s">
        <v>2809</v>
      </c>
      <c r="K398" s="66" t="s">
        <v>7</v>
      </c>
      <c r="L398" s="66" t="s">
        <v>89</v>
      </c>
      <c r="M398" s="67" t="s">
        <v>2815</v>
      </c>
      <c r="N398" s="66" t="s">
        <v>2864</v>
      </c>
      <c r="O398" s="66" t="s">
        <v>7</v>
      </c>
      <c r="P398" s="66" t="s">
        <v>89</v>
      </c>
      <c r="Q398" s="66" t="s">
        <v>65</v>
      </c>
      <c r="R398" s="67" cm="1">
        <f t="array" aca="1" ref="R398" ca="1">_xlfn.CHOOSECOLS(_xlfn.CHOOSEROWS(_xlfn._xlws.FILTER(표2[],표2[DWG No.]=C398,""),1),6)</f>
        <v>42866</v>
      </c>
      <c r="S398" s="67" cm="1">
        <f t="array" aca="1" ref="S398" ca="1">_xlfn.CHOOSECOLS(_xlfn.CHOOSEROWS(_xlfn._xlws.FILTER(표2[],(표2[DWG No.]=C398)*(ISNUMBER(표2[Rev.])),""),1),6)</f>
        <v>42992</v>
      </c>
    </row>
    <row r="399" spans="1:19" ht="18" customHeight="1" x14ac:dyDescent="0.45">
      <c r="A399" s="64">
        <v>394</v>
      </c>
      <c r="B399" s="49" t="s">
        <v>57</v>
      </c>
      <c r="C399" s="65" t="s">
        <v>1587</v>
      </c>
      <c r="D399" s="66" t="s">
        <v>1588</v>
      </c>
      <c r="E399" s="65" t="s">
        <v>1589</v>
      </c>
      <c r="F399" s="66" t="s">
        <v>5</v>
      </c>
      <c r="G399" s="67">
        <v>42846</v>
      </c>
      <c r="H399" s="67">
        <v>42978</v>
      </c>
      <c r="I399" s="67">
        <v>43848</v>
      </c>
      <c r="J399" s="66" t="s">
        <v>2809</v>
      </c>
      <c r="K399" s="66" t="s">
        <v>7</v>
      </c>
      <c r="L399" s="66" t="s">
        <v>89</v>
      </c>
      <c r="M399" s="67" t="s">
        <v>2815</v>
      </c>
      <c r="N399" s="66" t="s">
        <v>2865</v>
      </c>
      <c r="O399" s="66" t="s">
        <v>7</v>
      </c>
      <c r="P399" s="66" t="s">
        <v>89</v>
      </c>
      <c r="Q399" s="66" t="s">
        <v>65</v>
      </c>
      <c r="R399" s="67" cm="1">
        <f t="array" aca="1" ref="R399" ca="1">_xlfn.CHOOSECOLS(_xlfn.CHOOSEROWS(_xlfn._xlws.FILTER(표2[],표2[DWG No.]=C399,""),1),6)</f>
        <v>42866</v>
      </c>
      <c r="S399" s="67" cm="1">
        <f t="array" aca="1" ref="S399" ca="1">_xlfn.CHOOSECOLS(_xlfn.CHOOSEROWS(_xlfn._xlws.FILTER(표2[],(표2[DWG No.]=C399)*(ISNUMBER(표2[Rev.])),""),1),6)</f>
        <v>42992</v>
      </c>
    </row>
    <row r="400" spans="1:19" ht="18" customHeight="1" x14ac:dyDescent="0.45">
      <c r="A400" s="64">
        <v>395</v>
      </c>
      <c r="B400" s="49" t="s">
        <v>57</v>
      </c>
      <c r="C400" s="65" t="s">
        <v>1590</v>
      </c>
      <c r="D400" s="66" t="s">
        <v>1591</v>
      </c>
      <c r="E400" s="65" t="s">
        <v>1592</v>
      </c>
      <c r="F400" s="66" t="s">
        <v>5</v>
      </c>
      <c r="G400" s="67">
        <v>42846</v>
      </c>
      <c r="H400" s="67">
        <v>42978</v>
      </c>
      <c r="I400" s="67">
        <v>43848</v>
      </c>
      <c r="J400" s="66" t="s">
        <v>2809</v>
      </c>
      <c r="K400" s="66" t="s">
        <v>7</v>
      </c>
      <c r="L400" s="66" t="s">
        <v>89</v>
      </c>
      <c r="M400" s="67" t="s">
        <v>2815</v>
      </c>
      <c r="N400" s="66" t="s">
        <v>2866</v>
      </c>
      <c r="O400" s="66" t="s">
        <v>7</v>
      </c>
      <c r="P400" s="66" t="s">
        <v>89</v>
      </c>
      <c r="Q400" s="66" t="s">
        <v>65</v>
      </c>
      <c r="R400" s="67" cm="1">
        <f t="array" aca="1" ref="R400" ca="1">_xlfn.CHOOSECOLS(_xlfn.CHOOSEROWS(_xlfn._xlws.FILTER(표2[],표2[DWG No.]=C400,""),1),6)</f>
        <v>42866</v>
      </c>
      <c r="S400" s="67" cm="1">
        <f t="array" aca="1" ref="S400" ca="1">_xlfn.CHOOSECOLS(_xlfn.CHOOSEROWS(_xlfn._xlws.FILTER(표2[],(표2[DWG No.]=C400)*(ISNUMBER(표2[Rev.])),""),1),6)</f>
        <v>42992</v>
      </c>
    </row>
    <row r="401" spans="1:19" ht="18" customHeight="1" x14ac:dyDescent="0.45">
      <c r="A401" s="64">
        <v>396</v>
      </c>
      <c r="B401" s="49" t="s">
        <v>57</v>
      </c>
      <c r="C401" s="65" t="s">
        <v>1593</v>
      </c>
      <c r="D401" s="66" t="s">
        <v>1594</v>
      </c>
      <c r="E401" s="65" t="s">
        <v>1595</v>
      </c>
      <c r="F401" s="66" t="s">
        <v>5</v>
      </c>
      <c r="G401" s="67">
        <v>42846</v>
      </c>
      <c r="H401" s="67">
        <v>42978</v>
      </c>
      <c r="I401" s="67">
        <v>43848</v>
      </c>
      <c r="J401" s="66" t="s">
        <v>2809</v>
      </c>
      <c r="K401" s="66" t="s">
        <v>7</v>
      </c>
      <c r="L401" s="66" t="s">
        <v>89</v>
      </c>
      <c r="M401" s="67" t="s">
        <v>2815</v>
      </c>
      <c r="N401" s="66" t="s">
        <v>2867</v>
      </c>
      <c r="O401" s="66" t="s">
        <v>7</v>
      </c>
      <c r="P401" s="66" t="s">
        <v>89</v>
      </c>
      <c r="Q401" s="66" t="s">
        <v>65</v>
      </c>
      <c r="R401" s="67" cm="1">
        <f t="array" aca="1" ref="R401" ca="1">_xlfn.CHOOSECOLS(_xlfn.CHOOSEROWS(_xlfn._xlws.FILTER(표2[],표2[DWG No.]=C401,""),1),6)</f>
        <v>42866</v>
      </c>
      <c r="S401" s="67" cm="1">
        <f t="array" aca="1" ref="S401" ca="1">_xlfn.CHOOSECOLS(_xlfn.CHOOSEROWS(_xlfn._xlws.FILTER(표2[],(표2[DWG No.]=C401)*(ISNUMBER(표2[Rev.])),""),1),6)</f>
        <v>42992</v>
      </c>
    </row>
    <row r="402" spans="1:19" ht="18" customHeight="1" x14ac:dyDescent="0.45">
      <c r="A402" s="64">
        <v>397</v>
      </c>
      <c r="B402" s="49" t="s">
        <v>57</v>
      </c>
      <c r="C402" s="65" t="s">
        <v>1596</v>
      </c>
      <c r="D402" s="66" t="s">
        <v>1597</v>
      </c>
      <c r="E402" s="65" t="s">
        <v>1598</v>
      </c>
      <c r="F402" s="66" t="s">
        <v>5</v>
      </c>
      <c r="G402" s="67">
        <v>42941</v>
      </c>
      <c r="H402" s="67">
        <v>43044</v>
      </c>
      <c r="I402" s="67">
        <v>43307</v>
      </c>
      <c r="J402" s="66" t="s">
        <v>2557</v>
      </c>
      <c r="K402" s="66" t="s">
        <v>7</v>
      </c>
      <c r="L402" s="66" t="s">
        <v>89</v>
      </c>
      <c r="M402" s="67" t="s">
        <v>2452</v>
      </c>
      <c r="N402" s="66" t="s">
        <v>2558</v>
      </c>
      <c r="O402" s="66" t="s">
        <v>7</v>
      </c>
      <c r="P402" s="66" t="s">
        <v>89</v>
      </c>
      <c r="Q402" s="66" t="s">
        <v>160</v>
      </c>
      <c r="R402" s="67" cm="1">
        <f t="array" aca="1" ref="R402" ca="1">_xlfn.CHOOSECOLS(_xlfn.CHOOSEROWS(_xlfn._xlws.FILTER(표2[],표2[DWG No.]=C402,""),1),6)</f>
        <v>42942</v>
      </c>
      <c r="S402" s="67" cm="1">
        <f t="array" aca="1" ref="S402" ca="1">_xlfn.CHOOSECOLS(_xlfn.CHOOSEROWS(_xlfn._xlws.FILTER(표2[],(표2[DWG No.]=C402)*(ISNUMBER(표2[Rev.])),""),1),6)</f>
        <v>43066</v>
      </c>
    </row>
    <row r="403" spans="1:19" ht="18" customHeight="1" x14ac:dyDescent="0.45">
      <c r="A403" s="64">
        <v>398</v>
      </c>
      <c r="B403" s="49" t="s">
        <v>57</v>
      </c>
      <c r="C403" s="65" t="s">
        <v>1599</v>
      </c>
      <c r="D403" s="66" t="s">
        <v>1600</v>
      </c>
      <c r="E403" s="65" t="s">
        <v>1601</v>
      </c>
      <c r="F403" s="66" t="s">
        <v>5</v>
      </c>
      <c r="G403" s="67">
        <v>42846</v>
      </c>
      <c r="H403" s="67">
        <v>42978</v>
      </c>
      <c r="I403" s="67">
        <v>43848</v>
      </c>
      <c r="J403" s="66" t="s">
        <v>2809</v>
      </c>
      <c r="K403" s="66" t="s">
        <v>7</v>
      </c>
      <c r="L403" s="66" t="s">
        <v>89</v>
      </c>
      <c r="M403" s="67" t="s">
        <v>2815</v>
      </c>
      <c r="N403" s="66" t="s">
        <v>2868</v>
      </c>
      <c r="O403" s="66" t="s">
        <v>7</v>
      </c>
      <c r="P403" s="66" t="s">
        <v>89</v>
      </c>
      <c r="Q403" s="66" t="s">
        <v>65</v>
      </c>
      <c r="R403" s="67" cm="1">
        <f t="array" aca="1" ref="R403" ca="1">_xlfn.CHOOSECOLS(_xlfn.CHOOSEROWS(_xlfn._xlws.FILTER(표2[],표2[DWG No.]=C403,""),1),6)</f>
        <v>42866</v>
      </c>
      <c r="S403" s="67" cm="1">
        <f t="array" aca="1" ref="S403" ca="1">_xlfn.CHOOSECOLS(_xlfn.CHOOSEROWS(_xlfn._xlws.FILTER(표2[],(표2[DWG No.]=C403)*(ISNUMBER(표2[Rev.])),""),1),6)</f>
        <v>42992</v>
      </c>
    </row>
    <row r="404" spans="1:19" ht="18" customHeight="1" x14ac:dyDescent="0.45">
      <c r="A404" s="64">
        <v>399</v>
      </c>
      <c r="B404" s="49" t="s">
        <v>57</v>
      </c>
      <c r="C404" s="65" t="s">
        <v>1602</v>
      </c>
      <c r="D404" s="66" t="s">
        <v>1603</v>
      </c>
      <c r="E404" s="65" t="s">
        <v>1604</v>
      </c>
      <c r="F404" s="66" t="s">
        <v>5</v>
      </c>
      <c r="G404" s="67">
        <v>42794</v>
      </c>
      <c r="H404" s="67">
        <v>42930</v>
      </c>
      <c r="I404" s="67">
        <v>42907</v>
      </c>
      <c r="J404" s="66" t="s">
        <v>1605</v>
      </c>
      <c r="K404" s="66" t="s">
        <v>7</v>
      </c>
      <c r="L404" s="66" t="s">
        <v>62</v>
      </c>
      <c r="M404" s="67" t="s">
        <v>1606</v>
      </c>
      <c r="N404" s="66" t="s">
        <v>81</v>
      </c>
      <c r="O404" s="66" t="s">
        <v>7</v>
      </c>
      <c r="P404" s="66" t="s">
        <v>62</v>
      </c>
      <c r="Q404" s="66" t="s">
        <v>5002</v>
      </c>
      <c r="R404" s="67" cm="1">
        <f t="array" aca="1" ref="R404" ca="1">_xlfn.CHOOSECOLS(_xlfn.CHOOSEROWS(_xlfn._xlws.FILTER(표2[],표2[DWG No.]=C404,""),1),6)</f>
        <v>42816</v>
      </c>
      <c r="S404" s="67" cm="1">
        <f t="array" aca="1" ref="S404" ca="1">_xlfn.CHOOSECOLS(_xlfn.CHOOSEROWS(_xlfn._xlws.FILTER(표2[],(표2[DWG No.]=C404)*(ISNUMBER(표2[Rev.])),""),1),6)</f>
        <v>42907</v>
      </c>
    </row>
    <row r="405" spans="1:19" ht="18" customHeight="1" x14ac:dyDescent="0.45">
      <c r="A405" s="64">
        <v>400</v>
      </c>
      <c r="B405" s="49" t="s">
        <v>57</v>
      </c>
      <c r="C405" s="65" t="s">
        <v>1607</v>
      </c>
      <c r="D405" s="66" t="s">
        <v>1608</v>
      </c>
      <c r="E405" s="65" t="s">
        <v>1609</v>
      </c>
      <c r="F405" s="66" t="s">
        <v>5</v>
      </c>
      <c r="G405" s="67">
        <v>42794</v>
      </c>
      <c r="H405" s="67">
        <v>42930</v>
      </c>
      <c r="I405" s="67">
        <v>42962</v>
      </c>
      <c r="J405" s="66" t="s">
        <v>1610</v>
      </c>
      <c r="K405" s="66" t="s">
        <v>7</v>
      </c>
      <c r="L405" s="66" t="s">
        <v>62</v>
      </c>
      <c r="M405" s="67" t="s">
        <v>519</v>
      </c>
      <c r="N405" s="66" t="s">
        <v>81</v>
      </c>
      <c r="O405" s="66" t="s">
        <v>7</v>
      </c>
      <c r="P405" s="66" t="s">
        <v>62</v>
      </c>
      <c r="Q405" s="66" t="s">
        <v>5002</v>
      </c>
      <c r="R405" s="67" cm="1">
        <f t="array" aca="1" ref="R405" ca="1">_xlfn.CHOOSECOLS(_xlfn.CHOOSEROWS(_xlfn._xlws.FILTER(표2[],표2[DWG No.]=C405,""),1),6)</f>
        <v>42816</v>
      </c>
      <c r="S405" s="67" cm="1">
        <f t="array" aca="1" ref="S405" ca="1">_xlfn.CHOOSECOLS(_xlfn.CHOOSEROWS(_xlfn._xlws.FILTER(표2[],(표2[DWG No.]=C405)*(ISNUMBER(표2[Rev.])),""),1),6)</f>
        <v>42962</v>
      </c>
    </row>
    <row r="406" spans="1:19" ht="18" customHeight="1" x14ac:dyDescent="0.45">
      <c r="A406" s="64">
        <v>401</v>
      </c>
      <c r="B406" s="49" t="s">
        <v>57</v>
      </c>
      <c r="C406" s="65" t="s">
        <v>1611</v>
      </c>
      <c r="D406" s="66" t="s">
        <v>1612</v>
      </c>
      <c r="E406" s="65" t="s">
        <v>1613</v>
      </c>
      <c r="F406" s="66" t="s">
        <v>5</v>
      </c>
      <c r="G406" s="67">
        <v>42794</v>
      </c>
      <c r="H406" s="67">
        <v>42955</v>
      </c>
      <c r="I406" s="67">
        <v>42962</v>
      </c>
      <c r="J406" s="66" t="s">
        <v>1610</v>
      </c>
      <c r="K406" s="66" t="s">
        <v>7</v>
      </c>
      <c r="L406" s="66" t="s">
        <v>62</v>
      </c>
      <c r="M406" s="67" t="s">
        <v>519</v>
      </c>
      <c r="N406" s="66" t="s">
        <v>81</v>
      </c>
      <c r="O406" s="66" t="s">
        <v>7</v>
      </c>
      <c r="P406" s="66" t="s">
        <v>62</v>
      </c>
      <c r="Q406" s="66" t="s">
        <v>5002</v>
      </c>
      <c r="R406" s="67" cm="1">
        <f t="array" aca="1" ref="R406" ca="1">_xlfn.CHOOSECOLS(_xlfn.CHOOSEROWS(_xlfn._xlws.FILTER(표2[],표2[DWG No.]=C406,""),1),6)</f>
        <v>42816</v>
      </c>
      <c r="S406" s="67" cm="1">
        <f t="array" aca="1" ref="S406" ca="1">_xlfn.CHOOSECOLS(_xlfn.CHOOSEROWS(_xlfn._xlws.FILTER(표2[],(표2[DWG No.]=C406)*(ISNUMBER(표2[Rev.])),""),1),6)</f>
        <v>42962</v>
      </c>
    </row>
    <row r="407" spans="1:19" ht="18" customHeight="1" x14ac:dyDescent="0.45">
      <c r="A407" s="64">
        <v>402</v>
      </c>
      <c r="B407" s="49" t="s">
        <v>57</v>
      </c>
      <c r="C407" s="65" t="s">
        <v>1614</v>
      </c>
      <c r="D407" s="66" t="s">
        <v>1615</v>
      </c>
      <c r="E407" s="65" t="s">
        <v>1616</v>
      </c>
      <c r="F407" s="66" t="s">
        <v>6</v>
      </c>
      <c r="G407" s="67">
        <v>43033</v>
      </c>
      <c r="H407" s="67">
        <v>43155</v>
      </c>
      <c r="I407" s="67">
        <v>43139</v>
      </c>
      <c r="J407" s="66" t="s">
        <v>1617</v>
      </c>
      <c r="K407" s="66" t="s">
        <v>7</v>
      </c>
      <c r="L407" s="66" t="s">
        <v>62</v>
      </c>
      <c r="M407" s="67" t="s">
        <v>825</v>
      </c>
      <c r="N407" s="66" t="s">
        <v>1618</v>
      </c>
      <c r="O407" s="66" t="s">
        <v>7</v>
      </c>
      <c r="P407" s="66" t="s">
        <v>62</v>
      </c>
      <c r="Q407" s="66" t="s">
        <v>5002</v>
      </c>
      <c r="R407" s="67" cm="1">
        <f t="array" aca="1" ref="R407" ca="1">_xlfn.CHOOSECOLS(_xlfn.CHOOSEROWS(_xlfn._xlws.FILTER(표2[],표2[DWG No.]=C407,""),1),6)</f>
        <v>43038</v>
      </c>
      <c r="S407" s="67" cm="1">
        <f t="array" aca="1" ref="S407" ca="1">_xlfn.CHOOSECOLS(_xlfn.CHOOSEROWS(_xlfn._xlws.FILTER(표2[],(표2[DWG No.]=C407)*(ISNUMBER(표2[Rev.])),""),1),6)</f>
        <v>43139</v>
      </c>
    </row>
    <row r="408" spans="1:19" ht="18" customHeight="1" x14ac:dyDescent="0.45">
      <c r="A408" s="64">
        <v>403</v>
      </c>
      <c r="B408" s="49" t="s">
        <v>57</v>
      </c>
      <c r="C408" s="65" t="s">
        <v>1619</v>
      </c>
      <c r="D408" s="66" t="s">
        <v>1620</v>
      </c>
      <c r="E408" s="65" t="s">
        <v>1621</v>
      </c>
      <c r="F408" s="66" t="s">
        <v>6</v>
      </c>
      <c r="G408" s="67">
        <v>42804</v>
      </c>
      <c r="H408" s="67">
        <v>42925</v>
      </c>
      <c r="I408" s="67">
        <v>43762</v>
      </c>
      <c r="J408" s="66" t="s">
        <v>2728</v>
      </c>
      <c r="K408" s="66" t="s">
        <v>7</v>
      </c>
      <c r="L408" s="66" t="s">
        <v>1987</v>
      </c>
      <c r="M408" s="67" t="s">
        <v>2729</v>
      </c>
      <c r="N408" s="66" t="s">
        <v>2730</v>
      </c>
      <c r="O408" s="66" t="s">
        <v>7</v>
      </c>
      <c r="P408" s="66" t="s">
        <v>1987</v>
      </c>
      <c r="Q408" s="66" t="s">
        <v>65</v>
      </c>
      <c r="R408" s="67" cm="1">
        <f t="array" aca="1" ref="R408" ca="1">_xlfn.CHOOSECOLS(_xlfn.CHOOSEROWS(_xlfn._xlws.FILTER(표2[],표2[DWG No.]=C408,""),1),6)</f>
        <v>42816</v>
      </c>
      <c r="S408" s="67" cm="1">
        <f t="array" aca="1" ref="S408" ca="1">_xlfn.CHOOSECOLS(_xlfn.CHOOSEROWS(_xlfn._xlws.FILTER(표2[],(표2[DWG No.]=C408)*(ISNUMBER(표2[Rev.])),""),1),6)</f>
        <v>42998</v>
      </c>
    </row>
    <row r="409" spans="1:19" ht="18" customHeight="1" x14ac:dyDescent="0.45">
      <c r="A409" s="64">
        <v>404</v>
      </c>
      <c r="B409" s="49" t="s">
        <v>57</v>
      </c>
      <c r="C409" s="65" t="s">
        <v>1622</v>
      </c>
      <c r="D409" s="66" t="s">
        <v>1623</v>
      </c>
      <c r="E409" s="65" t="s">
        <v>1624</v>
      </c>
      <c r="F409" s="66" t="s">
        <v>6</v>
      </c>
      <c r="G409" s="67">
        <v>42804</v>
      </c>
      <c r="H409" s="67">
        <v>43003</v>
      </c>
      <c r="I409" s="67">
        <v>43480</v>
      </c>
      <c r="J409" s="66" t="s">
        <v>2628</v>
      </c>
      <c r="K409" s="66" t="s">
        <v>7</v>
      </c>
      <c r="L409" s="66" t="s">
        <v>89</v>
      </c>
      <c r="M409" s="67" t="s">
        <v>2629</v>
      </c>
      <c r="N409" s="66" t="s">
        <v>2630</v>
      </c>
      <c r="O409" s="66" t="s">
        <v>7</v>
      </c>
      <c r="P409" s="66" t="s">
        <v>89</v>
      </c>
      <c r="Q409" s="66" t="s">
        <v>65</v>
      </c>
      <c r="R409" s="67" cm="1">
        <f t="array" aca="1" ref="R409" ca="1">_xlfn.CHOOSECOLS(_xlfn.CHOOSEROWS(_xlfn._xlws.FILTER(표2[],표2[DWG No.]=C409,""),1),6)</f>
        <v>42816</v>
      </c>
      <c r="S409" s="67" cm="1">
        <f t="array" aca="1" ref="S409" ca="1">_xlfn.CHOOSECOLS(_xlfn.CHOOSEROWS(_xlfn._xlws.FILTER(표2[],(표2[DWG No.]=C409)*(ISNUMBER(표2[Rev.])),""),1),6)</f>
        <v>43007</v>
      </c>
    </row>
    <row r="410" spans="1:19" ht="18" customHeight="1" x14ac:dyDescent="0.45">
      <c r="A410" s="64">
        <v>405</v>
      </c>
      <c r="B410" s="49" t="s">
        <v>57</v>
      </c>
      <c r="C410" s="65" t="s">
        <v>1626</v>
      </c>
      <c r="D410" s="66" t="s">
        <v>1627</v>
      </c>
      <c r="E410" s="65" t="s">
        <v>1628</v>
      </c>
      <c r="F410" s="66" t="s">
        <v>5</v>
      </c>
      <c r="G410" s="67">
        <v>42804</v>
      </c>
      <c r="H410" s="67">
        <v>42930</v>
      </c>
      <c r="I410" s="67">
        <v>42906</v>
      </c>
      <c r="J410" s="66" t="s">
        <v>1629</v>
      </c>
      <c r="K410" s="66" t="s">
        <v>7</v>
      </c>
      <c r="L410" s="66" t="s">
        <v>62</v>
      </c>
      <c r="M410" s="67" t="s">
        <v>295</v>
      </c>
      <c r="N410" s="66" t="s">
        <v>81</v>
      </c>
      <c r="O410" s="66" t="s">
        <v>7</v>
      </c>
      <c r="P410" s="66" t="s">
        <v>62</v>
      </c>
      <c r="Q410" s="66" t="s">
        <v>5002</v>
      </c>
      <c r="R410" s="67" cm="1">
        <f t="array" aca="1" ref="R410" ca="1">_xlfn.CHOOSECOLS(_xlfn.CHOOSEROWS(_xlfn._xlws.FILTER(표2[],표2[DWG No.]=C410,""),1),6)</f>
        <v>42816</v>
      </c>
      <c r="S410" s="67" cm="1">
        <f t="array" aca="1" ref="S410" ca="1">_xlfn.CHOOSECOLS(_xlfn.CHOOSEROWS(_xlfn._xlws.FILTER(표2[],(표2[DWG No.]=C410)*(ISNUMBER(표2[Rev.])),""),1),6)</f>
        <v>42906</v>
      </c>
    </row>
    <row r="411" spans="1:19" ht="18" customHeight="1" x14ac:dyDescent="0.45">
      <c r="A411" s="64">
        <v>406</v>
      </c>
      <c r="B411" s="49" t="s">
        <v>57</v>
      </c>
      <c r="C411" s="65" t="s">
        <v>1630</v>
      </c>
      <c r="D411" s="66" t="s">
        <v>1631</v>
      </c>
      <c r="E411" s="65" t="s">
        <v>1632</v>
      </c>
      <c r="F411" s="66" t="s">
        <v>5</v>
      </c>
      <c r="G411" s="67">
        <v>42905</v>
      </c>
      <c r="H411" s="67">
        <v>43063</v>
      </c>
      <c r="I411" s="67">
        <v>43480</v>
      </c>
      <c r="J411" s="66" t="s">
        <v>2628</v>
      </c>
      <c r="K411" s="66" t="s">
        <v>7</v>
      </c>
      <c r="L411" s="66" t="s">
        <v>89</v>
      </c>
      <c r="M411" s="67" t="s">
        <v>2629</v>
      </c>
      <c r="N411" s="66" t="s">
        <v>2631</v>
      </c>
      <c r="O411" s="66" t="s">
        <v>7</v>
      </c>
      <c r="P411" s="66" t="s">
        <v>89</v>
      </c>
      <c r="Q411" s="66" t="s">
        <v>65</v>
      </c>
      <c r="R411" s="67" cm="1">
        <f t="array" aca="1" ref="R411" ca="1">_xlfn.CHOOSECOLS(_xlfn.CHOOSEROWS(_xlfn._xlws.FILTER(표2[],표2[DWG No.]=C411,""),1),6)</f>
        <v>42888</v>
      </c>
      <c r="S411" s="67" cm="1">
        <f t="array" aca="1" ref="S411" ca="1">_xlfn.CHOOSECOLS(_xlfn.CHOOSEROWS(_xlfn._xlws.FILTER(표2[],(표2[DWG No.]=C411)*(ISNUMBER(표2[Rev.])),""),1),6)</f>
        <v>43084</v>
      </c>
    </row>
    <row r="412" spans="1:19" ht="18" customHeight="1" x14ac:dyDescent="0.45">
      <c r="A412" s="64">
        <v>407</v>
      </c>
      <c r="B412" s="49" t="s">
        <v>57</v>
      </c>
      <c r="C412" s="65" t="s">
        <v>1633</v>
      </c>
      <c r="D412" s="66" t="s">
        <v>1634</v>
      </c>
      <c r="E412" s="65" t="s">
        <v>1635</v>
      </c>
      <c r="F412" s="66" t="s">
        <v>5</v>
      </c>
      <c r="G412" s="67">
        <v>42876</v>
      </c>
      <c r="H412" s="67">
        <v>42998</v>
      </c>
      <c r="I412" s="67">
        <v>43007</v>
      </c>
      <c r="J412" s="66" t="s">
        <v>1636</v>
      </c>
      <c r="K412" s="66" t="s">
        <v>7</v>
      </c>
      <c r="L412" s="66" t="s">
        <v>62</v>
      </c>
      <c r="M412" s="67" t="s">
        <v>143</v>
      </c>
      <c r="N412" s="66" t="s">
        <v>1637</v>
      </c>
      <c r="O412" s="66" t="s">
        <v>7</v>
      </c>
      <c r="P412" s="66" t="s">
        <v>62</v>
      </c>
      <c r="Q412" s="66" t="s">
        <v>5002</v>
      </c>
      <c r="R412" s="67" cm="1">
        <f t="array" aca="1" ref="R412" ca="1">_xlfn.CHOOSECOLS(_xlfn.CHOOSEROWS(_xlfn._xlws.FILTER(표2[],표2[DWG No.]=C412,""),1),6)</f>
        <v>42878</v>
      </c>
      <c r="S412" s="67" cm="1">
        <f t="array" aca="1" ref="S412" ca="1">_xlfn.CHOOSECOLS(_xlfn.CHOOSEROWS(_xlfn._xlws.FILTER(표2[],(표2[DWG No.]=C412)*(ISNUMBER(표2[Rev.])),""),1),6)</f>
        <v>43007</v>
      </c>
    </row>
    <row r="413" spans="1:19" ht="18" customHeight="1" x14ac:dyDescent="0.45">
      <c r="A413" s="64">
        <v>408</v>
      </c>
      <c r="B413" s="49" t="s">
        <v>57</v>
      </c>
      <c r="C413" s="65" t="s">
        <v>1638</v>
      </c>
      <c r="D413" s="66" t="s">
        <v>1639</v>
      </c>
      <c r="E413" s="65" t="s">
        <v>1640</v>
      </c>
      <c r="F413" s="66" t="s">
        <v>5</v>
      </c>
      <c r="G413" s="67">
        <v>42876</v>
      </c>
      <c r="H413" s="67">
        <v>42955</v>
      </c>
      <c r="I413" s="67">
        <v>42962</v>
      </c>
      <c r="J413" s="66" t="s">
        <v>1610</v>
      </c>
      <c r="K413" s="66" t="s">
        <v>7</v>
      </c>
      <c r="L413" s="66" t="s">
        <v>62</v>
      </c>
      <c r="M413" s="67" t="s">
        <v>519</v>
      </c>
      <c r="N413" s="66" t="s">
        <v>81</v>
      </c>
      <c r="O413" s="66" t="s">
        <v>7</v>
      </c>
      <c r="P413" s="66" t="s">
        <v>62</v>
      </c>
      <c r="Q413" s="66" t="s">
        <v>5002</v>
      </c>
      <c r="R413" s="67" cm="1">
        <f t="array" aca="1" ref="R413" ca="1">_xlfn.CHOOSECOLS(_xlfn.CHOOSEROWS(_xlfn._xlws.FILTER(표2[],표2[DWG No.]=C413,""),1),6)</f>
        <v>42878</v>
      </c>
      <c r="S413" s="67" cm="1">
        <f t="array" aca="1" ref="S413" ca="1">_xlfn.CHOOSECOLS(_xlfn.CHOOSEROWS(_xlfn._xlws.FILTER(표2[],(표2[DWG No.]=C413)*(ISNUMBER(표2[Rev.])),""),1),6)</f>
        <v>42962</v>
      </c>
    </row>
    <row r="414" spans="1:19" ht="18" customHeight="1" x14ac:dyDescent="0.45">
      <c r="A414" s="64">
        <v>409</v>
      </c>
      <c r="B414" s="49" t="s">
        <v>57</v>
      </c>
      <c r="C414" s="65" t="s">
        <v>1641</v>
      </c>
      <c r="D414" s="66" t="s">
        <v>1642</v>
      </c>
      <c r="E414" s="65" t="s">
        <v>1643</v>
      </c>
      <c r="F414" s="66" t="s">
        <v>5</v>
      </c>
      <c r="G414" s="67">
        <v>42876</v>
      </c>
      <c r="H414" s="67">
        <v>42955</v>
      </c>
      <c r="I414" s="67">
        <v>43034</v>
      </c>
      <c r="J414" s="66" t="s">
        <v>1644</v>
      </c>
      <c r="K414" s="66" t="s">
        <v>7</v>
      </c>
      <c r="L414" s="66" t="s">
        <v>62</v>
      </c>
      <c r="M414" s="67" t="s">
        <v>90</v>
      </c>
      <c r="N414" s="66" t="s">
        <v>1645</v>
      </c>
      <c r="O414" s="66" t="s">
        <v>7</v>
      </c>
      <c r="P414" s="66" t="s">
        <v>62</v>
      </c>
      <c r="Q414" s="66" t="s">
        <v>5002</v>
      </c>
      <c r="R414" s="67" cm="1">
        <f t="array" aca="1" ref="R414" ca="1">_xlfn.CHOOSECOLS(_xlfn.CHOOSEROWS(_xlfn._xlws.FILTER(표2[],표2[DWG No.]=C414,""),1),6)</f>
        <v>42878</v>
      </c>
      <c r="S414" s="67" cm="1">
        <f t="array" aca="1" ref="S414" ca="1">_xlfn.CHOOSECOLS(_xlfn.CHOOSEROWS(_xlfn._xlws.FILTER(표2[],(표2[DWG No.]=C414)*(ISNUMBER(표2[Rev.])),""),1),6)</f>
        <v>43034</v>
      </c>
    </row>
    <row r="415" spans="1:19" ht="18" customHeight="1" x14ac:dyDescent="0.45">
      <c r="A415" s="64">
        <v>410</v>
      </c>
      <c r="B415" s="49" t="s">
        <v>57</v>
      </c>
      <c r="C415" s="65" t="s">
        <v>1646</v>
      </c>
      <c r="D415" s="66" t="s">
        <v>1647</v>
      </c>
      <c r="E415" s="65" t="s">
        <v>1648</v>
      </c>
      <c r="F415" s="66" t="s">
        <v>5</v>
      </c>
      <c r="G415" s="67">
        <v>42876</v>
      </c>
      <c r="H415" s="67">
        <v>43033</v>
      </c>
      <c r="I415" s="67">
        <v>43040</v>
      </c>
      <c r="J415" s="66" t="s">
        <v>1649</v>
      </c>
      <c r="K415" s="66" t="s">
        <v>7</v>
      </c>
      <c r="L415" s="66" t="s">
        <v>62</v>
      </c>
      <c r="M415" s="67" t="s">
        <v>90</v>
      </c>
      <c r="N415" s="66" t="s">
        <v>1650</v>
      </c>
      <c r="O415" s="66" t="s">
        <v>7</v>
      </c>
      <c r="P415" s="66" t="s">
        <v>62</v>
      </c>
      <c r="Q415" s="66" t="s">
        <v>5002</v>
      </c>
      <c r="R415" s="67" cm="1">
        <f t="array" aca="1" ref="R415" ca="1">_xlfn.CHOOSECOLS(_xlfn.CHOOSEROWS(_xlfn._xlws.FILTER(표2[],표2[DWG No.]=C415,""),1),6)</f>
        <v>42878</v>
      </c>
      <c r="S415" s="67" cm="1">
        <f t="array" aca="1" ref="S415" ca="1">_xlfn.CHOOSECOLS(_xlfn.CHOOSEROWS(_xlfn._xlws.FILTER(표2[],(표2[DWG No.]=C415)*(ISNUMBER(표2[Rev.])),""),1),6)</f>
        <v>43040</v>
      </c>
    </row>
    <row r="416" spans="1:19" ht="18" customHeight="1" x14ac:dyDescent="0.45">
      <c r="A416" s="64">
        <v>411</v>
      </c>
      <c r="B416" s="49" t="s">
        <v>57</v>
      </c>
      <c r="C416" s="65" t="s">
        <v>1651</v>
      </c>
      <c r="D416" s="66" t="s">
        <v>1652</v>
      </c>
      <c r="E416" s="65" t="s">
        <v>1653</v>
      </c>
      <c r="F416" s="66" t="s">
        <v>5</v>
      </c>
      <c r="G416" s="67">
        <v>42804</v>
      </c>
      <c r="H416" s="67">
        <v>43033</v>
      </c>
      <c r="I416" s="67">
        <v>43034</v>
      </c>
      <c r="J416" s="66" t="s">
        <v>1654</v>
      </c>
      <c r="K416" s="66" t="s">
        <v>7</v>
      </c>
      <c r="L416" s="66" t="s">
        <v>62</v>
      </c>
      <c r="M416" s="67" t="s">
        <v>90</v>
      </c>
      <c r="N416" s="66" t="s">
        <v>1655</v>
      </c>
      <c r="O416" s="66" t="s">
        <v>7</v>
      </c>
      <c r="P416" s="66" t="s">
        <v>62</v>
      </c>
      <c r="Q416" s="66" t="s">
        <v>5002</v>
      </c>
      <c r="R416" s="67" cm="1">
        <f t="array" aca="1" ref="R416" ca="1">_xlfn.CHOOSECOLS(_xlfn.CHOOSEROWS(_xlfn._xlws.FILTER(표2[],표2[DWG No.]=C416,""),1),6)</f>
        <v>42816</v>
      </c>
      <c r="S416" s="67" cm="1">
        <f t="array" aca="1" ref="S416" ca="1">_xlfn.CHOOSECOLS(_xlfn.CHOOSEROWS(_xlfn._xlws.FILTER(표2[],(표2[DWG No.]=C416)*(ISNUMBER(표2[Rev.])),""),1),6)</f>
        <v>43034</v>
      </c>
    </row>
    <row r="417" spans="1:19" ht="18" customHeight="1" x14ac:dyDescent="0.45">
      <c r="A417" s="64">
        <v>412</v>
      </c>
      <c r="B417" s="49" t="s">
        <v>57</v>
      </c>
      <c r="C417" s="65" t="s">
        <v>1656</v>
      </c>
      <c r="D417" s="66" t="s">
        <v>1657</v>
      </c>
      <c r="E417" s="65" t="s">
        <v>1658</v>
      </c>
      <c r="F417" s="66" t="s">
        <v>5</v>
      </c>
      <c r="G417" s="67">
        <v>43122</v>
      </c>
      <c r="H417" s="67">
        <v>43242</v>
      </c>
      <c r="I417" s="67">
        <v>43762</v>
      </c>
      <c r="J417" s="66" t="s">
        <v>2728</v>
      </c>
      <c r="K417" s="66" t="s">
        <v>7</v>
      </c>
      <c r="L417" s="66" t="s">
        <v>230</v>
      </c>
      <c r="M417" s="67" t="s">
        <v>2788</v>
      </c>
      <c r="N417" s="66" t="s">
        <v>2789</v>
      </c>
      <c r="O417" s="66" t="s">
        <v>7</v>
      </c>
      <c r="P417" s="66" t="s">
        <v>89</v>
      </c>
      <c r="Q417" s="66" t="s">
        <v>65</v>
      </c>
      <c r="R417" s="67" cm="1">
        <f t="array" aca="1" ref="R417" ca="1">_xlfn.CHOOSECOLS(_xlfn.CHOOSEROWS(_xlfn._xlws.FILTER(표2[],표2[DWG No.]=C417,""),1),6)</f>
        <v>43119</v>
      </c>
      <c r="S417" s="67" cm="1">
        <f t="array" aca="1" ref="S417" ca="1">_xlfn.CHOOSECOLS(_xlfn.CHOOSEROWS(_xlfn._xlws.FILTER(표2[],(표2[DWG No.]=C417)*(ISNUMBER(표2[Rev.])),""),1),6)</f>
        <v>43222</v>
      </c>
    </row>
    <row r="418" spans="1:19" ht="18" customHeight="1" x14ac:dyDescent="0.45">
      <c r="A418" s="64">
        <v>413</v>
      </c>
      <c r="B418" s="49" t="s">
        <v>57</v>
      </c>
      <c r="C418" s="65" t="s">
        <v>1659</v>
      </c>
      <c r="D418" s="66" t="s">
        <v>1660</v>
      </c>
      <c r="E418" s="65" t="s">
        <v>1661</v>
      </c>
      <c r="F418" s="66" t="s">
        <v>5</v>
      </c>
      <c r="G418" s="67">
        <v>42876</v>
      </c>
      <c r="H418" s="67">
        <v>43033</v>
      </c>
      <c r="I418" s="67">
        <v>43040</v>
      </c>
      <c r="J418" s="66" t="s">
        <v>1649</v>
      </c>
      <c r="K418" s="66" t="s">
        <v>7</v>
      </c>
      <c r="L418" s="66" t="s">
        <v>62</v>
      </c>
      <c r="M418" s="67" t="s">
        <v>90</v>
      </c>
      <c r="N418" s="66" t="s">
        <v>1662</v>
      </c>
      <c r="O418" s="66" t="s">
        <v>7</v>
      </c>
      <c r="P418" s="66" t="s">
        <v>62</v>
      </c>
      <c r="Q418" s="66" t="s">
        <v>5002</v>
      </c>
      <c r="R418" s="67" cm="1">
        <f t="array" aca="1" ref="R418" ca="1">_xlfn.CHOOSECOLS(_xlfn.CHOOSEROWS(_xlfn._xlws.FILTER(표2[],표2[DWG No.]=C418,""),1),6)</f>
        <v>42878</v>
      </c>
      <c r="S418" s="67" cm="1">
        <f t="array" aca="1" ref="S418" ca="1">_xlfn.CHOOSECOLS(_xlfn.CHOOSEROWS(_xlfn._xlws.FILTER(표2[],(표2[DWG No.]=C418)*(ISNUMBER(표2[Rev.])),""),1),6)</f>
        <v>43040</v>
      </c>
    </row>
    <row r="419" spans="1:19" ht="18" customHeight="1" x14ac:dyDescent="0.45">
      <c r="A419" s="64">
        <v>414</v>
      </c>
      <c r="B419" s="49" t="s">
        <v>57</v>
      </c>
      <c r="C419" s="65" t="s">
        <v>1663</v>
      </c>
      <c r="D419" s="66" t="s">
        <v>1664</v>
      </c>
      <c r="E419" s="65" t="s">
        <v>1665</v>
      </c>
      <c r="F419" s="66" t="s">
        <v>5</v>
      </c>
      <c r="G419" s="67">
        <v>43033</v>
      </c>
      <c r="H419" s="67">
        <v>43183</v>
      </c>
      <c r="I419" s="67">
        <v>43139</v>
      </c>
      <c r="J419" s="66" t="s">
        <v>1617</v>
      </c>
      <c r="K419" s="66" t="s">
        <v>7</v>
      </c>
      <c r="L419" s="66" t="s">
        <v>62</v>
      </c>
      <c r="M419" s="67" t="s">
        <v>825</v>
      </c>
      <c r="N419" s="66" t="s">
        <v>1666</v>
      </c>
      <c r="O419" s="66" t="s">
        <v>7</v>
      </c>
      <c r="P419" s="66" t="s">
        <v>62</v>
      </c>
      <c r="Q419" s="66" t="s">
        <v>5002</v>
      </c>
      <c r="R419" s="67" cm="1">
        <f t="array" aca="1" ref="R419" ca="1">_xlfn.CHOOSECOLS(_xlfn.CHOOSEROWS(_xlfn._xlws.FILTER(표2[],표2[DWG No.]=C419,""),1),6)</f>
        <v>43038</v>
      </c>
      <c r="S419" s="67" cm="1">
        <f t="array" aca="1" ref="S419" ca="1">_xlfn.CHOOSECOLS(_xlfn.CHOOSEROWS(_xlfn._xlws.FILTER(표2[],(표2[DWG No.]=C419)*(ISNUMBER(표2[Rev.])),""),1),6)</f>
        <v>43139</v>
      </c>
    </row>
    <row r="420" spans="1:19" ht="18" customHeight="1" x14ac:dyDescent="0.45">
      <c r="A420" s="64">
        <v>415</v>
      </c>
      <c r="B420" s="49" t="s">
        <v>57</v>
      </c>
      <c r="C420" s="65" t="s">
        <v>1667</v>
      </c>
      <c r="D420" s="66" t="s">
        <v>1668</v>
      </c>
      <c r="E420" s="65" t="s">
        <v>1669</v>
      </c>
      <c r="F420" s="66" t="s">
        <v>5</v>
      </c>
      <c r="G420" s="67">
        <v>42876</v>
      </c>
      <c r="H420" s="67">
        <v>42975</v>
      </c>
      <c r="I420" s="67">
        <v>42984</v>
      </c>
      <c r="J420" s="66" t="s">
        <v>1670</v>
      </c>
      <c r="K420" s="66" t="s">
        <v>7</v>
      </c>
      <c r="L420" s="66" t="s">
        <v>62</v>
      </c>
      <c r="M420" s="67" t="s">
        <v>246</v>
      </c>
      <c r="N420" s="66" t="s">
        <v>1671</v>
      </c>
      <c r="O420" s="66" t="s">
        <v>7</v>
      </c>
      <c r="P420" s="66" t="s">
        <v>62</v>
      </c>
      <c r="Q420" s="66" t="s">
        <v>5002</v>
      </c>
      <c r="R420" s="67" cm="1">
        <f t="array" aca="1" ref="R420" ca="1">_xlfn.CHOOSECOLS(_xlfn.CHOOSEROWS(_xlfn._xlws.FILTER(표2[],표2[DWG No.]=C420,""),1),6)</f>
        <v>42878</v>
      </c>
      <c r="S420" s="67" cm="1">
        <f t="array" aca="1" ref="S420" ca="1">_xlfn.CHOOSECOLS(_xlfn.CHOOSEROWS(_xlfn._xlws.FILTER(표2[],(표2[DWG No.]=C420)*(ISNUMBER(표2[Rev.])),""),1),6)</f>
        <v>42984</v>
      </c>
    </row>
    <row r="421" spans="1:19" ht="18" customHeight="1" x14ac:dyDescent="0.45">
      <c r="A421" s="64">
        <v>416</v>
      </c>
      <c r="B421" s="49" t="s">
        <v>57</v>
      </c>
      <c r="C421" s="65" t="s">
        <v>1672</v>
      </c>
      <c r="D421" s="66" t="s">
        <v>1673</v>
      </c>
      <c r="E421" s="65" t="s">
        <v>1674</v>
      </c>
      <c r="F421" s="66" t="s">
        <v>5</v>
      </c>
      <c r="G421" s="67">
        <v>43042</v>
      </c>
      <c r="H421" s="67">
        <v>43133</v>
      </c>
      <c r="I421" s="67">
        <v>43300</v>
      </c>
      <c r="J421" s="66" t="s">
        <v>2559</v>
      </c>
      <c r="K421" s="66" t="s">
        <v>7</v>
      </c>
      <c r="L421" s="66" t="s">
        <v>89</v>
      </c>
      <c r="M421" s="67" t="s">
        <v>2452</v>
      </c>
      <c r="N421" s="66" t="s">
        <v>2560</v>
      </c>
      <c r="O421" s="66" t="s">
        <v>7</v>
      </c>
      <c r="P421" s="66" t="s">
        <v>89</v>
      </c>
      <c r="Q421" s="66" t="s">
        <v>5002</v>
      </c>
      <c r="R421" s="67" cm="1">
        <f t="array" aca="1" ref="R421" ca="1">_xlfn.CHOOSECOLS(_xlfn.CHOOSEROWS(_xlfn._xlws.FILTER(표2[],표2[DWG No.]=C421,""),1),6)</f>
        <v>43052</v>
      </c>
      <c r="S421" s="67" cm="1">
        <f t="array" aca="1" ref="S421" ca="1">_xlfn.CHOOSECOLS(_xlfn.CHOOSEROWS(_xlfn._xlws.FILTER(표2[],(표2[DWG No.]=C421)*(ISNUMBER(표2[Rev.])),""),1),6)</f>
        <v>43145</v>
      </c>
    </row>
    <row r="422" spans="1:19" ht="18" customHeight="1" x14ac:dyDescent="0.45">
      <c r="A422" s="64">
        <v>417</v>
      </c>
      <c r="B422" s="49" t="s">
        <v>57</v>
      </c>
      <c r="C422" s="65" t="s">
        <v>1676</v>
      </c>
      <c r="D422" s="66" t="s">
        <v>1677</v>
      </c>
      <c r="E422" s="65" t="s">
        <v>1678</v>
      </c>
      <c r="F422" s="66" t="s">
        <v>5</v>
      </c>
      <c r="G422" s="67">
        <v>42869</v>
      </c>
      <c r="H422" s="67">
        <v>42991</v>
      </c>
      <c r="I422" s="67">
        <v>43034</v>
      </c>
      <c r="J422" s="66" t="s">
        <v>1679</v>
      </c>
      <c r="K422" s="66" t="s">
        <v>7</v>
      </c>
      <c r="L422" s="66" t="s">
        <v>62</v>
      </c>
      <c r="M422" s="67" t="s">
        <v>90</v>
      </c>
      <c r="N422" s="66" t="s">
        <v>1680</v>
      </c>
      <c r="O422" s="66" t="s">
        <v>7</v>
      </c>
      <c r="P422" s="66" t="s">
        <v>62</v>
      </c>
      <c r="Q422" s="66" t="s">
        <v>5002</v>
      </c>
      <c r="R422" s="67" cm="1">
        <f t="array" aca="1" ref="R422" ca="1">_xlfn.CHOOSECOLS(_xlfn.CHOOSEROWS(_xlfn._xlws.FILTER(표2[],표2[DWG No.]=C422,""),1),6)</f>
        <v>42874</v>
      </c>
      <c r="S422" s="67" cm="1">
        <f t="array" aca="1" ref="S422" ca="1">_xlfn.CHOOSECOLS(_xlfn.CHOOSEROWS(_xlfn._xlws.FILTER(표2[],(표2[DWG No.]=C422)*(ISNUMBER(표2[Rev.])),""),1),6)</f>
        <v>43034</v>
      </c>
    </row>
    <row r="423" spans="1:19" ht="18" customHeight="1" x14ac:dyDescent="0.45">
      <c r="A423" s="64">
        <v>418</v>
      </c>
      <c r="B423" s="49" t="s">
        <v>57</v>
      </c>
      <c r="C423" s="65" t="s">
        <v>1681</v>
      </c>
      <c r="D423" s="66" t="s">
        <v>1682</v>
      </c>
      <c r="E423" s="65" t="s">
        <v>1683</v>
      </c>
      <c r="F423" s="66" t="s">
        <v>5</v>
      </c>
      <c r="G423" s="67">
        <v>43050</v>
      </c>
      <c r="H423" s="67">
        <v>43169</v>
      </c>
      <c r="I423" s="67">
        <v>43818</v>
      </c>
      <c r="J423" s="66" t="s">
        <v>2777</v>
      </c>
      <c r="K423" s="66" t="s">
        <v>7</v>
      </c>
      <c r="L423" s="66" t="s">
        <v>89</v>
      </c>
      <c r="M423" s="67" t="s">
        <v>2778</v>
      </c>
      <c r="N423" s="66" t="s">
        <v>2779</v>
      </c>
      <c r="O423" s="66" t="s">
        <v>7</v>
      </c>
      <c r="P423" s="66" t="s">
        <v>89</v>
      </c>
      <c r="Q423" s="66" t="s">
        <v>65</v>
      </c>
      <c r="R423" s="67" cm="1">
        <f t="array" aca="1" ref="R423" ca="1">_xlfn.CHOOSECOLS(_xlfn.CHOOSEROWS(_xlfn._xlws.FILTER(표2[],표2[DWG No.]=C423,""),1),6)</f>
        <v>43038</v>
      </c>
      <c r="S423" s="67" cm="1">
        <f t="array" aca="1" ref="S423" ca="1">_xlfn.CHOOSECOLS(_xlfn.CHOOSEROWS(_xlfn._xlws.FILTER(표2[],(표2[DWG No.]=C423)*(ISNUMBER(표2[Rev.])),""),1),6)</f>
        <v>43131</v>
      </c>
    </row>
    <row r="424" spans="1:19" ht="18" customHeight="1" x14ac:dyDescent="0.45">
      <c r="A424" s="64">
        <v>419</v>
      </c>
      <c r="B424" s="49" t="s">
        <v>57</v>
      </c>
      <c r="C424" s="65" t="s">
        <v>2678</v>
      </c>
      <c r="D424" s="66" t="s">
        <v>1684</v>
      </c>
      <c r="E424" s="65" t="s">
        <v>1685</v>
      </c>
      <c r="F424" s="66" t="s">
        <v>5</v>
      </c>
      <c r="G424" s="67">
        <v>43050</v>
      </c>
      <c r="H424" s="67">
        <v>43169</v>
      </c>
      <c r="I424" s="67">
        <v>43553</v>
      </c>
      <c r="J424" s="66" t="s">
        <v>2679</v>
      </c>
      <c r="K424" s="66" t="s">
        <v>7</v>
      </c>
      <c r="L424" s="66" t="s">
        <v>230</v>
      </c>
      <c r="M424" s="67" t="s">
        <v>2680</v>
      </c>
      <c r="N424" s="66" t="s">
        <v>2681</v>
      </c>
      <c r="O424" s="66" t="s">
        <v>7</v>
      </c>
      <c r="P424" s="66" t="s">
        <v>230</v>
      </c>
      <c r="Q424" s="66" t="s">
        <v>65</v>
      </c>
      <c r="R424" s="67" cm="1">
        <f t="array" aca="1" ref="R424" ca="1">_xlfn.CHOOSECOLS(_xlfn.CHOOSEROWS(_xlfn._xlws.FILTER(표2[],표2[DWG No.]=C424,""),1),6)</f>
        <v>43038</v>
      </c>
      <c r="S424" s="67" cm="1">
        <f t="array" aca="1" ref="S424" ca="1">_xlfn.CHOOSECOLS(_xlfn.CHOOSEROWS(_xlfn._xlws.FILTER(표2[],(표2[DWG No.]=C424)*(ISNUMBER(표2[Rev.])),""),1),6)</f>
        <v>43123</v>
      </c>
    </row>
    <row r="425" spans="1:19" ht="18" customHeight="1" x14ac:dyDescent="0.45">
      <c r="A425" s="64">
        <v>420</v>
      </c>
      <c r="B425" s="49" t="s">
        <v>57</v>
      </c>
      <c r="C425" s="65" t="s">
        <v>1687</v>
      </c>
      <c r="D425" s="66" t="s">
        <v>1688</v>
      </c>
      <c r="E425" s="65" t="s">
        <v>1689</v>
      </c>
      <c r="F425" s="66" t="s">
        <v>5</v>
      </c>
      <c r="G425" s="67">
        <v>43050</v>
      </c>
      <c r="H425" s="67">
        <v>43169</v>
      </c>
      <c r="I425" s="67">
        <v>43553</v>
      </c>
      <c r="J425" s="66" t="s">
        <v>2695</v>
      </c>
      <c r="K425" s="66" t="s">
        <v>7</v>
      </c>
      <c r="L425" s="66" t="s">
        <v>230</v>
      </c>
      <c r="M425" s="67" t="s">
        <v>2680</v>
      </c>
      <c r="N425" s="66" t="s">
        <v>2696</v>
      </c>
      <c r="O425" s="66" t="s">
        <v>7</v>
      </c>
      <c r="P425" s="66" t="s">
        <v>230</v>
      </c>
      <c r="Q425" s="66" t="s">
        <v>65</v>
      </c>
      <c r="R425" s="67" cm="1">
        <f t="array" aca="1" ref="R425" ca="1">_xlfn.CHOOSECOLS(_xlfn.CHOOSEROWS(_xlfn._xlws.FILTER(표2[],표2[DWG No.]=C425,""),1),6)</f>
        <v>43038</v>
      </c>
      <c r="S425" s="67" cm="1">
        <f t="array" aca="1" ref="S425" ca="1">_xlfn.CHOOSECOLS(_xlfn.CHOOSEROWS(_xlfn._xlws.FILTER(표2[],(표2[DWG No.]=C425)*(ISNUMBER(표2[Rev.])),""),1),6)</f>
        <v>43123</v>
      </c>
    </row>
    <row r="426" spans="1:19" ht="18" customHeight="1" x14ac:dyDescent="0.45">
      <c r="A426" s="64">
        <v>421</v>
      </c>
      <c r="B426" s="49" t="s">
        <v>57</v>
      </c>
      <c r="C426" s="65" t="s">
        <v>1690</v>
      </c>
      <c r="D426" s="66" t="s">
        <v>1691</v>
      </c>
      <c r="E426" s="65" t="s">
        <v>1692</v>
      </c>
      <c r="F426" s="66" t="s">
        <v>5</v>
      </c>
      <c r="G426" s="67">
        <v>43050</v>
      </c>
      <c r="H426" s="67">
        <v>43169</v>
      </c>
      <c r="I426" s="67">
        <v>43761</v>
      </c>
      <c r="J426" s="66" t="s">
        <v>2731</v>
      </c>
      <c r="K426" s="66" t="s">
        <v>7</v>
      </c>
      <c r="L426" s="66" t="s">
        <v>89</v>
      </c>
      <c r="M426" s="67" t="s">
        <v>2732</v>
      </c>
      <c r="N426" s="66" t="s">
        <v>2733</v>
      </c>
      <c r="O426" s="66" t="s">
        <v>7</v>
      </c>
      <c r="P426" s="66" t="s">
        <v>89</v>
      </c>
      <c r="Q426" s="66" t="s">
        <v>65</v>
      </c>
      <c r="R426" s="67" cm="1">
        <f t="array" aca="1" ref="R426" ca="1">_xlfn.CHOOSECOLS(_xlfn.CHOOSEROWS(_xlfn._xlws.FILTER(표2[],표2[DWG No.]=C426,""),1),6)</f>
        <v>43038</v>
      </c>
      <c r="S426" s="67" cm="1">
        <f t="array" aca="1" ref="S426" ca="1">_xlfn.CHOOSECOLS(_xlfn.CHOOSEROWS(_xlfn._xlws.FILTER(표2[],(표2[DWG No.]=C426)*(ISNUMBER(표2[Rev.])),""),1),6)</f>
        <v>43123</v>
      </c>
    </row>
    <row r="427" spans="1:19" ht="18" customHeight="1" x14ac:dyDescent="0.45">
      <c r="A427" s="64">
        <v>422</v>
      </c>
      <c r="B427" s="49" t="s">
        <v>57</v>
      </c>
      <c r="C427" s="65" t="s">
        <v>1693</v>
      </c>
      <c r="D427" s="66" t="s">
        <v>1694</v>
      </c>
      <c r="E427" s="65" t="s">
        <v>1695</v>
      </c>
      <c r="F427" s="66" t="s">
        <v>5</v>
      </c>
      <c r="G427" s="67">
        <v>43050</v>
      </c>
      <c r="H427" s="67">
        <v>43169</v>
      </c>
      <c r="I427" s="67">
        <v>43761</v>
      </c>
      <c r="J427" s="66" t="s">
        <v>2731</v>
      </c>
      <c r="K427" s="66" t="s">
        <v>7</v>
      </c>
      <c r="L427" s="66" t="s">
        <v>230</v>
      </c>
      <c r="M427" s="67" t="s">
        <v>2732</v>
      </c>
      <c r="N427" s="66" t="s">
        <v>2734</v>
      </c>
      <c r="O427" s="66" t="s">
        <v>7</v>
      </c>
      <c r="P427" s="66" t="s">
        <v>230</v>
      </c>
      <c r="Q427" s="66" t="s">
        <v>65</v>
      </c>
      <c r="R427" s="67" cm="1">
        <f t="array" aca="1" ref="R427" ca="1">_xlfn.CHOOSECOLS(_xlfn.CHOOSEROWS(_xlfn._xlws.FILTER(표2[],표2[DWG No.]=C427,""),1),6)</f>
        <v>43038</v>
      </c>
      <c r="S427" s="67" cm="1">
        <f t="array" aca="1" ref="S427" ca="1">_xlfn.CHOOSECOLS(_xlfn.CHOOSEROWS(_xlfn._xlws.FILTER(표2[],(표2[DWG No.]=C427)*(ISNUMBER(표2[Rev.])),""),1),6)</f>
        <v>43139</v>
      </c>
    </row>
    <row r="428" spans="1:19" ht="18" customHeight="1" x14ac:dyDescent="0.45">
      <c r="A428" s="64">
        <v>423</v>
      </c>
      <c r="B428" s="49" t="s">
        <v>57</v>
      </c>
      <c r="C428" s="65" t="s">
        <v>1696</v>
      </c>
      <c r="D428" s="66" t="s">
        <v>1697</v>
      </c>
      <c r="E428" s="65" t="s">
        <v>1698</v>
      </c>
      <c r="F428" s="66" t="s">
        <v>5</v>
      </c>
      <c r="G428" s="67">
        <v>43050</v>
      </c>
      <c r="H428" s="67">
        <v>43169</v>
      </c>
      <c r="I428" s="67">
        <v>43207</v>
      </c>
      <c r="J428" s="66" t="s">
        <v>1686</v>
      </c>
      <c r="K428" s="66" t="s">
        <v>7</v>
      </c>
      <c r="L428" s="66" t="s">
        <v>89</v>
      </c>
      <c r="M428" s="67" t="s">
        <v>2491</v>
      </c>
      <c r="N428" s="66" t="s">
        <v>2561</v>
      </c>
      <c r="O428" s="66" t="s">
        <v>7</v>
      </c>
      <c r="P428" s="66" t="s">
        <v>89</v>
      </c>
      <c r="Q428" s="66" t="s">
        <v>5002</v>
      </c>
      <c r="R428" s="67" cm="1">
        <f t="array" aca="1" ref="R428" ca="1">_xlfn.CHOOSECOLS(_xlfn.CHOOSEROWS(_xlfn._xlws.FILTER(표2[],표2[DWG No.]=C428,""),1),6)</f>
        <v>43038</v>
      </c>
      <c r="S428" s="67" cm="1">
        <f t="array" aca="1" ref="S428" ca="1">_xlfn.CHOOSECOLS(_xlfn.CHOOSEROWS(_xlfn._xlws.FILTER(표2[],(표2[DWG No.]=C428)*(ISNUMBER(표2[Rev.])),""),1),6)</f>
        <v>43139</v>
      </c>
    </row>
    <row r="429" spans="1:19" ht="18" customHeight="1" x14ac:dyDescent="0.45">
      <c r="A429" s="64">
        <v>424</v>
      </c>
      <c r="B429" s="49" t="s">
        <v>57</v>
      </c>
      <c r="C429" s="65" t="s">
        <v>1699</v>
      </c>
      <c r="D429" s="66" t="s">
        <v>1700</v>
      </c>
      <c r="E429" s="65" t="s">
        <v>1701</v>
      </c>
      <c r="F429" s="66" t="s">
        <v>5</v>
      </c>
      <c r="G429" s="67">
        <v>43050</v>
      </c>
      <c r="H429" s="67">
        <v>43169</v>
      </c>
      <c r="I429" s="67">
        <v>43139</v>
      </c>
      <c r="J429" s="66" t="s">
        <v>1617</v>
      </c>
      <c r="K429" s="66" t="s">
        <v>7</v>
      </c>
      <c r="L429" s="66" t="s">
        <v>62</v>
      </c>
      <c r="M429" s="67" t="s">
        <v>1675</v>
      </c>
      <c r="N429" s="66" t="s">
        <v>1702</v>
      </c>
      <c r="O429" s="66" t="s">
        <v>7</v>
      </c>
      <c r="P429" s="66" t="s">
        <v>62</v>
      </c>
      <c r="Q429" s="66" t="s">
        <v>5002</v>
      </c>
      <c r="R429" s="67" cm="1">
        <f t="array" aca="1" ref="R429" ca="1">_xlfn.CHOOSECOLS(_xlfn.CHOOSEROWS(_xlfn._xlws.FILTER(표2[],표2[DWG No.]=C429,""),1),6)</f>
        <v>43021</v>
      </c>
      <c r="S429" s="67" cm="1">
        <f t="array" aca="1" ref="S429" ca="1">_xlfn.CHOOSECOLS(_xlfn.CHOOSEROWS(_xlfn._xlws.FILTER(표2[],(표2[DWG No.]=C429)*(ISNUMBER(표2[Rev.])),""),1),6)</f>
        <v>43139</v>
      </c>
    </row>
    <row r="430" spans="1:19" ht="18" customHeight="1" x14ac:dyDescent="0.45">
      <c r="A430" s="64">
        <v>425</v>
      </c>
      <c r="B430" s="49" t="s">
        <v>57</v>
      </c>
      <c r="C430" s="65" t="s">
        <v>1703</v>
      </c>
      <c r="D430" s="66" t="s">
        <v>1704</v>
      </c>
      <c r="E430" s="65" t="s">
        <v>1705</v>
      </c>
      <c r="F430" s="66" t="s">
        <v>5</v>
      </c>
      <c r="G430" s="67">
        <v>42869</v>
      </c>
      <c r="H430" s="67">
        <v>42960</v>
      </c>
      <c r="I430" s="67">
        <v>43040</v>
      </c>
      <c r="J430" s="66" t="s">
        <v>1706</v>
      </c>
      <c r="K430" s="66" t="s">
        <v>7</v>
      </c>
      <c r="L430" s="66" t="s">
        <v>62</v>
      </c>
      <c r="M430" s="67" t="s">
        <v>90</v>
      </c>
      <c r="N430" s="66" t="s">
        <v>1707</v>
      </c>
      <c r="O430" s="66" t="s">
        <v>7</v>
      </c>
      <c r="P430" s="66" t="s">
        <v>62</v>
      </c>
      <c r="Q430" s="66" t="s">
        <v>5003</v>
      </c>
      <c r="R430" s="67" cm="1">
        <f t="array" aca="1" ref="R430" ca="1">_xlfn.CHOOSECOLS(_xlfn.CHOOSEROWS(_xlfn._xlws.FILTER(표2[],표2[DWG No.]=C430,""),1),6)</f>
        <v>42874</v>
      </c>
      <c r="S430" s="67" cm="1">
        <f t="array" aca="1" ref="S430" ca="1">_xlfn.CHOOSECOLS(_xlfn.CHOOSEROWS(_xlfn._xlws.FILTER(표2[],(표2[DWG No.]=C430)*(ISNUMBER(표2[Rev.])),""),1),6)</f>
        <v>43040</v>
      </c>
    </row>
    <row r="431" spans="1:19" ht="18" customHeight="1" x14ac:dyDescent="0.45">
      <c r="A431" s="64">
        <v>426</v>
      </c>
      <c r="B431" s="49" t="s">
        <v>57</v>
      </c>
      <c r="C431" s="65" t="s">
        <v>1708</v>
      </c>
      <c r="D431" s="66" t="s">
        <v>1709</v>
      </c>
      <c r="E431" s="65" t="s">
        <v>1710</v>
      </c>
      <c r="F431" s="66" t="s">
        <v>6</v>
      </c>
      <c r="G431" s="67">
        <v>42869</v>
      </c>
      <c r="H431" s="67">
        <v>42961</v>
      </c>
      <c r="I431" s="67">
        <v>43529</v>
      </c>
      <c r="J431" s="66" t="s">
        <v>2660</v>
      </c>
      <c r="K431" s="66" t="s">
        <v>7</v>
      </c>
      <c r="L431" s="66" t="s">
        <v>89</v>
      </c>
      <c r="M431" s="67" t="s">
        <v>2661</v>
      </c>
      <c r="N431" s="66" t="s">
        <v>2662</v>
      </c>
      <c r="O431" s="66" t="s">
        <v>7</v>
      </c>
      <c r="P431" s="66" t="s">
        <v>89</v>
      </c>
      <c r="Q431" s="66" t="s">
        <v>65</v>
      </c>
      <c r="R431" s="67" cm="1">
        <f t="array" aca="1" ref="R431" ca="1">_xlfn.CHOOSECOLS(_xlfn.CHOOSEROWS(_xlfn._xlws.FILTER(표2[],표2[DWG No.]=C431,""),1),6)</f>
        <v>42874</v>
      </c>
      <c r="S431" s="67" cm="1">
        <f t="array" aca="1" ref="S431" ca="1">_xlfn.CHOOSECOLS(_xlfn.CHOOSEROWS(_xlfn._xlws.FILTER(표2[],(표2[DWG No.]=C431)*(ISNUMBER(표2[Rev.])),""),1),6)</f>
        <v>42962</v>
      </c>
    </row>
    <row r="432" spans="1:19" ht="18" customHeight="1" x14ac:dyDescent="0.45">
      <c r="A432" s="64">
        <v>427</v>
      </c>
      <c r="B432" s="49" t="s">
        <v>57</v>
      </c>
      <c r="C432" s="65" t="s">
        <v>1711</v>
      </c>
      <c r="D432" s="66" t="s">
        <v>1712</v>
      </c>
      <c r="E432" s="65" t="s">
        <v>1713</v>
      </c>
      <c r="F432" s="66" t="s">
        <v>5</v>
      </c>
      <c r="G432" s="67">
        <v>43061</v>
      </c>
      <c r="H432" s="67">
        <v>43183</v>
      </c>
      <c r="I432" s="67">
        <v>43420</v>
      </c>
      <c r="J432" s="66" t="s">
        <v>2562</v>
      </c>
      <c r="K432" s="66" t="s">
        <v>7</v>
      </c>
      <c r="L432" s="66" t="s">
        <v>89</v>
      </c>
      <c r="M432" s="67" t="s">
        <v>2563</v>
      </c>
      <c r="N432" s="66" t="s">
        <v>2564</v>
      </c>
      <c r="O432" s="66" t="s">
        <v>7</v>
      </c>
      <c r="P432" s="66" t="s">
        <v>89</v>
      </c>
      <c r="Q432" s="66" t="s">
        <v>65</v>
      </c>
      <c r="R432" s="67" cm="1">
        <f t="array" aca="1" ref="R432" ca="1">_xlfn.CHOOSECOLS(_xlfn.CHOOSEROWS(_xlfn._xlws.FILTER(표2[],표2[DWG No.]=C432,""),1),6)</f>
        <v>43042</v>
      </c>
      <c r="S432" s="67" cm="1">
        <f t="array" aca="1" ref="S432" ca="1">_xlfn.CHOOSECOLS(_xlfn.CHOOSEROWS(_xlfn._xlws.FILTER(표2[],(표2[DWG No.]=C432)*(ISNUMBER(표2[Rev.])),""),1),6)</f>
        <v>43180</v>
      </c>
    </row>
    <row r="433" spans="1:19" ht="18" customHeight="1" x14ac:dyDescent="0.45">
      <c r="A433" s="64">
        <v>428</v>
      </c>
      <c r="B433" s="49" t="s">
        <v>57</v>
      </c>
      <c r="C433" s="65" t="s">
        <v>1714</v>
      </c>
      <c r="D433" s="66" t="s">
        <v>1715</v>
      </c>
      <c r="E433" s="65" t="s">
        <v>1716</v>
      </c>
      <c r="F433" s="66" t="s">
        <v>5</v>
      </c>
      <c r="G433" s="67">
        <v>42869</v>
      </c>
      <c r="H433" s="67">
        <v>42991</v>
      </c>
      <c r="I433" s="67">
        <v>43007</v>
      </c>
      <c r="J433" s="66" t="s">
        <v>1717</v>
      </c>
      <c r="K433" s="66" t="s">
        <v>7</v>
      </c>
      <c r="L433" s="66" t="s">
        <v>62</v>
      </c>
      <c r="M433" s="67" t="s">
        <v>143</v>
      </c>
      <c r="N433" s="66" t="s">
        <v>1718</v>
      </c>
      <c r="O433" s="66" t="s">
        <v>7</v>
      </c>
      <c r="P433" s="66" t="s">
        <v>62</v>
      </c>
      <c r="Q433" s="66" t="s">
        <v>5002</v>
      </c>
      <c r="R433" s="67" cm="1">
        <f t="array" aca="1" ref="R433" ca="1">_xlfn.CHOOSECOLS(_xlfn.CHOOSEROWS(_xlfn._xlws.FILTER(표2[],표2[DWG No.]=C433,""),1),6)</f>
        <v>42874</v>
      </c>
      <c r="S433" s="67" cm="1">
        <f t="array" aca="1" ref="S433" ca="1">_xlfn.CHOOSECOLS(_xlfn.CHOOSEROWS(_xlfn._xlws.FILTER(표2[],(표2[DWG No.]=C433)*(ISNUMBER(표2[Rev.])),""),1),6)</f>
        <v>43007</v>
      </c>
    </row>
    <row r="434" spans="1:19" ht="18" customHeight="1" x14ac:dyDescent="0.45">
      <c r="A434" s="64">
        <v>429</v>
      </c>
      <c r="B434" s="49" t="s">
        <v>57</v>
      </c>
      <c r="C434" s="65" t="s">
        <v>1719</v>
      </c>
      <c r="D434" s="66" t="s">
        <v>1720</v>
      </c>
      <c r="E434" s="65" t="s">
        <v>1721</v>
      </c>
      <c r="F434" s="66" t="s">
        <v>5</v>
      </c>
      <c r="G434" s="67">
        <v>42869</v>
      </c>
      <c r="H434" s="67">
        <v>42991</v>
      </c>
      <c r="I434" s="67">
        <v>43007</v>
      </c>
      <c r="J434" s="66" t="s">
        <v>1717</v>
      </c>
      <c r="K434" s="66" t="s">
        <v>7</v>
      </c>
      <c r="L434" s="66" t="s">
        <v>62</v>
      </c>
      <c r="M434" s="67" t="s">
        <v>143</v>
      </c>
      <c r="N434" s="66" t="s">
        <v>1722</v>
      </c>
      <c r="O434" s="66" t="s">
        <v>7</v>
      </c>
      <c r="P434" s="66" t="s">
        <v>62</v>
      </c>
      <c r="Q434" s="66" t="s">
        <v>5002</v>
      </c>
      <c r="R434" s="67" cm="1">
        <f t="array" aca="1" ref="R434" ca="1">_xlfn.CHOOSECOLS(_xlfn.CHOOSEROWS(_xlfn._xlws.FILTER(표2[],표2[DWG No.]=C434,""),1),6)</f>
        <v>42874</v>
      </c>
      <c r="S434" s="67" cm="1">
        <f t="array" aca="1" ref="S434" ca="1">_xlfn.CHOOSECOLS(_xlfn.CHOOSEROWS(_xlfn._xlws.FILTER(표2[],(표2[DWG No.]=C434)*(ISNUMBER(표2[Rev.])),""),1),6)</f>
        <v>43007</v>
      </c>
    </row>
    <row r="435" spans="1:19" ht="18" customHeight="1" x14ac:dyDescent="0.45">
      <c r="A435" s="64">
        <v>430</v>
      </c>
      <c r="B435" s="49" t="s">
        <v>57</v>
      </c>
      <c r="C435" s="65" t="s">
        <v>1723</v>
      </c>
      <c r="D435" s="66" t="s">
        <v>1724</v>
      </c>
      <c r="E435" s="65" t="s">
        <v>1725</v>
      </c>
      <c r="F435" s="66" t="s">
        <v>5</v>
      </c>
      <c r="G435" s="67">
        <v>42822</v>
      </c>
      <c r="H435" s="67">
        <v>42944</v>
      </c>
      <c r="I435" s="67">
        <v>42962</v>
      </c>
      <c r="J435" s="66" t="s">
        <v>1610</v>
      </c>
      <c r="K435" s="66" t="s">
        <v>7</v>
      </c>
      <c r="L435" s="66" t="s">
        <v>62</v>
      </c>
      <c r="M435" s="67" t="s">
        <v>519</v>
      </c>
      <c r="N435" s="66" t="s">
        <v>81</v>
      </c>
      <c r="O435" s="66" t="s">
        <v>7</v>
      </c>
      <c r="P435" s="66" t="s">
        <v>62</v>
      </c>
      <c r="Q435" s="66" t="s">
        <v>5002</v>
      </c>
      <c r="R435" s="67" cm="1">
        <f t="array" aca="1" ref="R435" ca="1">_xlfn.CHOOSECOLS(_xlfn.CHOOSEROWS(_xlfn._xlws.FILTER(표2[],표2[DWG No.]=C435,""),1),6)</f>
        <v>42843</v>
      </c>
      <c r="S435" s="67" cm="1">
        <f t="array" aca="1" ref="S435" ca="1">_xlfn.CHOOSECOLS(_xlfn.CHOOSEROWS(_xlfn._xlws.FILTER(표2[],(표2[DWG No.]=C435)*(ISNUMBER(표2[Rev.])),""),1),6)</f>
        <v>42962</v>
      </c>
    </row>
    <row r="436" spans="1:19" ht="18" customHeight="1" x14ac:dyDescent="0.45">
      <c r="A436" s="64">
        <v>431</v>
      </c>
      <c r="B436" s="49" t="s">
        <v>57</v>
      </c>
      <c r="C436" s="65" t="s">
        <v>1726</v>
      </c>
      <c r="D436" s="66" t="s">
        <v>1727</v>
      </c>
      <c r="E436" s="65" t="s">
        <v>1728</v>
      </c>
      <c r="F436" s="66" t="s">
        <v>6</v>
      </c>
      <c r="G436" s="67">
        <v>42822</v>
      </c>
      <c r="H436" s="67">
        <v>42937</v>
      </c>
      <c r="I436" s="67">
        <v>43066</v>
      </c>
      <c r="J436" s="66" t="s">
        <v>1729</v>
      </c>
      <c r="K436" s="66" t="s">
        <v>7</v>
      </c>
      <c r="L436" s="66" t="s">
        <v>62</v>
      </c>
      <c r="M436" s="67" t="s">
        <v>155</v>
      </c>
      <c r="N436" s="66" t="s">
        <v>1730</v>
      </c>
      <c r="O436" s="66" t="s">
        <v>7</v>
      </c>
      <c r="P436" s="66" t="s">
        <v>62</v>
      </c>
      <c r="Q436" s="66" t="s">
        <v>5002</v>
      </c>
      <c r="R436" s="67" cm="1">
        <f t="array" aca="1" ref="R436" ca="1">_xlfn.CHOOSECOLS(_xlfn.CHOOSEROWS(_xlfn._xlws.FILTER(표2[],표2[DWG No.]=C436,""),1),6)</f>
        <v>42835</v>
      </c>
      <c r="S436" s="67" cm="1">
        <f t="array" aca="1" ref="S436" ca="1">_xlfn.CHOOSECOLS(_xlfn.CHOOSEROWS(_xlfn._xlws.FILTER(표2[],(표2[DWG No.]=C436)*(ISNUMBER(표2[Rev.])),""),1),6)</f>
        <v>43066</v>
      </c>
    </row>
    <row r="437" spans="1:19" ht="18" customHeight="1" x14ac:dyDescent="0.45">
      <c r="A437" s="64">
        <v>432</v>
      </c>
      <c r="B437" s="49" t="s">
        <v>57</v>
      </c>
      <c r="C437" s="65" t="s">
        <v>1731</v>
      </c>
      <c r="D437" s="66" t="s">
        <v>1732</v>
      </c>
      <c r="E437" s="65" t="s">
        <v>1733</v>
      </c>
      <c r="F437" s="66" t="s">
        <v>5</v>
      </c>
      <c r="G437" s="67">
        <v>42877</v>
      </c>
      <c r="H437" s="67">
        <v>42999</v>
      </c>
      <c r="I437" s="67">
        <v>43480</v>
      </c>
      <c r="J437" s="66" t="s">
        <v>2628</v>
      </c>
      <c r="K437" s="66" t="s">
        <v>7</v>
      </c>
      <c r="L437" s="66" t="s">
        <v>89</v>
      </c>
      <c r="M437" s="67" t="s">
        <v>2629</v>
      </c>
      <c r="N437" s="66" t="s">
        <v>2632</v>
      </c>
      <c r="O437" s="66" t="s">
        <v>7</v>
      </c>
      <c r="P437" s="66" t="s">
        <v>89</v>
      </c>
      <c r="Q437" s="66" t="s">
        <v>65</v>
      </c>
      <c r="R437" s="67" cm="1">
        <f t="array" aca="1" ref="R437" ca="1">_xlfn.CHOOSECOLS(_xlfn.CHOOSEROWS(_xlfn._xlws.FILTER(표2[],표2[DWG No.]=C437,""),1),6)</f>
        <v>42929</v>
      </c>
      <c r="S437" s="67" cm="1">
        <f t="array" aca="1" ref="S437" ca="1">_xlfn.CHOOSECOLS(_xlfn.CHOOSEROWS(_xlfn._xlws.FILTER(표2[],(표2[DWG No.]=C437)*(ISNUMBER(표2[Rev.])),""),1),6)</f>
        <v>43007</v>
      </c>
    </row>
    <row r="438" spans="1:19" ht="18" customHeight="1" x14ac:dyDescent="0.45">
      <c r="A438" s="64">
        <v>433</v>
      </c>
      <c r="B438" s="49" t="s">
        <v>57</v>
      </c>
      <c r="C438" s="65" t="s">
        <v>1734</v>
      </c>
      <c r="D438" s="66" t="s">
        <v>1735</v>
      </c>
      <c r="E438" s="65" t="s">
        <v>1736</v>
      </c>
      <c r="F438" s="66" t="s">
        <v>5</v>
      </c>
      <c r="G438" s="67">
        <v>42877</v>
      </c>
      <c r="H438" s="67">
        <v>42999</v>
      </c>
      <c r="I438" s="67">
        <v>43007</v>
      </c>
      <c r="J438" s="66" t="s">
        <v>1625</v>
      </c>
      <c r="K438" s="66" t="s">
        <v>7</v>
      </c>
      <c r="L438" s="66" t="s">
        <v>62</v>
      </c>
      <c r="M438" s="67" t="s">
        <v>143</v>
      </c>
      <c r="N438" s="66" t="s">
        <v>1737</v>
      </c>
      <c r="O438" s="66" t="s">
        <v>7</v>
      </c>
      <c r="P438" s="66" t="s">
        <v>62</v>
      </c>
      <c r="Q438" s="66" t="s">
        <v>5003</v>
      </c>
      <c r="R438" s="67" cm="1">
        <f t="array" aca="1" ref="R438" ca="1">_xlfn.CHOOSECOLS(_xlfn.CHOOSEROWS(_xlfn._xlws.FILTER(표2[],표2[DWG No.]=C438,""),1),6)</f>
        <v>42878</v>
      </c>
      <c r="S438" s="67" cm="1">
        <f t="array" aca="1" ref="S438" ca="1">_xlfn.CHOOSECOLS(_xlfn.CHOOSEROWS(_xlfn._xlws.FILTER(표2[],(표2[DWG No.]=C438)*(ISNUMBER(표2[Rev.])),""),1),6)</f>
        <v>43007</v>
      </c>
    </row>
    <row r="439" spans="1:19" ht="18" customHeight="1" x14ac:dyDescent="0.45">
      <c r="A439" s="64">
        <v>434</v>
      </c>
      <c r="B439" s="49" t="s">
        <v>57</v>
      </c>
      <c r="C439" s="65" t="s">
        <v>1738</v>
      </c>
      <c r="D439" s="66" t="s">
        <v>1739</v>
      </c>
      <c r="E439" s="65" t="s">
        <v>1740</v>
      </c>
      <c r="F439" s="66" t="s">
        <v>5</v>
      </c>
      <c r="G439" s="67">
        <v>42938</v>
      </c>
      <c r="H439" s="67">
        <v>43060</v>
      </c>
      <c r="I439" s="67">
        <v>43507</v>
      </c>
      <c r="J439" s="66" t="s">
        <v>2649</v>
      </c>
      <c r="K439" s="66" t="s">
        <v>7</v>
      </c>
      <c r="L439" s="66" t="s">
        <v>230</v>
      </c>
      <c r="M439" s="67" t="s">
        <v>2641</v>
      </c>
      <c r="N439" s="66" t="s">
        <v>2650</v>
      </c>
      <c r="O439" s="66" t="s">
        <v>7</v>
      </c>
      <c r="P439" s="66" t="s">
        <v>230</v>
      </c>
      <c r="Q439" s="66" t="s">
        <v>65</v>
      </c>
      <c r="R439" s="67" cm="1">
        <f t="array" aca="1" ref="R439" ca="1">_xlfn.CHOOSECOLS(_xlfn.CHOOSEROWS(_xlfn._xlws.FILTER(표2[],표2[DWG No.]=C439,""),1),6)</f>
        <v>43007</v>
      </c>
      <c r="S439" s="67" cm="1">
        <f t="array" aca="1" ref="S439" ca="1">_xlfn.CHOOSECOLS(_xlfn.CHOOSEROWS(_xlfn._xlws.FILTER(표2[],(표2[DWG No.]=C439)*(ISNUMBER(표2[Rev.])),""),1),6)</f>
        <v>43068</v>
      </c>
    </row>
    <row r="440" spans="1:19" ht="18" customHeight="1" x14ac:dyDescent="0.45">
      <c r="A440" s="64">
        <v>435</v>
      </c>
      <c r="B440" s="49" t="s">
        <v>57</v>
      </c>
      <c r="C440" s="65" t="s">
        <v>1741</v>
      </c>
      <c r="D440" s="66" t="s">
        <v>1742</v>
      </c>
      <c r="E440" s="65" t="s">
        <v>1743</v>
      </c>
      <c r="F440" s="66" t="s">
        <v>6</v>
      </c>
      <c r="G440" s="67">
        <v>42994</v>
      </c>
      <c r="H440" s="67">
        <v>43091</v>
      </c>
      <c r="I440" s="67">
        <v>43034</v>
      </c>
      <c r="J440" s="66" t="s">
        <v>1744</v>
      </c>
      <c r="K440" s="66" t="s">
        <v>7</v>
      </c>
      <c r="L440" s="66" t="s">
        <v>62</v>
      </c>
      <c r="M440" s="67" t="s">
        <v>90</v>
      </c>
      <c r="N440" s="66" t="s">
        <v>1745</v>
      </c>
      <c r="O440" s="66" t="s">
        <v>7</v>
      </c>
      <c r="P440" s="66" t="s">
        <v>62</v>
      </c>
      <c r="Q440" s="66" t="s">
        <v>5003</v>
      </c>
      <c r="R440" s="67" cm="1">
        <f t="array" aca="1" ref="R440" ca="1">_xlfn.CHOOSECOLS(_xlfn.CHOOSEROWS(_xlfn._xlws.FILTER(표2[],표2[DWG No.]=C440,""),1),6)</f>
        <v>42984</v>
      </c>
      <c r="S440" s="67" cm="1">
        <f t="array" aca="1" ref="S440" ca="1">_xlfn.CHOOSECOLS(_xlfn.CHOOSEROWS(_xlfn._xlws.FILTER(표2[],(표2[DWG No.]=C440)*(ISNUMBER(표2[Rev.])),""),1),6)</f>
        <v>43034</v>
      </c>
    </row>
    <row r="441" spans="1:19" ht="18" customHeight="1" x14ac:dyDescent="0.45">
      <c r="A441" s="64">
        <v>436</v>
      </c>
      <c r="B441" s="49" t="s">
        <v>57</v>
      </c>
      <c r="C441" s="65" t="s">
        <v>1746</v>
      </c>
      <c r="D441" s="66" t="s">
        <v>1747</v>
      </c>
      <c r="E441" s="65" t="s">
        <v>1748</v>
      </c>
      <c r="F441" s="66" t="s">
        <v>5</v>
      </c>
      <c r="G441" s="67">
        <v>42816</v>
      </c>
      <c r="H441" s="67">
        <v>42938</v>
      </c>
      <c r="I441" s="67">
        <v>42962</v>
      </c>
      <c r="J441" s="66" t="s">
        <v>1610</v>
      </c>
      <c r="K441" s="66" t="s">
        <v>7</v>
      </c>
      <c r="L441" s="66" t="s">
        <v>62</v>
      </c>
      <c r="M441" s="67" t="s">
        <v>519</v>
      </c>
      <c r="N441" s="66" t="s">
        <v>81</v>
      </c>
      <c r="O441" s="66" t="s">
        <v>7</v>
      </c>
      <c r="P441" s="66" t="s">
        <v>62</v>
      </c>
      <c r="Q441" s="66" t="s">
        <v>5002</v>
      </c>
      <c r="R441" s="67" cm="1">
        <f t="array" aca="1" ref="R441" ca="1">_xlfn.CHOOSECOLS(_xlfn.CHOOSEROWS(_xlfn._xlws.FILTER(표2[],표2[DWG No.]=C441,""),1),6)</f>
        <v>42874</v>
      </c>
      <c r="S441" s="67" cm="1">
        <f t="array" aca="1" ref="S441" ca="1">_xlfn.CHOOSECOLS(_xlfn.CHOOSEROWS(_xlfn._xlws.FILTER(표2[],(표2[DWG No.]=C441)*(ISNUMBER(표2[Rev.])),""),1),6)</f>
        <v>42962</v>
      </c>
    </row>
    <row r="442" spans="1:19" ht="18" customHeight="1" x14ac:dyDescent="0.45">
      <c r="A442" s="64">
        <v>437</v>
      </c>
      <c r="B442" s="49" t="s">
        <v>57</v>
      </c>
      <c r="C442" s="65" t="s">
        <v>1749</v>
      </c>
      <c r="D442" s="66" t="s">
        <v>1750</v>
      </c>
      <c r="E442" s="65" t="s">
        <v>1751</v>
      </c>
      <c r="F442" s="66" t="s">
        <v>5</v>
      </c>
      <c r="G442" s="67">
        <v>42994</v>
      </c>
      <c r="H442" s="67">
        <v>43121</v>
      </c>
      <c r="I442" s="67">
        <v>43034</v>
      </c>
      <c r="J442" s="66" t="s">
        <v>1744</v>
      </c>
      <c r="K442" s="66" t="s">
        <v>7</v>
      </c>
      <c r="L442" s="66" t="s">
        <v>62</v>
      </c>
      <c r="M442" s="67" t="s">
        <v>90</v>
      </c>
      <c r="N442" s="66" t="s">
        <v>1752</v>
      </c>
      <c r="O442" s="66" t="s">
        <v>7</v>
      </c>
      <c r="P442" s="66" t="s">
        <v>62</v>
      </c>
      <c r="Q442" s="66" t="s">
        <v>5003</v>
      </c>
      <c r="R442" s="67" cm="1">
        <f t="array" aca="1" ref="R442" ca="1">_xlfn.CHOOSECOLS(_xlfn.CHOOSEROWS(_xlfn._xlws.FILTER(표2[],표2[DWG No.]=C442,""),1),6)</f>
        <v>42984</v>
      </c>
      <c r="S442" s="67" cm="1">
        <f t="array" aca="1" ref="S442" ca="1">_xlfn.CHOOSECOLS(_xlfn.CHOOSEROWS(_xlfn._xlws.FILTER(표2[],(표2[DWG No.]=C442)*(ISNUMBER(표2[Rev.])),""),1),6)</f>
        <v>43034</v>
      </c>
    </row>
    <row r="443" spans="1:19" ht="18" customHeight="1" x14ac:dyDescent="0.45">
      <c r="A443" s="64">
        <v>438</v>
      </c>
      <c r="B443" s="49" t="s">
        <v>57</v>
      </c>
      <c r="C443" s="65" t="s">
        <v>1753</v>
      </c>
      <c r="D443" s="66" t="s">
        <v>1754</v>
      </c>
      <c r="E443" s="65" t="s">
        <v>1755</v>
      </c>
      <c r="F443" s="66" t="s">
        <v>5</v>
      </c>
      <c r="G443" s="67">
        <v>42994</v>
      </c>
      <c r="H443" s="67">
        <v>43121</v>
      </c>
      <c r="I443" s="67">
        <v>43481</v>
      </c>
      <c r="J443" s="66" t="s">
        <v>2633</v>
      </c>
      <c r="K443" s="66" t="s">
        <v>7</v>
      </c>
      <c r="L443" s="66" t="s">
        <v>62</v>
      </c>
      <c r="M443" s="67" t="s">
        <v>2634</v>
      </c>
      <c r="N443" s="66" t="s">
        <v>2635</v>
      </c>
      <c r="O443" s="66" t="s">
        <v>7</v>
      </c>
      <c r="P443" s="66" t="s">
        <v>62</v>
      </c>
      <c r="Q443" s="66" t="s">
        <v>65</v>
      </c>
      <c r="R443" s="67" cm="1">
        <f t="array" aca="1" ref="R443" ca="1">_xlfn.CHOOSECOLS(_xlfn.CHOOSEROWS(_xlfn._xlws.FILTER(표2[],표2[DWG No.]=C443,""),1),6)</f>
        <v>42984</v>
      </c>
      <c r="S443" s="67" cm="1">
        <f t="array" aca="1" ref="S443" ca="1">_xlfn.CHOOSECOLS(_xlfn.CHOOSEROWS(_xlfn._xlws.FILTER(표2[],(표2[DWG No.]=C443)*(ISNUMBER(표2[Rev.])),""),1),6)</f>
        <v>43139</v>
      </c>
    </row>
    <row r="444" spans="1:19" ht="18" customHeight="1" x14ac:dyDescent="0.45">
      <c r="A444" s="64">
        <v>439</v>
      </c>
      <c r="B444" s="49" t="s">
        <v>57</v>
      </c>
      <c r="C444" s="65" t="s">
        <v>1756</v>
      </c>
      <c r="D444" s="66" t="s">
        <v>1757</v>
      </c>
      <c r="E444" s="65" t="s">
        <v>1758</v>
      </c>
      <c r="F444" s="66" t="s">
        <v>5</v>
      </c>
      <c r="G444" s="67">
        <v>43061</v>
      </c>
      <c r="H444" s="67">
        <v>43169</v>
      </c>
      <c r="I444" s="67">
        <v>43178</v>
      </c>
      <c r="J444" s="66" t="s">
        <v>1759</v>
      </c>
      <c r="K444" s="66" t="s">
        <v>7</v>
      </c>
      <c r="L444" s="66" t="s">
        <v>62</v>
      </c>
      <c r="M444" s="67" t="s">
        <v>944</v>
      </c>
      <c r="N444" s="66" t="s">
        <v>1760</v>
      </c>
      <c r="O444" s="66" t="s">
        <v>7</v>
      </c>
      <c r="P444" s="66" t="s">
        <v>62</v>
      </c>
      <c r="Q444" s="66" t="s">
        <v>5002</v>
      </c>
      <c r="R444" s="67" cm="1">
        <f t="array" aca="1" ref="R444" ca="1">_xlfn.CHOOSECOLS(_xlfn.CHOOSEROWS(_xlfn._xlws.FILTER(표2[],표2[DWG No.]=C444,""),1),6)</f>
        <v>43068</v>
      </c>
      <c r="S444" s="67" cm="1">
        <f t="array" aca="1" ref="S444" ca="1">_xlfn.CHOOSECOLS(_xlfn.CHOOSEROWS(_xlfn._xlws.FILTER(표2[],(표2[DWG No.]=C444)*(ISNUMBER(표2[Rev.])),""),1),6)</f>
        <v>43178</v>
      </c>
    </row>
    <row r="445" spans="1:19" ht="18" customHeight="1" x14ac:dyDescent="0.45">
      <c r="A445" s="64">
        <v>440</v>
      </c>
      <c r="B445" s="49" t="s">
        <v>57</v>
      </c>
      <c r="C445" s="65" t="s">
        <v>1761</v>
      </c>
      <c r="D445" s="66" t="s">
        <v>1762</v>
      </c>
      <c r="E445" s="65" t="s">
        <v>1763</v>
      </c>
      <c r="F445" s="66" t="s">
        <v>5</v>
      </c>
      <c r="G445" s="67">
        <v>43061</v>
      </c>
      <c r="H445" s="67">
        <v>43169</v>
      </c>
      <c r="I445" s="67">
        <v>43818</v>
      </c>
      <c r="J445" s="66" t="s">
        <v>2777</v>
      </c>
      <c r="K445" s="66" t="s">
        <v>7</v>
      </c>
      <c r="L445" s="66" t="s">
        <v>89</v>
      </c>
      <c r="M445" s="67" t="s">
        <v>2778</v>
      </c>
      <c r="N445" s="66" t="s">
        <v>2780</v>
      </c>
      <c r="O445" s="66" t="s">
        <v>7</v>
      </c>
      <c r="P445" s="66" t="s">
        <v>89</v>
      </c>
      <c r="Q445" s="66" t="s">
        <v>65</v>
      </c>
      <c r="R445" s="67" cm="1">
        <f t="array" aca="1" ref="R445" ca="1">_xlfn.CHOOSECOLS(_xlfn.CHOOSEROWS(_xlfn._xlws.FILTER(표2[],표2[DWG No.]=C445,""),1),6)</f>
        <v>43042</v>
      </c>
      <c r="S445" s="67" t="e" cm="1">
        <f t="array" ref="S445">_xlfn.CHOOSECOLS(_xlfn.CHOOSEROWS(_xlfn._xlws.FILTER(표2[],(표2[DWG No.]=C445)*(ISNUMBER(표2[Rev.])),""),1),6)</f>
        <v>#VALUE!</v>
      </c>
    </row>
    <row r="446" spans="1:19" ht="18" customHeight="1" x14ac:dyDescent="0.45">
      <c r="A446" s="64">
        <v>441</v>
      </c>
      <c r="B446" s="49" t="s">
        <v>57</v>
      </c>
      <c r="C446" s="65" t="s">
        <v>1764</v>
      </c>
      <c r="D446" s="66" t="s">
        <v>1765</v>
      </c>
      <c r="E446" s="65" t="s">
        <v>1766</v>
      </c>
      <c r="F446" s="66" t="s">
        <v>5</v>
      </c>
      <c r="G446" s="67">
        <v>43059</v>
      </c>
      <c r="H446" s="67">
        <v>43150</v>
      </c>
      <c r="I446" s="67">
        <v>43139</v>
      </c>
      <c r="J446" s="66" t="s">
        <v>1617</v>
      </c>
      <c r="K446" s="66" t="s">
        <v>7</v>
      </c>
      <c r="L446" s="66" t="s">
        <v>62</v>
      </c>
      <c r="M446" s="67" t="s">
        <v>1675</v>
      </c>
      <c r="N446" s="66" t="s">
        <v>1767</v>
      </c>
      <c r="O446" s="66" t="s">
        <v>7</v>
      </c>
      <c r="P446" s="66" t="s">
        <v>62</v>
      </c>
      <c r="Q446" s="66" t="s">
        <v>5002</v>
      </c>
      <c r="R446" s="67" cm="1">
        <f t="array" aca="1" ref="R446" ca="1">_xlfn.CHOOSECOLS(_xlfn.CHOOSEROWS(_xlfn._xlws.FILTER(표2[],표2[DWG No.]=C446,""),1),6)</f>
        <v>43042</v>
      </c>
      <c r="S446" s="67" cm="1">
        <f t="array" aca="1" ref="S446" ca="1">_xlfn.CHOOSECOLS(_xlfn.CHOOSEROWS(_xlfn._xlws.FILTER(표2[],(표2[DWG No.]=C446)*(ISNUMBER(표2[Rev.])),""),1),6)</f>
        <v>43139</v>
      </c>
    </row>
    <row r="447" spans="1:19" ht="18" customHeight="1" x14ac:dyDescent="0.45">
      <c r="A447" s="64">
        <v>442</v>
      </c>
      <c r="B447" s="49" t="s">
        <v>57</v>
      </c>
      <c r="C447" s="65" t="s">
        <v>1768</v>
      </c>
      <c r="D447" s="66" t="s">
        <v>1769</v>
      </c>
      <c r="E447" s="65" t="s">
        <v>1770</v>
      </c>
      <c r="F447" s="66" t="s">
        <v>5</v>
      </c>
      <c r="G447" s="67">
        <v>43159</v>
      </c>
      <c r="H447" s="67">
        <v>43242</v>
      </c>
      <c r="I447" s="67">
        <v>43215</v>
      </c>
      <c r="J447" s="66" t="s">
        <v>2565</v>
      </c>
      <c r="K447" s="66" t="s">
        <v>7</v>
      </c>
      <c r="L447" s="66" t="s">
        <v>62</v>
      </c>
      <c r="M447" s="67" t="s">
        <v>2485</v>
      </c>
      <c r="N447" s="66" t="s">
        <v>2566</v>
      </c>
      <c r="O447" s="66" t="s">
        <v>7</v>
      </c>
      <c r="P447" s="66" t="s">
        <v>62</v>
      </c>
      <c r="Q447" s="66" t="s">
        <v>5003</v>
      </c>
      <c r="R447" s="67" cm="1">
        <f t="array" aca="1" ref="R447" ca="1">_xlfn.CHOOSECOLS(_xlfn.CHOOSEROWS(_xlfn._xlws.FILTER(표2[],표2[DWG No.]=C447,""),1),6)</f>
        <v>43192</v>
      </c>
      <c r="S447" s="67" cm="1">
        <f t="array" aca="1" ref="S447" ca="1">_xlfn.CHOOSECOLS(_xlfn.CHOOSEROWS(_xlfn._xlws.FILTER(표2[],(표2[DWG No.]=C447)*(ISNUMBER(표2[Rev.])),""),1),6)</f>
        <v>43215</v>
      </c>
    </row>
    <row r="448" spans="1:19" ht="18" customHeight="1" x14ac:dyDescent="0.45">
      <c r="A448" s="64">
        <v>443</v>
      </c>
      <c r="B448" s="49" t="s">
        <v>57</v>
      </c>
      <c r="C448" s="65" t="s">
        <v>1771</v>
      </c>
      <c r="D448" s="66" t="s">
        <v>1772</v>
      </c>
      <c r="E448" s="65" t="s">
        <v>1773</v>
      </c>
      <c r="F448" s="66" t="s">
        <v>5</v>
      </c>
      <c r="G448" s="67">
        <v>43159</v>
      </c>
      <c r="H448" s="67">
        <v>43242</v>
      </c>
      <c r="I448" s="67">
        <v>43322</v>
      </c>
      <c r="J448" s="66" t="s">
        <v>2567</v>
      </c>
      <c r="K448" s="66" t="s">
        <v>7</v>
      </c>
      <c r="L448" s="66" t="s">
        <v>230</v>
      </c>
      <c r="M448" s="67" t="s">
        <v>2458</v>
      </c>
      <c r="N448" s="66" t="s">
        <v>2568</v>
      </c>
      <c r="O448" s="66" t="s">
        <v>7</v>
      </c>
      <c r="P448" s="66" t="s">
        <v>230</v>
      </c>
      <c r="Q448" s="66" t="s">
        <v>65</v>
      </c>
      <c r="R448" s="67" cm="1">
        <f t="array" aca="1" ref="R448" ca="1">_xlfn.CHOOSECOLS(_xlfn.CHOOSEROWS(_xlfn._xlws.FILTER(표2[],표2[DWG No.]=C448,""),1),6)</f>
        <v>43236</v>
      </c>
      <c r="S448" s="67" cm="1">
        <f t="array" aca="1" ref="S448" ca="1">_xlfn.CHOOSECOLS(_xlfn.CHOOSEROWS(_xlfn._xlws.FILTER(표2[],(표2[DWG No.]=C448)*(ISNUMBER(표2[Rev.])),""),1),6)</f>
        <v>43256</v>
      </c>
    </row>
    <row r="449" spans="1:19" ht="18" customHeight="1" x14ac:dyDescent="0.45">
      <c r="A449" s="64">
        <v>444</v>
      </c>
      <c r="B449" s="49" t="s">
        <v>57</v>
      </c>
      <c r="C449" s="65" t="s">
        <v>1774</v>
      </c>
      <c r="D449" s="66" t="s">
        <v>1775</v>
      </c>
      <c r="E449" s="65" t="s">
        <v>1776</v>
      </c>
      <c r="F449" s="66" t="s">
        <v>5</v>
      </c>
      <c r="G449" s="67">
        <v>43159</v>
      </c>
      <c r="H449" s="67">
        <v>43242</v>
      </c>
      <c r="I449" s="67">
        <v>43222</v>
      </c>
      <c r="J449" s="66" t="s">
        <v>2569</v>
      </c>
      <c r="K449" s="66" t="s">
        <v>7</v>
      </c>
      <c r="L449" s="66" t="s">
        <v>62</v>
      </c>
      <c r="M449" s="67" t="s">
        <v>2485</v>
      </c>
      <c r="N449" s="66" t="s">
        <v>2570</v>
      </c>
      <c r="O449" s="66" t="s">
        <v>7</v>
      </c>
      <c r="P449" s="66" t="s">
        <v>62</v>
      </c>
      <c r="Q449" s="66" t="s">
        <v>5003</v>
      </c>
      <c r="R449" s="67" cm="1">
        <f t="array" aca="1" ref="R449" ca="1">_xlfn.CHOOSECOLS(_xlfn.CHOOSEROWS(_xlfn._xlws.FILTER(표2[],표2[DWG No.]=C449,""),1),6)</f>
        <v>43192</v>
      </c>
      <c r="S449" s="67" cm="1">
        <f t="array" aca="1" ref="S449" ca="1">_xlfn.CHOOSECOLS(_xlfn.CHOOSEROWS(_xlfn._xlws.FILTER(표2[],(표2[DWG No.]=C449)*(ISNUMBER(표2[Rev.])),""),1),6)</f>
        <v>43222</v>
      </c>
    </row>
    <row r="450" spans="1:19" ht="18" customHeight="1" x14ac:dyDescent="0.45">
      <c r="A450" s="64">
        <v>445</v>
      </c>
      <c r="B450" s="49" t="s">
        <v>57</v>
      </c>
      <c r="C450" s="65" t="s">
        <v>1777</v>
      </c>
      <c r="D450" s="66" t="s">
        <v>1778</v>
      </c>
      <c r="E450" s="65" t="s">
        <v>1779</v>
      </c>
      <c r="F450" s="66" t="s">
        <v>5</v>
      </c>
      <c r="G450" s="67">
        <v>43159</v>
      </c>
      <c r="H450" s="67">
        <v>43242</v>
      </c>
      <c r="I450" s="67">
        <v>43207</v>
      </c>
      <c r="J450" s="66" t="s">
        <v>1780</v>
      </c>
      <c r="K450" s="66" t="s">
        <v>7</v>
      </c>
      <c r="L450" s="66" t="s">
        <v>62</v>
      </c>
      <c r="M450" s="67" t="s">
        <v>2491</v>
      </c>
      <c r="N450" s="66" t="s">
        <v>2571</v>
      </c>
      <c r="O450" s="66" t="s">
        <v>7</v>
      </c>
      <c r="P450" s="66" t="s">
        <v>62</v>
      </c>
      <c r="Q450" s="66" t="s">
        <v>5003</v>
      </c>
      <c r="R450" s="67" cm="1">
        <f t="array" aca="1" ref="R450" ca="1">_xlfn.CHOOSECOLS(_xlfn.CHOOSEROWS(_xlfn._xlws.FILTER(표2[],표2[DWG No.]=C450,""),1),6)</f>
        <v>42878</v>
      </c>
      <c r="S450" s="67" cm="1">
        <f t="array" aca="1" ref="S450" ca="1">_xlfn.CHOOSECOLS(_xlfn.CHOOSEROWS(_xlfn._xlws.FILTER(표2[],(표2[DWG No.]=C450)*(ISNUMBER(표2[Rev.])),""),1),6)</f>
        <v>43207</v>
      </c>
    </row>
    <row r="451" spans="1:19" ht="18" customHeight="1" x14ac:dyDescent="0.45">
      <c r="A451" s="64">
        <v>446</v>
      </c>
      <c r="B451" s="49" t="s">
        <v>57</v>
      </c>
      <c r="C451" s="65" t="s">
        <v>1781</v>
      </c>
      <c r="D451" s="66" t="s">
        <v>1782</v>
      </c>
      <c r="E451" s="65" t="s">
        <v>1783</v>
      </c>
      <c r="F451" s="66" t="s">
        <v>5</v>
      </c>
      <c r="G451" s="67">
        <v>43159</v>
      </c>
      <c r="H451" s="67">
        <v>43242</v>
      </c>
      <c r="I451" s="67">
        <v>43207</v>
      </c>
      <c r="J451" s="66" t="s">
        <v>1686</v>
      </c>
      <c r="K451" s="66" t="s">
        <v>7</v>
      </c>
      <c r="L451" s="66" t="s">
        <v>62</v>
      </c>
      <c r="M451" s="67" t="s">
        <v>2491</v>
      </c>
      <c r="N451" s="66" t="s">
        <v>2572</v>
      </c>
      <c r="O451" s="66" t="s">
        <v>7</v>
      </c>
      <c r="P451" s="66" t="s">
        <v>62</v>
      </c>
      <c r="Q451" s="66" t="s">
        <v>5003</v>
      </c>
      <c r="R451" s="67" cm="1">
        <f t="array" aca="1" ref="R451" ca="1">_xlfn.CHOOSECOLS(_xlfn.CHOOSEROWS(_xlfn._xlws.FILTER(표2[],표2[DWG No.]=C451,""),1),6)</f>
        <v>43165</v>
      </c>
      <c r="S451" s="67" cm="1">
        <f t="array" aca="1" ref="S451" ca="1">_xlfn.CHOOSECOLS(_xlfn.CHOOSEROWS(_xlfn._xlws.FILTER(표2[],(표2[DWG No.]=C451)*(ISNUMBER(표2[Rev.])),""),1),6)</f>
        <v>43207</v>
      </c>
    </row>
    <row r="452" spans="1:19" ht="18" customHeight="1" x14ac:dyDescent="0.45">
      <c r="A452" s="64">
        <v>447</v>
      </c>
      <c r="B452" s="49" t="s">
        <v>57</v>
      </c>
      <c r="C452" s="65" t="s">
        <v>1784</v>
      </c>
      <c r="D452" s="66" t="s">
        <v>1785</v>
      </c>
      <c r="E452" s="65" t="s">
        <v>1786</v>
      </c>
      <c r="F452" s="66" t="s">
        <v>5</v>
      </c>
      <c r="G452" s="67">
        <v>43159</v>
      </c>
      <c r="H452" s="67">
        <v>43242</v>
      </c>
      <c r="I452" s="67">
        <v>43222</v>
      </c>
      <c r="J452" s="66" t="s">
        <v>2569</v>
      </c>
      <c r="K452" s="66" t="s">
        <v>7</v>
      </c>
      <c r="L452" s="66" t="s">
        <v>62</v>
      </c>
      <c r="M452" s="67" t="s">
        <v>2485</v>
      </c>
      <c r="N452" s="66" t="s">
        <v>2573</v>
      </c>
      <c r="O452" s="66" t="s">
        <v>7</v>
      </c>
      <c r="P452" s="66" t="s">
        <v>62</v>
      </c>
      <c r="Q452" s="66" t="s">
        <v>5003</v>
      </c>
      <c r="R452" s="67" cm="1">
        <f t="array" aca="1" ref="R452" ca="1">_xlfn.CHOOSECOLS(_xlfn.CHOOSEROWS(_xlfn._xlws.FILTER(표2[],표2[DWG No.]=C452,""),1),6)</f>
        <v>43192</v>
      </c>
      <c r="S452" s="67" cm="1">
        <f t="array" aca="1" ref="S452" ca="1">_xlfn.CHOOSECOLS(_xlfn.CHOOSEROWS(_xlfn._xlws.FILTER(표2[],(표2[DWG No.]=C452)*(ISNUMBER(표2[Rev.])),""),1),6)</f>
        <v>43222</v>
      </c>
    </row>
    <row r="453" spans="1:19" ht="18" customHeight="1" x14ac:dyDescent="0.45">
      <c r="A453" s="64">
        <v>448</v>
      </c>
      <c r="B453" s="49" t="s">
        <v>57</v>
      </c>
      <c r="C453" s="65" t="s">
        <v>1787</v>
      </c>
      <c r="D453" s="66" t="s">
        <v>1788</v>
      </c>
      <c r="E453" s="65" t="s">
        <v>1789</v>
      </c>
      <c r="F453" s="66" t="s">
        <v>5</v>
      </c>
      <c r="G453" s="67">
        <v>43159</v>
      </c>
      <c r="H453" s="67">
        <v>43242</v>
      </c>
      <c r="I453" s="67">
        <v>43322</v>
      </c>
      <c r="J453" s="66" t="s">
        <v>2567</v>
      </c>
      <c r="K453" s="66" t="s">
        <v>7</v>
      </c>
      <c r="L453" s="66" t="s">
        <v>230</v>
      </c>
      <c r="M453" s="67" t="s">
        <v>2458</v>
      </c>
      <c r="N453" s="66" t="s">
        <v>2574</v>
      </c>
      <c r="O453" s="66" t="s">
        <v>7</v>
      </c>
      <c r="P453" s="66" t="s">
        <v>230</v>
      </c>
      <c r="Q453" s="66" t="s">
        <v>65</v>
      </c>
      <c r="R453" s="67" cm="1">
        <f t="array" aca="1" ref="R453" ca="1">_xlfn.CHOOSECOLS(_xlfn.CHOOSEROWS(_xlfn._xlws.FILTER(표2[],표2[DWG No.]=C453,""),1),6)</f>
        <v>43236</v>
      </c>
      <c r="S453" s="67" cm="1">
        <f t="array" aca="1" ref="S453" ca="1">_xlfn.CHOOSECOLS(_xlfn.CHOOSEROWS(_xlfn._xlws.FILTER(표2[],(표2[DWG No.]=C453)*(ISNUMBER(표2[Rev.])),""),1),6)</f>
        <v>43256</v>
      </c>
    </row>
    <row r="454" spans="1:19" ht="18" customHeight="1" x14ac:dyDescent="0.45">
      <c r="A454" s="64">
        <v>449</v>
      </c>
      <c r="B454" s="49" t="s">
        <v>57</v>
      </c>
      <c r="C454" s="65" t="s">
        <v>2575</v>
      </c>
      <c r="D454" s="66" t="s">
        <v>2576</v>
      </c>
      <c r="E454" s="65" t="s">
        <v>2577</v>
      </c>
      <c r="F454" s="66" t="s">
        <v>5</v>
      </c>
      <c r="G454" s="67">
        <v>43238</v>
      </c>
      <c r="H454" s="67">
        <v>43298</v>
      </c>
      <c r="I454" s="67">
        <v>43293</v>
      </c>
      <c r="J454" s="66" t="s">
        <v>2578</v>
      </c>
      <c r="K454" s="66" t="s">
        <v>7</v>
      </c>
      <c r="L454" s="66" t="s">
        <v>62</v>
      </c>
      <c r="M454" s="67" t="s">
        <v>2439</v>
      </c>
      <c r="N454" s="66" t="s">
        <v>2579</v>
      </c>
      <c r="O454" s="66" t="s">
        <v>7</v>
      </c>
      <c r="P454" s="66" t="s">
        <v>62</v>
      </c>
      <c r="Q454" s="66" t="s">
        <v>65</v>
      </c>
      <c r="R454" s="67" cm="1">
        <f t="array" aca="1" ref="R454" ca="1">_xlfn.CHOOSECOLS(_xlfn.CHOOSEROWS(_xlfn._xlws.FILTER(표2[],표2[DWG No.]=C454,""),1),6)</f>
        <v>43251</v>
      </c>
      <c r="S454" s="67" t="e" cm="1">
        <f t="array" ref="S454">_xlfn.CHOOSECOLS(_xlfn.CHOOSEROWS(_xlfn._xlws.FILTER(표2[],(표2[DWG No.]=C454)*(ISNUMBER(표2[Rev.])),""),1),6)</f>
        <v>#VALUE!</v>
      </c>
    </row>
    <row r="455" spans="1:19" ht="18" customHeight="1" x14ac:dyDescent="0.45">
      <c r="A455" s="64">
        <v>450</v>
      </c>
      <c r="B455" s="49" t="s">
        <v>57</v>
      </c>
      <c r="C455" s="65" t="s">
        <v>2580</v>
      </c>
      <c r="D455" s="66" t="s">
        <v>2581</v>
      </c>
      <c r="E455" s="65" t="s">
        <v>2582</v>
      </c>
      <c r="F455" s="66" t="s">
        <v>5</v>
      </c>
      <c r="G455" s="67">
        <v>43271</v>
      </c>
      <c r="H455" s="67">
        <v>43332</v>
      </c>
      <c r="I455" s="67">
        <v>43336</v>
      </c>
      <c r="J455" s="66" t="s">
        <v>2583</v>
      </c>
      <c r="K455" s="66" t="s">
        <v>7</v>
      </c>
      <c r="L455" s="66" t="s">
        <v>62</v>
      </c>
      <c r="M455" s="67" t="s">
        <v>2458</v>
      </c>
      <c r="N455" s="66" t="s">
        <v>2584</v>
      </c>
      <c r="O455" s="66" t="s">
        <v>7</v>
      </c>
      <c r="P455" s="66" t="s">
        <v>62</v>
      </c>
      <c r="Q455" s="66" t="s">
        <v>65</v>
      </c>
      <c r="R455" s="67" t="e" cm="1">
        <f t="array" ref="R455">_xlfn.CHOOSECOLS(_xlfn.CHOOSEROWS(_xlfn._xlws.FILTER(표2[],표2[DWG No.]=C455,""),1),6)</f>
        <v>#VALUE!</v>
      </c>
      <c r="S455" s="67" t="e" cm="1">
        <f t="array" ref="S455">_xlfn.CHOOSECOLS(_xlfn.CHOOSEROWS(_xlfn._xlws.FILTER(표2[],(표2[DWG No.]=C455)*(ISNUMBER(표2[Rev.])),""),1),6)</f>
        <v>#VALUE!</v>
      </c>
    </row>
    <row r="456" spans="1:19" ht="18" customHeight="1" x14ac:dyDescent="0.45">
      <c r="A456" s="64">
        <v>451</v>
      </c>
      <c r="B456" s="49" t="s">
        <v>57</v>
      </c>
      <c r="C456" s="65" t="s">
        <v>2585</v>
      </c>
      <c r="D456" s="66" t="s">
        <v>2586</v>
      </c>
      <c r="E456" s="65" t="s">
        <v>2587</v>
      </c>
      <c r="F456" s="66" t="s">
        <v>5</v>
      </c>
      <c r="G456" s="67">
        <v>43444</v>
      </c>
      <c r="H456" s="67">
        <v>43535</v>
      </c>
      <c r="I456" s="67">
        <v>43486</v>
      </c>
      <c r="J456" s="66" t="s">
        <v>2651</v>
      </c>
      <c r="K456" s="66" t="s">
        <v>7</v>
      </c>
      <c r="L456" s="66" t="s">
        <v>62</v>
      </c>
      <c r="M456" s="67" t="s">
        <v>2647</v>
      </c>
      <c r="N456" s="66" t="s">
        <v>2652</v>
      </c>
      <c r="O456" s="66" t="s">
        <v>7</v>
      </c>
      <c r="P456" s="66" t="s">
        <v>62</v>
      </c>
      <c r="Q456" s="66" t="s">
        <v>65</v>
      </c>
      <c r="R456" s="67" t="e" cm="1">
        <f t="array" ref="R456">_xlfn.CHOOSECOLS(_xlfn.CHOOSEROWS(_xlfn._xlws.FILTER(표2[],표2[DWG No.]=C456,""),1),6)</f>
        <v>#VALUE!</v>
      </c>
      <c r="S456" s="67" t="e" cm="1">
        <f t="array" ref="S456">_xlfn.CHOOSECOLS(_xlfn.CHOOSEROWS(_xlfn._xlws.FILTER(표2[],(표2[DWG No.]=C456)*(ISNUMBER(표2[Rev.])),""),1),6)</f>
        <v>#VALUE!</v>
      </c>
    </row>
    <row r="457" spans="1:19" ht="18" customHeight="1" x14ac:dyDescent="0.45">
      <c r="A457" s="64">
        <v>452</v>
      </c>
      <c r="B457" s="49" t="s">
        <v>57</v>
      </c>
      <c r="C457" s="65" t="s">
        <v>1790</v>
      </c>
      <c r="D457" s="66" t="s">
        <v>1791</v>
      </c>
      <c r="E457" s="65" t="s">
        <v>1792</v>
      </c>
      <c r="F457" s="66" t="s">
        <v>6</v>
      </c>
      <c r="G457" s="67">
        <v>43159</v>
      </c>
      <c r="H457" s="67">
        <v>43248</v>
      </c>
      <c r="I457" s="67">
        <v>43322</v>
      </c>
      <c r="J457" s="66" t="s">
        <v>2588</v>
      </c>
      <c r="K457" s="66" t="s">
        <v>7</v>
      </c>
      <c r="L457" s="66" t="s">
        <v>62</v>
      </c>
      <c r="M457" s="67" t="s">
        <v>2589</v>
      </c>
      <c r="N457" s="66" t="s">
        <v>2590</v>
      </c>
      <c r="O457" s="66" t="s">
        <v>7</v>
      </c>
      <c r="P457" s="66" t="s">
        <v>62</v>
      </c>
      <c r="Q457" s="66" t="s">
        <v>65</v>
      </c>
      <c r="R457" s="67" cm="1">
        <f t="array" aca="1" ref="R457" ca="1">_xlfn.CHOOSECOLS(_xlfn.CHOOSEROWS(_xlfn._xlws.FILTER(표2[],표2[DWG No.]=C457,""),1),6)</f>
        <v>43186</v>
      </c>
      <c r="S457" s="67" t="e" cm="1">
        <f t="array" ref="S457">_xlfn.CHOOSECOLS(_xlfn.CHOOSEROWS(_xlfn._xlws.FILTER(표2[],(표2[DWG No.]=C457)*(ISNUMBER(표2[Rev.])),""),1),6)</f>
        <v>#VALUE!</v>
      </c>
    </row>
    <row r="458" spans="1:19" ht="18" customHeight="1" x14ac:dyDescent="0.45">
      <c r="A458" s="64">
        <v>453</v>
      </c>
      <c r="B458" s="49" t="s">
        <v>57</v>
      </c>
      <c r="C458" s="65" t="s">
        <v>1793</v>
      </c>
      <c r="D458" s="66" t="s">
        <v>1794</v>
      </c>
      <c r="E458" s="65" t="s">
        <v>1795</v>
      </c>
      <c r="F458" s="66" t="s">
        <v>6</v>
      </c>
      <c r="G458" s="67">
        <v>42845</v>
      </c>
      <c r="H458" s="67">
        <v>42936</v>
      </c>
      <c r="I458" s="67">
        <v>42933</v>
      </c>
      <c r="J458" s="66" t="s">
        <v>1796</v>
      </c>
      <c r="K458" s="66" t="s">
        <v>7</v>
      </c>
      <c r="L458" s="66" t="s">
        <v>62</v>
      </c>
      <c r="M458" s="67" t="s">
        <v>408</v>
      </c>
      <c r="N458" s="66" t="s">
        <v>1797</v>
      </c>
      <c r="O458" s="66" t="s">
        <v>7</v>
      </c>
      <c r="P458" s="66" t="s">
        <v>62</v>
      </c>
      <c r="Q458" s="66" t="s">
        <v>5003</v>
      </c>
      <c r="R458" s="67" cm="1">
        <f t="array" aca="1" ref="R458" ca="1">_xlfn.CHOOSECOLS(_xlfn.CHOOSEROWS(_xlfn._xlws.FILTER(표2[],표2[DWG No.]=C458,""),1),6)</f>
        <v>42894</v>
      </c>
      <c r="S458" s="67" cm="1">
        <f t="array" aca="1" ref="S458" ca="1">_xlfn.CHOOSECOLS(_xlfn.CHOOSEROWS(_xlfn._xlws.FILTER(표2[],(표2[DWG No.]=C458)*(ISNUMBER(표2[Rev.])),""),1),6)</f>
        <v>42933</v>
      </c>
    </row>
    <row r="459" spans="1:19" ht="18" customHeight="1" x14ac:dyDescent="0.45">
      <c r="A459" s="64">
        <v>454</v>
      </c>
      <c r="B459" s="49" t="s">
        <v>57</v>
      </c>
      <c r="C459" s="65" t="s">
        <v>1798</v>
      </c>
      <c r="D459" s="66" t="s">
        <v>1799</v>
      </c>
      <c r="E459" s="65" t="s">
        <v>1800</v>
      </c>
      <c r="F459" s="66" t="s">
        <v>5</v>
      </c>
      <c r="G459" s="67">
        <v>42875</v>
      </c>
      <c r="H459" s="67">
        <v>42967</v>
      </c>
      <c r="I459" s="67">
        <v>43109</v>
      </c>
      <c r="J459" s="66" t="s">
        <v>1801</v>
      </c>
      <c r="K459" s="66" t="s">
        <v>7</v>
      </c>
      <c r="L459" s="66" t="s">
        <v>89</v>
      </c>
      <c r="M459" s="67" t="s">
        <v>237</v>
      </c>
      <c r="N459" s="66" t="s">
        <v>1802</v>
      </c>
      <c r="O459" s="66" t="s">
        <v>7</v>
      </c>
      <c r="P459" s="66" t="s">
        <v>89</v>
      </c>
      <c r="Q459" s="66" t="s">
        <v>5003</v>
      </c>
      <c r="R459" s="67" cm="1">
        <f t="array" aca="1" ref="R459" ca="1">_xlfn.CHOOSECOLS(_xlfn.CHOOSEROWS(_xlfn._xlws.FILTER(표2[],표2[DWG No.]=C459,""),1),6)</f>
        <v>42881</v>
      </c>
      <c r="S459" s="67" cm="1">
        <f t="array" aca="1" ref="S459" ca="1">_xlfn.CHOOSECOLS(_xlfn.CHOOSEROWS(_xlfn._xlws.FILTER(표2[],(표2[DWG No.]=C459)*(ISNUMBER(표2[Rev.])),""),1),6)</f>
        <v>43005</v>
      </c>
    </row>
    <row r="460" spans="1:19" ht="18" customHeight="1" x14ac:dyDescent="0.45">
      <c r="A460" s="64">
        <v>455</v>
      </c>
      <c r="B460" s="49" t="s">
        <v>57</v>
      </c>
      <c r="C460" s="65" t="s">
        <v>1803</v>
      </c>
      <c r="D460" s="66" t="s">
        <v>1804</v>
      </c>
      <c r="E460" s="65" t="s">
        <v>1805</v>
      </c>
      <c r="F460" s="66" t="s">
        <v>6</v>
      </c>
      <c r="G460" s="67">
        <v>42824</v>
      </c>
      <c r="H460" s="67">
        <v>42916</v>
      </c>
      <c r="I460" s="67">
        <v>43732</v>
      </c>
      <c r="J460" s="66" t="s">
        <v>2716</v>
      </c>
      <c r="K460" s="66" t="s">
        <v>7</v>
      </c>
      <c r="L460" s="66" t="s">
        <v>230</v>
      </c>
      <c r="M460" s="67" t="s">
        <v>2717</v>
      </c>
      <c r="N460" s="66" t="s">
        <v>2718</v>
      </c>
      <c r="O460" s="66" t="s">
        <v>7</v>
      </c>
      <c r="P460" s="66" t="s">
        <v>230</v>
      </c>
      <c r="Q460" s="66" t="s">
        <v>65</v>
      </c>
      <c r="R460" s="67" cm="1">
        <f t="array" aca="1" ref="R460" ca="1">_xlfn.CHOOSECOLS(_xlfn.CHOOSEROWS(_xlfn._xlws.FILTER(표2[],표2[DWG No.]=C460,""),1),6)</f>
        <v>42831</v>
      </c>
      <c r="S460" s="67" cm="1">
        <f t="array" aca="1" ref="S460" ca="1">_xlfn.CHOOSECOLS(_xlfn.CHOOSEROWS(_xlfn._xlws.FILTER(표2[],(표2[DWG No.]=C460)*(ISNUMBER(표2[Rev.])),""),1),6)</f>
        <v>43034</v>
      </c>
    </row>
    <row r="461" spans="1:19" ht="18" customHeight="1" x14ac:dyDescent="0.45">
      <c r="A461" s="64">
        <v>456</v>
      </c>
      <c r="B461" s="49" t="s">
        <v>57</v>
      </c>
      <c r="C461" s="65" t="s">
        <v>1807</v>
      </c>
      <c r="D461" s="66" t="s">
        <v>1808</v>
      </c>
      <c r="E461" s="65" t="s">
        <v>1809</v>
      </c>
      <c r="F461" s="66" t="s">
        <v>5</v>
      </c>
      <c r="G461" s="67">
        <v>42845</v>
      </c>
      <c r="H461" s="67">
        <v>42936</v>
      </c>
      <c r="I461" s="67">
        <v>43566</v>
      </c>
      <c r="J461" s="66" t="s">
        <v>2663</v>
      </c>
      <c r="K461" s="66" t="s">
        <v>7</v>
      </c>
      <c r="L461" s="66" t="s">
        <v>1987</v>
      </c>
      <c r="M461" s="67" t="s">
        <v>2664</v>
      </c>
      <c r="N461" s="66" t="s">
        <v>2665</v>
      </c>
      <c r="O461" s="66" t="s">
        <v>7</v>
      </c>
      <c r="P461" s="66" t="s">
        <v>1987</v>
      </c>
      <c r="Q461" s="66" t="s">
        <v>65</v>
      </c>
      <c r="R461" s="67" cm="1">
        <f t="array" aca="1" ref="R461" ca="1">_xlfn.CHOOSECOLS(_xlfn.CHOOSEROWS(_xlfn._xlws.FILTER(표2[],표2[DWG No.]=C461,""),1),6)</f>
        <v>42874</v>
      </c>
      <c r="S461" s="67" cm="1">
        <f t="array" aca="1" ref="S461" ca="1">_xlfn.CHOOSECOLS(_xlfn.CHOOSEROWS(_xlfn._xlws.FILTER(표2[],(표2[DWG No.]=C461)*(ISNUMBER(표2[Rev.])),""),1),6)</f>
        <v>42940</v>
      </c>
    </row>
    <row r="462" spans="1:19" ht="18" customHeight="1" x14ac:dyDescent="0.45">
      <c r="A462" s="64">
        <v>457</v>
      </c>
      <c r="B462" s="49" t="s">
        <v>57</v>
      </c>
      <c r="C462" s="65" t="s">
        <v>2682</v>
      </c>
      <c r="D462" s="66" t="s">
        <v>1810</v>
      </c>
      <c r="E462" s="65" t="s">
        <v>1811</v>
      </c>
      <c r="F462" s="66" t="s">
        <v>5</v>
      </c>
      <c r="G462" s="67">
        <v>42845</v>
      </c>
      <c r="H462" s="67">
        <v>42936</v>
      </c>
      <c r="I462" s="67">
        <v>43685</v>
      </c>
      <c r="J462" s="66" t="s">
        <v>2697</v>
      </c>
      <c r="K462" s="66" t="s">
        <v>7</v>
      </c>
      <c r="L462" s="66" t="s">
        <v>230</v>
      </c>
      <c r="M462" s="67" t="s">
        <v>2698</v>
      </c>
      <c r="N462" s="66" t="s">
        <v>2699</v>
      </c>
      <c r="O462" s="66" t="s">
        <v>7</v>
      </c>
      <c r="P462" s="66" t="s">
        <v>230</v>
      </c>
      <c r="Q462" s="66" t="s">
        <v>65</v>
      </c>
      <c r="R462" s="67" cm="1">
        <f t="array" aca="1" ref="R462" ca="1">_xlfn.CHOOSECOLS(_xlfn.CHOOSEROWS(_xlfn._xlws.FILTER(표2[],표2[DWG No.]=C462,""),1),6)</f>
        <v>42874</v>
      </c>
      <c r="S462" s="67" cm="1">
        <f t="array" aca="1" ref="S462" ca="1">_xlfn.CHOOSECOLS(_xlfn.CHOOSEROWS(_xlfn._xlws.FILTER(표2[],(표2[DWG No.]=C462)*(ISNUMBER(표2[Rev.])),""),1),6)</f>
        <v>42971</v>
      </c>
    </row>
    <row r="463" spans="1:19" ht="18" customHeight="1" x14ac:dyDescent="0.45">
      <c r="A463" s="64">
        <v>458</v>
      </c>
      <c r="B463" s="49" t="s">
        <v>57</v>
      </c>
      <c r="C463" s="65" t="s">
        <v>1813</v>
      </c>
      <c r="D463" s="66" t="s">
        <v>1814</v>
      </c>
      <c r="E463" s="65" t="s">
        <v>1815</v>
      </c>
      <c r="F463" s="66" t="s">
        <v>5</v>
      </c>
      <c r="G463" s="67">
        <v>42875</v>
      </c>
      <c r="H463" s="67">
        <v>42967</v>
      </c>
      <c r="I463" s="67">
        <v>43040</v>
      </c>
      <c r="J463" s="66" t="s">
        <v>1816</v>
      </c>
      <c r="K463" s="66" t="s">
        <v>7</v>
      </c>
      <c r="L463" s="66" t="s">
        <v>62</v>
      </c>
      <c r="M463" s="67" t="s">
        <v>155</v>
      </c>
      <c r="N463" s="66" t="s">
        <v>1817</v>
      </c>
      <c r="O463" s="66" t="s">
        <v>7</v>
      </c>
      <c r="P463" s="66" t="s">
        <v>62</v>
      </c>
      <c r="Q463" s="66" t="s">
        <v>5002</v>
      </c>
      <c r="R463" s="67" cm="1">
        <f t="array" aca="1" ref="R463" ca="1">_xlfn.CHOOSECOLS(_xlfn.CHOOSEROWS(_xlfn._xlws.FILTER(표2[],표2[DWG No.]=C463,""),1),6)</f>
        <v>42878</v>
      </c>
      <c r="S463" s="67" cm="1">
        <f t="array" aca="1" ref="S463" ca="1">_xlfn.CHOOSECOLS(_xlfn.CHOOSEROWS(_xlfn._xlws.FILTER(표2[],(표2[DWG No.]=C463)*(ISNUMBER(표2[Rev.])),""),1),6)</f>
        <v>43040</v>
      </c>
    </row>
    <row r="464" spans="1:19" ht="18" customHeight="1" x14ac:dyDescent="0.45">
      <c r="A464" s="64">
        <v>459</v>
      </c>
      <c r="B464" s="49" t="s">
        <v>57</v>
      </c>
      <c r="C464" s="65" t="s">
        <v>1818</v>
      </c>
      <c r="D464" s="66" t="s">
        <v>1819</v>
      </c>
      <c r="E464" s="65" t="s">
        <v>1820</v>
      </c>
      <c r="F464" s="66" t="s">
        <v>5</v>
      </c>
      <c r="G464" s="67">
        <v>42875</v>
      </c>
      <c r="H464" s="67">
        <v>42967</v>
      </c>
      <c r="I464" s="67">
        <v>43109</v>
      </c>
      <c r="J464" s="66" t="s">
        <v>1801</v>
      </c>
      <c r="K464" s="66" t="s">
        <v>7</v>
      </c>
      <c r="L464" s="66" t="s">
        <v>89</v>
      </c>
      <c r="M464" s="67" t="s">
        <v>237</v>
      </c>
      <c r="N464" s="66" t="s">
        <v>1821</v>
      </c>
      <c r="O464" s="66" t="s">
        <v>7</v>
      </c>
      <c r="P464" s="66" t="s">
        <v>89</v>
      </c>
      <c r="Q464" s="66" t="s">
        <v>5003</v>
      </c>
      <c r="R464" s="67" cm="1">
        <f t="array" aca="1" ref="R464" ca="1">_xlfn.CHOOSECOLS(_xlfn.CHOOSEROWS(_xlfn._xlws.FILTER(표2[],표2[DWG No.]=C464,""),1),6)</f>
        <v>42881</v>
      </c>
      <c r="S464" s="67" cm="1">
        <f t="array" aca="1" ref="S464" ca="1">_xlfn.CHOOSECOLS(_xlfn.CHOOSEROWS(_xlfn._xlws.FILTER(표2[],(표2[DWG No.]=C464)*(ISNUMBER(표2[Rev.])),""),1),6)</f>
        <v>43005</v>
      </c>
    </row>
    <row r="465" spans="1:19" ht="18" customHeight="1" x14ac:dyDescent="0.45">
      <c r="A465" s="64">
        <v>460</v>
      </c>
      <c r="B465" s="49" t="s">
        <v>57</v>
      </c>
      <c r="C465" s="65" t="s">
        <v>1822</v>
      </c>
      <c r="D465" s="66" t="s">
        <v>1823</v>
      </c>
      <c r="E465" s="65" t="s">
        <v>1824</v>
      </c>
      <c r="F465" s="66" t="s">
        <v>5</v>
      </c>
      <c r="G465" s="67">
        <v>42875</v>
      </c>
      <c r="H465" s="67">
        <v>42967</v>
      </c>
      <c r="I465" s="67">
        <v>42921</v>
      </c>
      <c r="J465" s="66" t="s">
        <v>1825</v>
      </c>
      <c r="K465" s="66" t="s">
        <v>7</v>
      </c>
      <c r="L465" s="66" t="s">
        <v>62</v>
      </c>
      <c r="M465" s="67" t="s">
        <v>190</v>
      </c>
      <c r="N465" s="66" t="s">
        <v>81</v>
      </c>
      <c r="O465" s="66" t="s">
        <v>7</v>
      </c>
      <c r="P465" s="66" t="s">
        <v>62</v>
      </c>
      <c r="Q465" s="66" t="s">
        <v>5002</v>
      </c>
      <c r="R465" s="67" cm="1">
        <f t="array" aca="1" ref="R465" ca="1">_xlfn.CHOOSECOLS(_xlfn.CHOOSEROWS(_xlfn._xlws.FILTER(표2[],표2[DWG No.]=C465,""),1),6)</f>
        <v>42881</v>
      </c>
      <c r="S465" s="67" cm="1">
        <f t="array" aca="1" ref="S465" ca="1">_xlfn.CHOOSECOLS(_xlfn.CHOOSEROWS(_xlfn._xlws.FILTER(표2[],(표2[DWG No.]=C465)*(ISNUMBER(표2[Rev.])),""),1),6)</f>
        <v>42921</v>
      </c>
    </row>
    <row r="466" spans="1:19" ht="18" customHeight="1" x14ac:dyDescent="0.45">
      <c r="A466" s="64">
        <v>461</v>
      </c>
      <c r="B466" s="49" t="s">
        <v>57</v>
      </c>
      <c r="C466" s="65" t="s">
        <v>1826</v>
      </c>
      <c r="D466" s="66" t="s">
        <v>1827</v>
      </c>
      <c r="E466" s="65" t="s">
        <v>1828</v>
      </c>
      <c r="F466" s="66" t="s">
        <v>5</v>
      </c>
      <c r="G466" s="67">
        <v>42875</v>
      </c>
      <c r="H466" s="67">
        <v>42967</v>
      </c>
      <c r="I466" s="67">
        <v>42971</v>
      </c>
      <c r="J466" s="66" t="s">
        <v>1829</v>
      </c>
      <c r="K466" s="66" t="s">
        <v>7</v>
      </c>
      <c r="L466" s="66" t="s">
        <v>62</v>
      </c>
      <c r="M466" s="67" t="s">
        <v>519</v>
      </c>
      <c r="N466" s="66" t="s">
        <v>81</v>
      </c>
      <c r="O466" s="66" t="s">
        <v>7</v>
      </c>
      <c r="P466" s="66" t="s">
        <v>62</v>
      </c>
      <c r="Q466" s="66" t="s">
        <v>5002</v>
      </c>
      <c r="R466" s="67" cm="1">
        <f t="array" aca="1" ref="R466" ca="1">_xlfn.CHOOSECOLS(_xlfn.CHOOSEROWS(_xlfn._xlws.FILTER(표2[],표2[DWG No.]=C466,""),1),6)</f>
        <v>42881</v>
      </c>
      <c r="S466" s="67" cm="1">
        <f t="array" aca="1" ref="S466" ca="1">_xlfn.CHOOSECOLS(_xlfn.CHOOSEROWS(_xlfn._xlws.FILTER(표2[],(표2[DWG No.]=C466)*(ISNUMBER(표2[Rev.])),""),1),6)</f>
        <v>42971</v>
      </c>
    </row>
    <row r="467" spans="1:19" ht="18" customHeight="1" x14ac:dyDescent="0.45">
      <c r="A467" s="64">
        <v>462</v>
      </c>
      <c r="B467" s="49" t="s">
        <v>57</v>
      </c>
      <c r="C467" s="65" t="s">
        <v>1830</v>
      </c>
      <c r="D467" s="66" t="s">
        <v>1831</v>
      </c>
      <c r="E467" s="65" t="s">
        <v>1832</v>
      </c>
      <c r="F467" s="66" t="s">
        <v>5</v>
      </c>
      <c r="G467" s="67">
        <v>42875</v>
      </c>
      <c r="H467" s="67">
        <v>42967</v>
      </c>
      <c r="I467" s="67">
        <v>43109</v>
      </c>
      <c r="J467" s="66" t="s">
        <v>1801</v>
      </c>
      <c r="K467" s="66" t="s">
        <v>7</v>
      </c>
      <c r="L467" s="66" t="s">
        <v>89</v>
      </c>
      <c r="M467" s="67" t="s">
        <v>237</v>
      </c>
      <c r="N467" s="66" t="s">
        <v>1833</v>
      </c>
      <c r="O467" s="66" t="s">
        <v>7</v>
      </c>
      <c r="P467" s="66" t="s">
        <v>89</v>
      </c>
      <c r="Q467" s="66" t="s">
        <v>5003</v>
      </c>
      <c r="R467" s="67" cm="1">
        <f t="array" aca="1" ref="R467" ca="1">_xlfn.CHOOSECOLS(_xlfn.CHOOSEROWS(_xlfn._xlws.FILTER(표2[],표2[DWG No.]=C467,""),1),6)</f>
        <v>42881</v>
      </c>
      <c r="S467" s="67" cm="1">
        <f t="array" aca="1" ref="S467" ca="1">_xlfn.CHOOSECOLS(_xlfn.CHOOSEROWS(_xlfn._xlws.FILTER(표2[],(표2[DWG No.]=C467)*(ISNUMBER(표2[Rev.])),""),1),6)</f>
        <v>43040</v>
      </c>
    </row>
    <row r="468" spans="1:19" ht="18" customHeight="1" x14ac:dyDescent="0.45">
      <c r="A468" s="64">
        <v>463</v>
      </c>
      <c r="B468" s="49" t="s">
        <v>57</v>
      </c>
      <c r="C468" s="65" t="s">
        <v>1834</v>
      </c>
      <c r="D468" s="66" t="s">
        <v>1835</v>
      </c>
      <c r="E468" s="65" t="s">
        <v>1836</v>
      </c>
      <c r="F468" s="66" t="s">
        <v>6</v>
      </c>
      <c r="G468" s="67">
        <v>42824</v>
      </c>
      <c r="H468" s="67">
        <v>42916</v>
      </c>
      <c r="I468" s="67">
        <v>42940</v>
      </c>
      <c r="J468" s="66" t="s">
        <v>1837</v>
      </c>
      <c r="K468" s="66" t="s">
        <v>7</v>
      </c>
      <c r="L468" s="66" t="s">
        <v>62</v>
      </c>
      <c r="M468" s="67" t="s">
        <v>1838</v>
      </c>
      <c r="N468" s="66" t="s">
        <v>81</v>
      </c>
      <c r="O468" s="66" t="s">
        <v>7</v>
      </c>
      <c r="P468" s="66" t="s">
        <v>62</v>
      </c>
      <c r="Q468" s="66" t="s">
        <v>5003</v>
      </c>
      <c r="R468" s="67" cm="1">
        <f t="array" aca="1" ref="R468" ca="1">_xlfn.CHOOSECOLS(_xlfn.CHOOSEROWS(_xlfn._xlws.FILTER(표2[],표2[DWG No.]=C468,""),1),6)</f>
        <v>42831</v>
      </c>
      <c r="S468" s="67" cm="1">
        <f t="array" aca="1" ref="S468" ca="1">_xlfn.CHOOSECOLS(_xlfn.CHOOSEROWS(_xlfn._xlws.FILTER(표2[],(표2[DWG No.]=C468)*(ISNUMBER(표2[Rev.])),""),1),6)</f>
        <v>42940</v>
      </c>
    </row>
    <row r="469" spans="1:19" ht="18" customHeight="1" x14ac:dyDescent="0.45">
      <c r="A469" s="64">
        <v>464</v>
      </c>
      <c r="B469" s="49" t="s">
        <v>57</v>
      </c>
      <c r="C469" s="65" t="s">
        <v>1839</v>
      </c>
      <c r="D469" s="66" t="s">
        <v>1840</v>
      </c>
      <c r="E469" s="65" t="s">
        <v>1841</v>
      </c>
      <c r="F469" s="66" t="s">
        <v>6</v>
      </c>
      <c r="G469" s="67">
        <v>42824</v>
      </c>
      <c r="H469" s="67">
        <v>42916</v>
      </c>
      <c r="I469" s="67">
        <v>42940</v>
      </c>
      <c r="J469" s="66" t="s">
        <v>1837</v>
      </c>
      <c r="K469" s="66" t="s">
        <v>7</v>
      </c>
      <c r="L469" s="66" t="s">
        <v>62</v>
      </c>
      <c r="M469" s="67" t="s">
        <v>1838</v>
      </c>
      <c r="N469" s="66" t="s">
        <v>81</v>
      </c>
      <c r="O469" s="66" t="s">
        <v>7</v>
      </c>
      <c r="P469" s="66" t="s">
        <v>62</v>
      </c>
      <c r="Q469" s="66" t="s">
        <v>5003</v>
      </c>
      <c r="R469" s="67" cm="1">
        <f t="array" aca="1" ref="R469" ca="1">_xlfn.CHOOSECOLS(_xlfn.CHOOSEROWS(_xlfn._xlws.FILTER(표2[],표2[DWG No.]=C469,""),1),6)</f>
        <v>42831</v>
      </c>
      <c r="S469" s="67" cm="1">
        <f t="array" aca="1" ref="S469" ca="1">_xlfn.CHOOSECOLS(_xlfn.CHOOSEROWS(_xlfn._xlws.FILTER(표2[],(표2[DWG No.]=C469)*(ISNUMBER(표2[Rev.])),""),1),6)</f>
        <v>42940</v>
      </c>
    </row>
    <row r="470" spans="1:19" ht="18" customHeight="1" x14ac:dyDescent="0.45">
      <c r="A470" s="64">
        <v>465</v>
      </c>
      <c r="B470" s="49" t="s">
        <v>57</v>
      </c>
      <c r="C470" s="65" t="s">
        <v>1842</v>
      </c>
      <c r="D470" s="66" t="s">
        <v>1843</v>
      </c>
      <c r="E470" s="65" t="s">
        <v>1844</v>
      </c>
      <c r="F470" s="66" t="s">
        <v>6</v>
      </c>
      <c r="G470" s="67">
        <v>42824</v>
      </c>
      <c r="H470" s="67">
        <v>42916</v>
      </c>
      <c r="I470" s="67">
        <v>42940</v>
      </c>
      <c r="J470" s="66" t="s">
        <v>1837</v>
      </c>
      <c r="K470" s="66" t="s">
        <v>7</v>
      </c>
      <c r="L470" s="66" t="s">
        <v>62</v>
      </c>
      <c r="M470" s="67" t="s">
        <v>1838</v>
      </c>
      <c r="N470" s="66" t="s">
        <v>81</v>
      </c>
      <c r="O470" s="66" t="s">
        <v>7</v>
      </c>
      <c r="P470" s="66" t="s">
        <v>62</v>
      </c>
      <c r="Q470" s="66" t="s">
        <v>5003</v>
      </c>
      <c r="R470" s="67" cm="1">
        <f t="array" aca="1" ref="R470" ca="1">_xlfn.CHOOSECOLS(_xlfn.CHOOSEROWS(_xlfn._xlws.FILTER(표2[],표2[DWG No.]=C470,""),1),6)</f>
        <v>42831</v>
      </c>
      <c r="S470" s="67" cm="1">
        <f t="array" aca="1" ref="S470" ca="1">_xlfn.CHOOSECOLS(_xlfn.CHOOSEROWS(_xlfn._xlws.FILTER(표2[],(표2[DWG No.]=C470)*(ISNUMBER(표2[Rev.])),""),1),6)</f>
        <v>42940</v>
      </c>
    </row>
    <row r="471" spans="1:19" ht="18" customHeight="1" x14ac:dyDescent="0.45">
      <c r="A471" s="64">
        <v>466</v>
      </c>
      <c r="B471" s="49" t="s">
        <v>57</v>
      </c>
      <c r="C471" s="65" t="s">
        <v>1845</v>
      </c>
      <c r="D471" s="66" t="s">
        <v>1846</v>
      </c>
      <c r="E471" s="65" t="s">
        <v>1847</v>
      </c>
      <c r="F471" s="66" t="s">
        <v>6</v>
      </c>
      <c r="G471" s="67">
        <v>42817</v>
      </c>
      <c r="H471" s="67">
        <v>42930</v>
      </c>
      <c r="I471" s="67">
        <v>42940</v>
      </c>
      <c r="J471" s="66" t="s">
        <v>1837</v>
      </c>
      <c r="K471" s="66" t="s">
        <v>7</v>
      </c>
      <c r="L471" s="66" t="s">
        <v>62</v>
      </c>
      <c r="M471" s="67" t="s">
        <v>1838</v>
      </c>
      <c r="N471" s="66" t="s">
        <v>81</v>
      </c>
      <c r="O471" s="66" t="s">
        <v>7</v>
      </c>
      <c r="P471" s="66" t="s">
        <v>62</v>
      </c>
      <c r="Q471" s="66" t="s">
        <v>5002</v>
      </c>
      <c r="R471" s="67" cm="1">
        <f t="array" aca="1" ref="R471" ca="1">_xlfn.CHOOSECOLS(_xlfn.CHOOSEROWS(_xlfn._xlws.FILTER(표2[],표2[DWG No.]=C471,""),1),6)</f>
        <v>42831</v>
      </c>
      <c r="S471" s="67" cm="1">
        <f t="array" aca="1" ref="S471" ca="1">_xlfn.CHOOSECOLS(_xlfn.CHOOSEROWS(_xlfn._xlws.FILTER(표2[],(표2[DWG No.]=C471)*(ISNUMBER(표2[Rev.])),""),1),6)</f>
        <v>42940</v>
      </c>
    </row>
    <row r="472" spans="1:19" ht="18" customHeight="1" x14ac:dyDescent="0.45">
      <c r="A472" s="64">
        <v>467</v>
      </c>
      <c r="B472" s="49" t="s">
        <v>57</v>
      </c>
      <c r="C472" s="65" t="s">
        <v>1848</v>
      </c>
      <c r="D472" s="66" t="s">
        <v>1849</v>
      </c>
      <c r="E472" s="65" t="s">
        <v>1850</v>
      </c>
      <c r="F472" s="66" t="s">
        <v>6</v>
      </c>
      <c r="G472" s="67">
        <v>42817</v>
      </c>
      <c r="H472" s="67">
        <v>42930</v>
      </c>
      <c r="I472" s="67">
        <v>43473</v>
      </c>
      <c r="J472" s="66" t="s">
        <v>2636</v>
      </c>
      <c r="K472" s="66" t="s">
        <v>7</v>
      </c>
      <c r="L472" s="66" t="s">
        <v>230</v>
      </c>
      <c r="M472" s="67" t="s">
        <v>2626</v>
      </c>
      <c r="N472" s="66" t="s">
        <v>2637</v>
      </c>
      <c r="O472" s="66" t="s">
        <v>7</v>
      </c>
      <c r="P472" s="66" t="s">
        <v>230</v>
      </c>
      <c r="Q472" s="66" t="s">
        <v>65</v>
      </c>
      <c r="R472" s="67" cm="1">
        <f t="array" aca="1" ref="R472" ca="1">_xlfn.CHOOSECOLS(_xlfn.CHOOSEROWS(_xlfn._xlws.FILTER(표2[],표2[DWG No.]=C472,""),1),6)</f>
        <v>42831</v>
      </c>
      <c r="S472" s="67" cm="1">
        <f t="array" aca="1" ref="S472" ca="1">_xlfn.CHOOSECOLS(_xlfn.CHOOSEROWS(_xlfn._xlws.FILTER(표2[],(표2[DWG No.]=C472)*(ISNUMBER(표2[Rev.])),""),1),6)</f>
        <v>43005</v>
      </c>
    </row>
    <row r="473" spans="1:19" ht="18" customHeight="1" x14ac:dyDescent="0.45">
      <c r="A473" s="64">
        <v>468</v>
      </c>
      <c r="B473" s="49" t="s">
        <v>57</v>
      </c>
      <c r="C473" s="65" t="s">
        <v>1852</v>
      </c>
      <c r="D473" s="66" t="s">
        <v>1853</v>
      </c>
      <c r="E473" s="65" t="s">
        <v>1854</v>
      </c>
      <c r="F473" s="66" t="s">
        <v>5</v>
      </c>
      <c r="G473" s="67">
        <v>42998</v>
      </c>
      <c r="H473" s="67">
        <v>43089</v>
      </c>
      <c r="I473" s="67">
        <v>43145</v>
      </c>
      <c r="J473" s="66" t="s">
        <v>1855</v>
      </c>
      <c r="K473" s="66" t="s">
        <v>7</v>
      </c>
      <c r="L473" s="66" t="s">
        <v>89</v>
      </c>
      <c r="M473" s="67" t="s">
        <v>825</v>
      </c>
      <c r="N473" s="66" t="s">
        <v>1856</v>
      </c>
      <c r="O473" s="66" t="s">
        <v>7</v>
      </c>
      <c r="P473" s="66" t="s">
        <v>89</v>
      </c>
      <c r="Q473" s="66" t="s">
        <v>5002</v>
      </c>
      <c r="R473" s="67" cm="1">
        <f t="array" aca="1" ref="R473" ca="1">_xlfn.CHOOSECOLS(_xlfn.CHOOSEROWS(_xlfn._xlws.FILTER(표2[],표2[DWG No.]=C473,""),1),6)</f>
        <v>43005</v>
      </c>
      <c r="S473" s="67" cm="1">
        <f t="array" aca="1" ref="S473" ca="1">_xlfn.CHOOSECOLS(_xlfn.CHOOSEROWS(_xlfn._xlws.FILTER(표2[],(표2[DWG No.]=C473)*(ISNUMBER(표2[Rev.])),""),1),6)</f>
        <v>43091</v>
      </c>
    </row>
    <row r="474" spans="1:19" ht="18" customHeight="1" x14ac:dyDescent="0.45">
      <c r="A474" s="64">
        <v>469</v>
      </c>
      <c r="B474" s="49" t="s">
        <v>57</v>
      </c>
      <c r="C474" s="65" t="s">
        <v>1857</v>
      </c>
      <c r="D474" s="66" t="s">
        <v>1858</v>
      </c>
      <c r="E474" s="65" t="s">
        <v>1859</v>
      </c>
      <c r="F474" s="66" t="s">
        <v>5</v>
      </c>
      <c r="G474" s="67">
        <v>42967</v>
      </c>
      <c r="H474" s="67">
        <v>43089</v>
      </c>
      <c r="I474" s="67">
        <v>43091</v>
      </c>
      <c r="J474" s="66" t="s">
        <v>1860</v>
      </c>
      <c r="K474" s="66" t="s">
        <v>7</v>
      </c>
      <c r="L474" s="66" t="s">
        <v>62</v>
      </c>
      <c r="M474" s="67" t="s">
        <v>155</v>
      </c>
      <c r="N474" s="66" t="s">
        <v>1861</v>
      </c>
      <c r="O474" s="66" t="s">
        <v>7</v>
      </c>
      <c r="P474" s="66" t="s">
        <v>62</v>
      </c>
      <c r="Q474" s="66" t="s">
        <v>5002</v>
      </c>
      <c r="R474" s="67" cm="1">
        <f t="array" aca="1" ref="R474" ca="1">_xlfn.CHOOSECOLS(_xlfn.CHOOSEROWS(_xlfn._xlws.FILTER(표2[],표2[DWG No.]=C474,""),1),6)</f>
        <v>42968</v>
      </c>
      <c r="S474" s="67" cm="1">
        <f t="array" aca="1" ref="S474" ca="1">_xlfn.CHOOSECOLS(_xlfn.CHOOSEROWS(_xlfn._xlws.FILTER(표2[],(표2[DWG No.]=C474)*(ISNUMBER(표2[Rev.])),""),1),6)</f>
        <v>43091</v>
      </c>
    </row>
    <row r="475" spans="1:19" ht="18" customHeight="1" x14ac:dyDescent="0.45">
      <c r="A475" s="64">
        <v>470</v>
      </c>
      <c r="B475" s="49" t="s">
        <v>57</v>
      </c>
      <c r="C475" s="65" t="s">
        <v>1862</v>
      </c>
      <c r="D475" s="66" t="s">
        <v>1863</v>
      </c>
      <c r="E475" s="65" t="s">
        <v>1864</v>
      </c>
      <c r="F475" s="66" t="s">
        <v>5</v>
      </c>
      <c r="G475" s="67">
        <v>42998</v>
      </c>
      <c r="H475" s="67">
        <v>43089</v>
      </c>
      <c r="I475" s="67">
        <v>43244</v>
      </c>
      <c r="J475" s="66" t="s">
        <v>2591</v>
      </c>
      <c r="K475" s="66" t="s">
        <v>7</v>
      </c>
      <c r="L475" s="66" t="s">
        <v>89</v>
      </c>
      <c r="M475" s="67" t="s">
        <v>2592</v>
      </c>
      <c r="N475" s="66" t="s">
        <v>2593</v>
      </c>
      <c r="O475" s="66" t="s">
        <v>7</v>
      </c>
      <c r="P475" s="66" t="s">
        <v>89</v>
      </c>
      <c r="Q475" s="66" t="s">
        <v>5002</v>
      </c>
      <c r="R475" s="67" cm="1">
        <f t="array" aca="1" ref="R475" ca="1">_xlfn.CHOOSECOLS(_xlfn.CHOOSEROWS(_xlfn._xlws.FILTER(표2[],표2[DWG No.]=C475,""),1),6)</f>
        <v>43005</v>
      </c>
      <c r="S475" s="67" cm="1">
        <f t="array" aca="1" ref="S475" ca="1">_xlfn.CHOOSECOLS(_xlfn.CHOOSEROWS(_xlfn._xlws.FILTER(표2[],(표2[DWG No.]=C475)*(ISNUMBER(표2[Rev.])),""),1),6)</f>
        <v>43096</v>
      </c>
    </row>
    <row r="476" spans="1:19" ht="18" customHeight="1" x14ac:dyDescent="0.45">
      <c r="A476" s="64">
        <v>471</v>
      </c>
      <c r="B476" s="49" t="s">
        <v>57</v>
      </c>
      <c r="C476" s="65" t="s">
        <v>1865</v>
      </c>
      <c r="D476" s="66" t="s">
        <v>1866</v>
      </c>
      <c r="E476" s="65" t="s">
        <v>1867</v>
      </c>
      <c r="F476" s="66" t="s">
        <v>6</v>
      </c>
      <c r="G476" s="67">
        <v>42875</v>
      </c>
      <c r="H476" s="67">
        <v>42967</v>
      </c>
      <c r="I476" s="67">
        <v>43355</v>
      </c>
      <c r="J476" s="66" t="s">
        <v>2594</v>
      </c>
      <c r="K476" s="66" t="s">
        <v>7</v>
      </c>
      <c r="L476" s="66" t="s">
        <v>89</v>
      </c>
      <c r="M476" s="67" t="s">
        <v>2448</v>
      </c>
      <c r="N476" s="66" t="s">
        <v>2595</v>
      </c>
      <c r="O476" s="66" t="s">
        <v>7</v>
      </c>
      <c r="P476" s="66" t="s">
        <v>89</v>
      </c>
      <c r="Q476" s="66" t="s">
        <v>65</v>
      </c>
      <c r="R476" s="67" cm="1">
        <f t="array" aca="1" ref="R476" ca="1">_xlfn.CHOOSECOLS(_xlfn.CHOOSEROWS(_xlfn._xlws.FILTER(표2[],표2[DWG No.]=C476,""),1),6)</f>
        <v>42878</v>
      </c>
      <c r="S476" s="67" cm="1">
        <f t="array" aca="1" ref="S476" ca="1">_xlfn.CHOOSECOLS(_xlfn.CHOOSEROWS(_xlfn._xlws.FILTER(표2[],(표2[DWG No.]=C476)*(ISNUMBER(표2[Rev.])),""),1),6)</f>
        <v>42971</v>
      </c>
    </row>
    <row r="477" spans="1:19" ht="18" customHeight="1" x14ac:dyDescent="0.45">
      <c r="A477" s="64">
        <v>472</v>
      </c>
      <c r="B477" s="49" t="s">
        <v>57</v>
      </c>
      <c r="C477" s="65" t="s">
        <v>1868</v>
      </c>
      <c r="D477" s="66" t="s">
        <v>1869</v>
      </c>
      <c r="E477" s="65" t="s">
        <v>1870</v>
      </c>
      <c r="F477" s="66" t="s">
        <v>5</v>
      </c>
      <c r="G477" s="67">
        <v>42845</v>
      </c>
      <c r="H477" s="67">
        <v>42936</v>
      </c>
      <c r="I477" s="67">
        <v>43286</v>
      </c>
      <c r="J477" s="66" t="s">
        <v>2596</v>
      </c>
      <c r="K477" s="66" t="s">
        <v>7</v>
      </c>
      <c r="L477" s="66" t="s">
        <v>89</v>
      </c>
      <c r="M477" s="67" t="s">
        <v>2455</v>
      </c>
      <c r="N477" s="66" t="s">
        <v>2597</v>
      </c>
      <c r="O477" s="66" t="s">
        <v>7</v>
      </c>
      <c r="P477" s="66" t="s">
        <v>89</v>
      </c>
      <c r="Q477" s="66" t="s">
        <v>5002</v>
      </c>
      <c r="R477" s="67" cm="1">
        <f t="array" aca="1" ref="R477" ca="1">_xlfn.CHOOSECOLS(_xlfn.CHOOSEROWS(_xlfn._xlws.FILTER(표2[],표2[DWG No.]=C477,""),1),6)</f>
        <v>42872</v>
      </c>
      <c r="S477" s="67" cm="1">
        <f t="array" aca="1" ref="S477" ca="1">_xlfn.CHOOSECOLS(_xlfn.CHOOSEROWS(_xlfn._xlws.FILTER(표2[],(표2[DWG No.]=C477)*(ISNUMBER(표2[Rev.])),""),1),6)</f>
        <v>42971</v>
      </c>
    </row>
    <row r="478" spans="1:19" ht="18" customHeight="1" x14ac:dyDescent="0.45">
      <c r="A478" s="64">
        <v>473</v>
      </c>
      <c r="B478" s="49" t="s">
        <v>57</v>
      </c>
      <c r="C478" s="65" t="s">
        <v>1871</v>
      </c>
      <c r="D478" s="66" t="s">
        <v>1872</v>
      </c>
      <c r="E478" s="65" t="s">
        <v>1873</v>
      </c>
      <c r="F478" s="66" t="s">
        <v>6</v>
      </c>
      <c r="G478" s="67">
        <v>42845</v>
      </c>
      <c r="H478" s="67">
        <v>42875</v>
      </c>
      <c r="I478" s="67">
        <v>42921</v>
      </c>
      <c r="J478" s="66" t="s">
        <v>1825</v>
      </c>
      <c r="K478" s="66" t="s">
        <v>7</v>
      </c>
      <c r="L478" s="66" t="s">
        <v>62</v>
      </c>
      <c r="M478" s="67" t="s">
        <v>190</v>
      </c>
      <c r="N478" s="66" t="s">
        <v>81</v>
      </c>
      <c r="O478" s="66" t="s">
        <v>7</v>
      </c>
      <c r="P478" s="66" t="s">
        <v>62</v>
      </c>
      <c r="Q478" s="66" t="s">
        <v>5003</v>
      </c>
      <c r="R478" s="67" cm="1">
        <f t="array" aca="1" ref="R478" ca="1">_xlfn.CHOOSECOLS(_xlfn.CHOOSEROWS(_xlfn._xlws.FILTER(표2[],표2[DWG No.]=C478,""),1),6)</f>
        <v>42874</v>
      </c>
      <c r="S478" s="67" cm="1">
        <f t="array" aca="1" ref="S478" ca="1">_xlfn.CHOOSECOLS(_xlfn.CHOOSEROWS(_xlfn._xlws.FILTER(표2[],(표2[DWG No.]=C478)*(ISNUMBER(표2[Rev.])),""),1),6)</f>
        <v>42921</v>
      </c>
    </row>
    <row r="479" spans="1:19" ht="18" customHeight="1" x14ac:dyDescent="0.45">
      <c r="A479" s="64">
        <v>474</v>
      </c>
      <c r="B479" s="49" t="s">
        <v>57</v>
      </c>
      <c r="C479" s="65" t="s">
        <v>1874</v>
      </c>
      <c r="D479" s="66" t="s">
        <v>1875</v>
      </c>
      <c r="E479" s="65" t="s">
        <v>1876</v>
      </c>
      <c r="F479" s="66" t="s">
        <v>6</v>
      </c>
      <c r="G479" s="67">
        <v>42817</v>
      </c>
      <c r="H479" s="67">
        <v>42930</v>
      </c>
      <c r="I479" s="67">
        <v>42933</v>
      </c>
      <c r="J479" s="66" t="s">
        <v>1796</v>
      </c>
      <c r="K479" s="66" t="s">
        <v>7</v>
      </c>
      <c r="L479" s="66" t="s">
        <v>62</v>
      </c>
      <c r="M479" s="67" t="s">
        <v>408</v>
      </c>
      <c r="N479" s="66" t="s">
        <v>1877</v>
      </c>
      <c r="O479" s="66" t="s">
        <v>7</v>
      </c>
      <c r="P479" s="66" t="s">
        <v>62</v>
      </c>
      <c r="Q479" s="66" t="s">
        <v>5002</v>
      </c>
      <c r="R479" s="67" cm="1">
        <f t="array" aca="1" ref="R479" ca="1">_xlfn.CHOOSECOLS(_xlfn.CHOOSEROWS(_xlfn._xlws.FILTER(표2[],표2[DWG No.]=C479,""),1),6)</f>
        <v>42831</v>
      </c>
      <c r="S479" s="67" cm="1">
        <f t="array" aca="1" ref="S479" ca="1">_xlfn.CHOOSECOLS(_xlfn.CHOOSEROWS(_xlfn._xlws.FILTER(표2[],(표2[DWG No.]=C479)*(ISNUMBER(표2[Rev.])),""),1),6)</f>
        <v>42933</v>
      </c>
    </row>
    <row r="480" spans="1:19" ht="18" customHeight="1" x14ac:dyDescent="0.45">
      <c r="A480" s="64">
        <v>475</v>
      </c>
      <c r="B480" s="49" t="s">
        <v>57</v>
      </c>
      <c r="C480" s="65" t="s">
        <v>1878</v>
      </c>
      <c r="D480" s="66" t="s">
        <v>1879</v>
      </c>
      <c r="E480" s="65" t="s">
        <v>1880</v>
      </c>
      <c r="F480" s="66" t="s">
        <v>6</v>
      </c>
      <c r="G480" s="67">
        <v>42967</v>
      </c>
      <c r="H480" s="67">
        <v>43060</v>
      </c>
      <c r="I480" s="67">
        <v>43606</v>
      </c>
      <c r="J480" s="66" t="s">
        <v>2688</v>
      </c>
      <c r="K480" s="66" t="s">
        <v>7</v>
      </c>
      <c r="L480" s="66" t="s">
        <v>89</v>
      </c>
      <c r="M480" s="67" t="s">
        <v>2689</v>
      </c>
      <c r="N480" s="66" t="s">
        <v>2690</v>
      </c>
      <c r="O480" s="66" t="s">
        <v>7</v>
      </c>
      <c r="P480" s="66" t="s">
        <v>89</v>
      </c>
      <c r="Q480" s="66" t="s">
        <v>65</v>
      </c>
      <c r="R480" s="67" cm="1">
        <f t="array" aca="1" ref="R480" ca="1">_xlfn.CHOOSECOLS(_xlfn.CHOOSEROWS(_xlfn._xlws.FILTER(표2[],표2[DWG No.]=C480,""),1),6)</f>
        <v>42992</v>
      </c>
      <c r="S480" s="67" cm="1">
        <f t="array" aca="1" ref="S480" ca="1">_xlfn.CHOOSECOLS(_xlfn.CHOOSEROWS(_xlfn._xlws.FILTER(표2[],(표2[DWG No.]=C480)*(ISNUMBER(표2[Rev.])),""),1),6)</f>
        <v>43084</v>
      </c>
    </row>
    <row r="481" spans="1:19" ht="18" customHeight="1" x14ac:dyDescent="0.45">
      <c r="A481" s="64">
        <v>476</v>
      </c>
      <c r="B481" s="49" t="s">
        <v>57</v>
      </c>
      <c r="C481" s="65" t="s">
        <v>1881</v>
      </c>
      <c r="D481" s="66" t="s">
        <v>1882</v>
      </c>
      <c r="E481" s="65" t="s">
        <v>1883</v>
      </c>
      <c r="F481" s="66" t="s">
        <v>5</v>
      </c>
      <c r="G481" s="67">
        <v>42814</v>
      </c>
      <c r="H481" s="67">
        <v>42936</v>
      </c>
      <c r="I481" s="67">
        <v>43040</v>
      </c>
      <c r="J481" s="66" t="s">
        <v>1816</v>
      </c>
      <c r="K481" s="66" t="s">
        <v>7</v>
      </c>
      <c r="L481" s="66" t="s">
        <v>62</v>
      </c>
      <c r="M481" s="67" t="s">
        <v>155</v>
      </c>
      <c r="N481" s="66" t="s">
        <v>1884</v>
      </c>
      <c r="O481" s="66" t="s">
        <v>7</v>
      </c>
      <c r="P481" s="66" t="s">
        <v>62</v>
      </c>
      <c r="Q481" s="66" t="s">
        <v>5002</v>
      </c>
      <c r="R481" s="67" cm="1">
        <f t="array" aca="1" ref="R481" ca="1">_xlfn.CHOOSECOLS(_xlfn.CHOOSEROWS(_xlfn._xlws.FILTER(표2[],표2[DWG No.]=C481,""),1),6)</f>
        <v>42831</v>
      </c>
      <c r="S481" s="67" cm="1">
        <f t="array" aca="1" ref="S481" ca="1">_xlfn.CHOOSECOLS(_xlfn.CHOOSEROWS(_xlfn._xlws.FILTER(표2[],(표2[DWG No.]=C481)*(ISNUMBER(표2[Rev.])),""),1),6)</f>
        <v>43040</v>
      </c>
    </row>
    <row r="482" spans="1:19" ht="18" customHeight="1" x14ac:dyDescent="0.45">
      <c r="A482" s="64">
        <v>477</v>
      </c>
      <c r="B482" s="49" t="s">
        <v>57</v>
      </c>
      <c r="C482" s="65" t="s">
        <v>1885</v>
      </c>
      <c r="D482" s="66" t="s">
        <v>1886</v>
      </c>
      <c r="E482" s="65" t="s">
        <v>1887</v>
      </c>
      <c r="F482" s="66" t="s">
        <v>5</v>
      </c>
      <c r="G482" s="67">
        <v>42967</v>
      </c>
      <c r="H482" s="67">
        <v>43028</v>
      </c>
      <c r="I482" s="67">
        <v>43066</v>
      </c>
      <c r="J482" s="66" t="s">
        <v>1888</v>
      </c>
      <c r="K482" s="66" t="s">
        <v>7</v>
      </c>
      <c r="L482" s="66" t="s">
        <v>62</v>
      </c>
      <c r="M482" s="67" t="s">
        <v>527</v>
      </c>
      <c r="N482" s="66" t="s">
        <v>1889</v>
      </c>
      <c r="O482" s="66" t="s">
        <v>7</v>
      </c>
      <c r="P482" s="66" t="s">
        <v>62</v>
      </c>
      <c r="Q482" s="66" t="s">
        <v>5002</v>
      </c>
      <c r="R482" s="67" cm="1">
        <f t="array" aca="1" ref="R482" ca="1">_xlfn.CHOOSECOLS(_xlfn.CHOOSEROWS(_xlfn._xlws.FILTER(표2[],표2[DWG No.]=C482,""),1),6)</f>
        <v>42968</v>
      </c>
      <c r="S482" s="67" cm="1">
        <f t="array" aca="1" ref="S482" ca="1">_xlfn.CHOOSECOLS(_xlfn.CHOOSEROWS(_xlfn._xlws.FILTER(표2[],(표2[DWG No.]=C482)*(ISNUMBER(표2[Rev.])),""),1),6)</f>
        <v>43066</v>
      </c>
    </row>
    <row r="483" spans="1:19" ht="18" customHeight="1" x14ac:dyDescent="0.45">
      <c r="A483" s="64">
        <v>478</v>
      </c>
      <c r="B483" s="49" t="s">
        <v>57</v>
      </c>
      <c r="C483" s="65" t="s">
        <v>1890</v>
      </c>
      <c r="D483" s="66" t="s">
        <v>1891</v>
      </c>
      <c r="E483" s="65" t="s">
        <v>1892</v>
      </c>
      <c r="F483" s="66" t="s">
        <v>5</v>
      </c>
      <c r="G483" s="67">
        <v>42906</v>
      </c>
      <c r="H483" s="67">
        <v>42998</v>
      </c>
      <c r="I483" s="67">
        <v>42971</v>
      </c>
      <c r="J483" s="66" t="s">
        <v>1812</v>
      </c>
      <c r="K483" s="66" t="s">
        <v>7</v>
      </c>
      <c r="L483" s="66" t="s">
        <v>62</v>
      </c>
      <c r="M483" s="67" t="s">
        <v>519</v>
      </c>
      <c r="N483" s="66" t="s">
        <v>81</v>
      </c>
      <c r="O483" s="66" t="s">
        <v>7</v>
      </c>
      <c r="P483" s="66" t="s">
        <v>62</v>
      </c>
      <c r="Q483" s="66" t="s">
        <v>5002</v>
      </c>
      <c r="R483" s="67" cm="1">
        <f t="array" aca="1" ref="R483" ca="1">_xlfn.CHOOSECOLS(_xlfn.CHOOSEROWS(_xlfn._xlws.FILTER(표2[],표2[DWG No.]=C483,""),1),6)</f>
        <v>42907</v>
      </c>
      <c r="S483" s="67" cm="1">
        <f t="array" aca="1" ref="S483" ca="1">_xlfn.CHOOSECOLS(_xlfn.CHOOSEROWS(_xlfn._xlws.FILTER(표2[],(표2[DWG No.]=C483)*(ISNUMBER(표2[Rev.])),""),1),6)</f>
        <v>42971</v>
      </c>
    </row>
    <row r="484" spans="1:19" ht="18" customHeight="1" x14ac:dyDescent="0.45">
      <c r="A484" s="64">
        <v>479</v>
      </c>
      <c r="B484" s="49" t="s">
        <v>57</v>
      </c>
      <c r="C484" s="65" t="s">
        <v>1893</v>
      </c>
      <c r="D484" s="66" t="s">
        <v>1894</v>
      </c>
      <c r="E484" s="65" t="s">
        <v>1895</v>
      </c>
      <c r="F484" s="66" t="s">
        <v>6</v>
      </c>
      <c r="G484" s="67">
        <v>42998</v>
      </c>
      <c r="H484" s="67">
        <v>43089</v>
      </c>
      <c r="I484" s="67">
        <v>43560</v>
      </c>
      <c r="J484" s="66" t="s">
        <v>2666</v>
      </c>
      <c r="K484" s="66" t="s">
        <v>7</v>
      </c>
      <c r="L484" s="66" t="s">
        <v>89</v>
      </c>
      <c r="M484" s="67" t="s">
        <v>2667</v>
      </c>
      <c r="N484" s="66" t="s">
        <v>2668</v>
      </c>
      <c r="O484" s="66" t="s">
        <v>7</v>
      </c>
      <c r="P484" s="66" t="s">
        <v>89</v>
      </c>
      <c r="Q484" s="66" t="s">
        <v>65</v>
      </c>
      <c r="R484" s="67" cm="1">
        <f t="array" aca="1" ref="R484" ca="1">_xlfn.CHOOSECOLS(_xlfn.CHOOSEROWS(_xlfn._xlws.FILTER(표2[],표2[DWG No.]=C484,""),1),6)</f>
        <v>43082</v>
      </c>
      <c r="S484" s="67" cm="1">
        <f t="array" aca="1" ref="S484" ca="1">_xlfn.CHOOSECOLS(_xlfn.CHOOSEROWS(_xlfn._xlws.FILTER(표2[],(표2[DWG No.]=C484)*(ISNUMBER(표2[Rev.])),""),1),6)</f>
        <v>43096</v>
      </c>
    </row>
    <row r="485" spans="1:19" ht="18" customHeight="1" x14ac:dyDescent="0.45">
      <c r="A485" s="64">
        <v>480</v>
      </c>
      <c r="B485" s="49" t="s">
        <v>57</v>
      </c>
      <c r="C485" s="65" t="s">
        <v>1896</v>
      </c>
      <c r="D485" s="66" t="s">
        <v>1897</v>
      </c>
      <c r="E485" s="65" t="s">
        <v>1898</v>
      </c>
      <c r="F485" s="66" t="s">
        <v>6</v>
      </c>
      <c r="G485" s="67">
        <v>42936</v>
      </c>
      <c r="H485" s="67">
        <v>43028</v>
      </c>
      <c r="I485" s="67">
        <v>43034</v>
      </c>
      <c r="J485" s="66" t="s">
        <v>1806</v>
      </c>
      <c r="K485" s="66" t="s">
        <v>7</v>
      </c>
      <c r="L485" s="66" t="s">
        <v>62</v>
      </c>
      <c r="M485" s="67" t="s">
        <v>90</v>
      </c>
      <c r="N485" s="66" t="s">
        <v>1899</v>
      </c>
      <c r="O485" s="66" t="s">
        <v>7</v>
      </c>
      <c r="P485" s="66" t="s">
        <v>62</v>
      </c>
      <c r="Q485" s="66" t="s">
        <v>5002</v>
      </c>
      <c r="R485" s="67" cm="1">
        <f t="array" aca="1" ref="R485" ca="1">_xlfn.CHOOSECOLS(_xlfn.CHOOSEROWS(_xlfn._xlws.FILTER(표2[],표2[DWG No.]=C485,""),1),6)</f>
        <v>42937</v>
      </c>
      <c r="S485" s="67" cm="1">
        <f t="array" aca="1" ref="S485" ca="1">_xlfn.CHOOSECOLS(_xlfn.CHOOSEROWS(_xlfn._xlws.FILTER(표2[],(표2[DWG No.]=C485)*(ISNUMBER(표2[Rev.])),""),1),6)</f>
        <v>43034</v>
      </c>
    </row>
    <row r="486" spans="1:19" ht="18" customHeight="1" x14ac:dyDescent="0.45">
      <c r="A486" s="64">
        <v>481</v>
      </c>
      <c r="B486" s="49" t="s">
        <v>57</v>
      </c>
      <c r="C486" s="65" t="s">
        <v>1900</v>
      </c>
      <c r="D486" s="66" t="s">
        <v>1901</v>
      </c>
      <c r="E486" s="65" t="s">
        <v>1902</v>
      </c>
      <c r="F486" s="66" t="s">
        <v>6</v>
      </c>
      <c r="G486" s="67">
        <v>42936</v>
      </c>
      <c r="H486" s="67">
        <v>43028</v>
      </c>
      <c r="I486" s="67">
        <v>43584</v>
      </c>
      <c r="J486" s="66" t="s">
        <v>2683</v>
      </c>
      <c r="K486" s="66" t="s">
        <v>7</v>
      </c>
      <c r="L486" s="66" t="s">
        <v>89</v>
      </c>
      <c r="M486" s="67" t="s">
        <v>2684</v>
      </c>
      <c r="N486" s="66" t="s">
        <v>2685</v>
      </c>
      <c r="O486" s="66" t="s">
        <v>7</v>
      </c>
      <c r="P486" s="66" t="s">
        <v>89</v>
      </c>
      <c r="Q486" s="66" t="s">
        <v>65</v>
      </c>
      <c r="R486" s="67" cm="1">
        <f t="array" aca="1" ref="R486" ca="1">_xlfn.CHOOSECOLS(_xlfn.CHOOSEROWS(_xlfn._xlws.FILTER(표2[],표2[DWG No.]=C486,""),1),6)</f>
        <v>42937</v>
      </c>
      <c r="S486" s="67" cm="1">
        <f t="array" aca="1" ref="S486" ca="1">_xlfn.CHOOSECOLS(_xlfn.CHOOSEROWS(_xlfn._xlws.FILTER(표2[],(표2[DWG No.]=C486)*(ISNUMBER(표2[Rev.])),""),1),6)</f>
        <v>43040</v>
      </c>
    </row>
    <row r="487" spans="1:19" ht="18" customHeight="1" x14ac:dyDescent="0.45">
      <c r="A487" s="64">
        <v>482</v>
      </c>
      <c r="B487" s="49" t="s">
        <v>57</v>
      </c>
      <c r="C487" s="65" t="s">
        <v>1903</v>
      </c>
      <c r="D487" s="66" t="s">
        <v>1904</v>
      </c>
      <c r="E487" s="65" t="s">
        <v>1905</v>
      </c>
      <c r="F487" s="66" t="s">
        <v>6</v>
      </c>
      <c r="G487" s="67">
        <v>42936</v>
      </c>
      <c r="H487" s="67">
        <v>43028</v>
      </c>
      <c r="I487" s="67">
        <v>43040</v>
      </c>
      <c r="J487" s="66" t="s">
        <v>1816</v>
      </c>
      <c r="K487" s="66" t="s">
        <v>7</v>
      </c>
      <c r="L487" s="66" t="s">
        <v>62</v>
      </c>
      <c r="M487" s="67" t="s">
        <v>155</v>
      </c>
      <c r="N487" s="66" t="s">
        <v>1906</v>
      </c>
      <c r="O487" s="66" t="s">
        <v>7</v>
      </c>
      <c r="P487" s="66" t="s">
        <v>62</v>
      </c>
      <c r="Q487" s="66" t="s">
        <v>5002</v>
      </c>
      <c r="R487" s="67" cm="1">
        <f t="array" aca="1" ref="R487" ca="1">_xlfn.CHOOSECOLS(_xlfn.CHOOSEROWS(_xlfn._xlws.FILTER(표2[],표2[DWG No.]=C487,""),1),6)</f>
        <v>42937</v>
      </c>
      <c r="S487" s="67" cm="1">
        <f t="array" aca="1" ref="S487" ca="1">_xlfn.CHOOSECOLS(_xlfn.CHOOSEROWS(_xlfn._xlws.FILTER(표2[],(표2[DWG No.]=C487)*(ISNUMBER(표2[Rev.])),""),1),6)</f>
        <v>43040</v>
      </c>
    </row>
    <row r="488" spans="1:19" ht="18" customHeight="1" x14ac:dyDescent="0.45">
      <c r="A488" s="64">
        <v>483</v>
      </c>
      <c r="B488" s="49" t="s">
        <v>57</v>
      </c>
      <c r="C488" s="65" t="s">
        <v>1907</v>
      </c>
      <c r="D488" s="66" t="s">
        <v>1908</v>
      </c>
      <c r="E488" s="65" t="s">
        <v>1909</v>
      </c>
      <c r="F488" s="66" t="s">
        <v>5</v>
      </c>
      <c r="G488" s="67">
        <v>42936</v>
      </c>
      <c r="H488" s="67">
        <v>43028</v>
      </c>
      <c r="I488" s="67">
        <v>43480</v>
      </c>
      <c r="J488" s="66" t="s">
        <v>2638</v>
      </c>
      <c r="K488" s="66" t="s">
        <v>7</v>
      </c>
      <c r="L488" s="66" t="s">
        <v>230</v>
      </c>
      <c r="M488" s="67" t="s">
        <v>2629</v>
      </c>
      <c r="N488" s="66" t="s">
        <v>2639</v>
      </c>
      <c r="O488" s="66" t="s">
        <v>7</v>
      </c>
      <c r="P488" s="66" t="s">
        <v>230</v>
      </c>
      <c r="Q488" s="66" t="s">
        <v>65</v>
      </c>
      <c r="R488" s="67" cm="1">
        <f t="array" aca="1" ref="R488" ca="1">_xlfn.CHOOSECOLS(_xlfn.CHOOSEROWS(_xlfn._xlws.FILTER(표2[],표2[DWG No.]=C488,""),1),6)</f>
        <v>42937</v>
      </c>
      <c r="S488" s="67" cm="1">
        <f t="array" aca="1" ref="S488" ca="1">_xlfn.CHOOSECOLS(_xlfn.CHOOSEROWS(_xlfn._xlws.FILTER(표2[],(표2[DWG No.]=C488)*(ISNUMBER(표2[Rev.])),""),1),6)</f>
        <v>43034</v>
      </c>
    </row>
    <row r="489" spans="1:19" ht="18" customHeight="1" x14ac:dyDescent="0.45">
      <c r="A489" s="64">
        <v>484</v>
      </c>
      <c r="B489" s="49" t="s">
        <v>57</v>
      </c>
      <c r="C489" s="65" t="s">
        <v>1910</v>
      </c>
      <c r="D489" s="66" t="s">
        <v>1911</v>
      </c>
      <c r="E489" s="65" t="s">
        <v>1912</v>
      </c>
      <c r="F489" s="66" t="s">
        <v>6</v>
      </c>
      <c r="G489" s="67">
        <v>42906</v>
      </c>
      <c r="H489" s="67">
        <v>42998</v>
      </c>
      <c r="I489" s="67">
        <v>43486</v>
      </c>
      <c r="J489" s="66" t="s">
        <v>2653</v>
      </c>
      <c r="K489" s="66" t="s">
        <v>7</v>
      </c>
      <c r="L489" s="66" t="s">
        <v>230</v>
      </c>
      <c r="M489" s="67" t="s">
        <v>2647</v>
      </c>
      <c r="N489" s="66" t="s">
        <v>2654</v>
      </c>
      <c r="O489" s="66" t="s">
        <v>7</v>
      </c>
      <c r="P489" s="66" t="s">
        <v>230</v>
      </c>
      <c r="Q489" s="66" t="s">
        <v>65</v>
      </c>
      <c r="R489" s="67" cm="1">
        <f t="array" aca="1" ref="R489" ca="1">_xlfn.CHOOSECOLS(_xlfn.CHOOSEROWS(_xlfn._xlws.FILTER(표2[],표2[DWG No.]=C489,""),1),6)</f>
        <v>42907</v>
      </c>
      <c r="S489" s="67" cm="1">
        <f t="array" aca="1" ref="S489" ca="1">_xlfn.CHOOSECOLS(_xlfn.CHOOSEROWS(_xlfn._xlws.FILTER(표2[],(표2[DWG No.]=C489)*(ISNUMBER(표2[Rev.])),""),1),6)</f>
        <v>43096</v>
      </c>
    </row>
    <row r="490" spans="1:19" ht="18" customHeight="1" x14ac:dyDescent="0.45">
      <c r="A490" s="64">
        <v>485</v>
      </c>
      <c r="B490" s="49" t="s">
        <v>57</v>
      </c>
      <c r="C490" s="65" t="s">
        <v>1913</v>
      </c>
      <c r="D490" s="66" t="s">
        <v>1914</v>
      </c>
      <c r="E490" s="65" t="s">
        <v>1915</v>
      </c>
      <c r="F490" s="66" t="s">
        <v>6</v>
      </c>
      <c r="G490" s="67">
        <v>42936</v>
      </c>
      <c r="H490" s="67">
        <v>43028</v>
      </c>
      <c r="I490" s="67">
        <v>43418</v>
      </c>
      <c r="J490" s="66" t="s">
        <v>2710</v>
      </c>
      <c r="K490" s="66" t="s">
        <v>7</v>
      </c>
      <c r="L490" s="66" t="s">
        <v>230</v>
      </c>
      <c r="M490" s="67" t="s">
        <v>2790</v>
      </c>
      <c r="N490" s="66" t="s">
        <v>2791</v>
      </c>
      <c r="O490" s="66" t="s">
        <v>7</v>
      </c>
      <c r="P490" s="66" t="s">
        <v>230</v>
      </c>
      <c r="Q490" s="66" t="s">
        <v>65</v>
      </c>
      <c r="R490" s="67" cm="1">
        <f t="array" aca="1" ref="R490" ca="1">_xlfn.CHOOSECOLS(_xlfn.CHOOSEROWS(_xlfn._xlws.FILTER(표2[],표2[DWG No.]=C490,""),1),6)</f>
        <v>42937</v>
      </c>
      <c r="S490" s="67" cm="1">
        <f t="array" aca="1" ref="S490" ca="1">_xlfn.CHOOSECOLS(_xlfn.CHOOSEROWS(_xlfn._xlws.FILTER(표2[],(표2[DWG No.]=C490)*(ISNUMBER(표2[Rev.])),""),1),6)</f>
        <v>43040</v>
      </c>
    </row>
    <row r="491" spans="1:19" ht="18" customHeight="1" x14ac:dyDescent="0.45">
      <c r="A491" s="64">
        <v>486</v>
      </c>
      <c r="B491" s="49" t="s">
        <v>57</v>
      </c>
      <c r="C491" s="65" t="s">
        <v>1916</v>
      </c>
      <c r="D491" s="66" t="s">
        <v>1917</v>
      </c>
      <c r="E491" s="65" t="s">
        <v>1918</v>
      </c>
      <c r="F491" s="66" t="s">
        <v>5</v>
      </c>
      <c r="G491" s="67">
        <v>42998</v>
      </c>
      <c r="H491" s="67">
        <v>43089</v>
      </c>
      <c r="I491" s="67">
        <v>43091</v>
      </c>
      <c r="J491" s="66" t="s">
        <v>1860</v>
      </c>
      <c r="K491" s="66" t="s">
        <v>7</v>
      </c>
      <c r="L491" s="66" t="s">
        <v>62</v>
      </c>
      <c r="M491" s="67" t="s">
        <v>2467</v>
      </c>
      <c r="N491" s="66" t="s">
        <v>2598</v>
      </c>
      <c r="O491" s="66" t="s">
        <v>7</v>
      </c>
      <c r="P491" s="66" t="s">
        <v>62</v>
      </c>
      <c r="Q491" s="66" t="s">
        <v>65</v>
      </c>
      <c r="R491" s="67" cm="1">
        <f t="array" aca="1" ref="R491" ca="1">_xlfn.CHOOSECOLS(_xlfn.CHOOSEROWS(_xlfn._xlws.FILTER(표2[],표2[DWG No.]=C491,""),1),6)</f>
        <v>43005</v>
      </c>
      <c r="S491" s="67" cm="1">
        <f t="array" aca="1" ref="S491" ca="1">_xlfn.CHOOSECOLS(_xlfn.CHOOSEROWS(_xlfn._xlws.FILTER(표2[],(표2[DWG No.]=C491)*(ISNUMBER(표2[Rev.])),""),1),6)</f>
        <v>43091</v>
      </c>
    </row>
    <row r="492" spans="1:19" ht="18" customHeight="1" x14ac:dyDescent="0.45">
      <c r="A492" s="64">
        <v>487</v>
      </c>
      <c r="B492" s="49" t="s">
        <v>57</v>
      </c>
      <c r="C492" s="65" t="s">
        <v>1919</v>
      </c>
      <c r="D492" s="66" t="s">
        <v>1920</v>
      </c>
      <c r="E492" s="65" t="s">
        <v>1921</v>
      </c>
      <c r="F492" s="66" t="s">
        <v>5</v>
      </c>
      <c r="G492" s="67">
        <v>42998</v>
      </c>
      <c r="H492" s="67">
        <v>43089</v>
      </c>
      <c r="I492" s="67">
        <v>43244</v>
      </c>
      <c r="J492" s="66" t="s">
        <v>2591</v>
      </c>
      <c r="K492" s="66" t="s">
        <v>7</v>
      </c>
      <c r="L492" s="66" t="s">
        <v>89</v>
      </c>
      <c r="M492" s="67" t="s">
        <v>2592</v>
      </c>
      <c r="N492" s="66" t="s">
        <v>2599</v>
      </c>
      <c r="O492" s="66" t="s">
        <v>7</v>
      </c>
      <c r="P492" s="66" t="s">
        <v>89</v>
      </c>
      <c r="Q492" s="66" t="s">
        <v>5002</v>
      </c>
      <c r="R492" s="67" cm="1">
        <f t="array" aca="1" ref="R492" ca="1">_xlfn.CHOOSECOLS(_xlfn.CHOOSEROWS(_xlfn._xlws.FILTER(표2[],표2[DWG No.]=C492,""),1),6)</f>
        <v>43005</v>
      </c>
      <c r="S492" s="67" cm="1">
        <f t="array" aca="1" ref="S492" ca="1">_xlfn.CHOOSECOLS(_xlfn.CHOOSEROWS(_xlfn._xlws.FILTER(표2[],(표2[DWG No.]=C492)*(ISNUMBER(표2[Rev.])),""),1),6)</f>
        <v>43091</v>
      </c>
    </row>
    <row r="493" spans="1:19" ht="18" customHeight="1" x14ac:dyDescent="0.45">
      <c r="A493" s="64">
        <v>488</v>
      </c>
      <c r="B493" s="49" t="s">
        <v>57</v>
      </c>
      <c r="C493" s="65" t="s">
        <v>1922</v>
      </c>
      <c r="D493" s="66" t="s">
        <v>1923</v>
      </c>
      <c r="E493" s="65" t="s">
        <v>1924</v>
      </c>
      <c r="F493" s="66" t="s">
        <v>5</v>
      </c>
      <c r="G493" s="67">
        <v>42814</v>
      </c>
      <c r="H493" s="67">
        <v>42936</v>
      </c>
      <c r="I493" s="67">
        <v>44012</v>
      </c>
      <c r="J493" s="66" t="s">
        <v>5022</v>
      </c>
      <c r="K493" s="66" t="s">
        <v>4991</v>
      </c>
      <c r="L493" s="66">
        <v>2</v>
      </c>
      <c r="M493" s="67"/>
      <c r="N493" s="66"/>
      <c r="O493" s="66"/>
      <c r="P493" s="66"/>
      <c r="Q493" s="66"/>
      <c r="R493" s="67" cm="1">
        <f t="array" aca="1" ref="R493" ca="1">_xlfn.CHOOSECOLS(_xlfn.CHOOSEROWS(_xlfn._xlws.FILTER(표2[],표2[DWG No.]=C493,""),1),6)</f>
        <v>42816</v>
      </c>
      <c r="S493" s="67" cm="1">
        <f t="array" aca="1" ref="S493" ca="1">_xlfn.CHOOSECOLS(_xlfn.CHOOSEROWS(_xlfn._xlws.FILTER(표2[],(표2[DWG No.]=C493)*(ISNUMBER(표2[Rev.])),""),1),6)</f>
        <v>43005</v>
      </c>
    </row>
    <row r="494" spans="1:19" ht="18" customHeight="1" x14ac:dyDescent="0.45">
      <c r="A494" s="64">
        <v>489</v>
      </c>
      <c r="B494" s="49" t="s">
        <v>57</v>
      </c>
      <c r="C494" s="65" t="s">
        <v>1927</v>
      </c>
      <c r="D494" s="66" t="s">
        <v>1928</v>
      </c>
      <c r="E494" s="65" t="s">
        <v>1929</v>
      </c>
      <c r="F494" s="66" t="s">
        <v>6</v>
      </c>
      <c r="G494" s="67">
        <v>42967</v>
      </c>
      <c r="H494" s="67">
        <v>43059</v>
      </c>
      <c r="I494" s="67">
        <v>43685</v>
      </c>
      <c r="J494" s="66" t="s">
        <v>2700</v>
      </c>
      <c r="K494" s="66" t="s">
        <v>7</v>
      </c>
      <c r="L494" s="66" t="s">
        <v>230</v>
      </c>
      <c r="M494" s="67" t="s">
        <v>2698</v>
      </c>
      <c r="N494" s="66" t="s">
        <v>2701</v>
      </c>
      <c r="O494" s="66" t="s">
        <v>7</v>
      </c>
      <c r="P494" s="66" t="s">
        <v>230</v>
      </c>
      <c r="Q494" s="66" t="s">
        <v>65</v>
      </c>
      <c r="R494" s="67" cm="1">
        <f t="array" aca="1" ref="R494" ca="1">_xlfn.CHOOSECOLS(_xlfn.CHOOSEROWS(_xlfn._xlws.FILTER(표2[],표2[DWG No.]=C494,""),1),6)</f>
        <v>43041</v>
      </c>
      <c r="S494" s="67" cm="1">
        <f t="array" aca="1" ref="S494" ca="1">_xlfn.CHOOSECOLS(_xlfn.CHOOSEROWS(_xlfn._xlws.FILTER(표2[],(표2[DWG No.]=C494)*(ISNUMBER(표2[Rev.])),""),1),6)</f>
        <v>43066</v>
      </c>
    </row>
    <row r="495" spans="1:19" ht="18" customHeight="1" x14ac:dyDescent="0.45">
      <c r="A495" s="64">
        <v>490</v>
      </c>
      <c r="B495" s="49" t="s">
        <v>57</v>
      </c>
      <c r="C495" s="65" t="s">
        <v>1930</v>
      </c>
      <c r="D495" s="66" t="s">
        <v>1931</v>
      </c>
      <c r="E495" s="65" t="s">
        <v>1932</v>
      </c>
      <c r="F495" s="66" t="s">
        <v>5</v>
      </c>
      <c r="G495" s="67">
        <v>42998</v>
      </c>
      <c r="H495" s="67">
        <v>43089</v>
      </c>
      <c r="I495" s="67">
        <v>43091</v>
      </c>
      <c r="J495" s="66" t="s">
        <v>1860</v>
      </c>
      <c r="K495" s="66" t="s">
        <v>7</v>
      </c>
      <c r="L495" s="66" t="s">
        <v>62</v>
      </c>
      <c r="M495" s="67" t="s">
        <v>155</v>
      </c>
      <c r="N495" s="66" t="s">
        <v>1933</v>
      </c>
      <c r="O495" s="66" t="s">
        <v>7</v>
      </c>
      <c r="P495" s="66" t="s">
        <v>62</v>
      </c>
      <c r="Q495" s="66" t="s">
        <v>5002</v>
      </c>
      <c r="R495" s="67" cm="1">
        <f t="array" aca="1" ref="R495" ca="1">_xlfn.CHOOSECOLS(_xlfn.CHOOSEROWS(_xlfn._xlws.FILTER(표2[],표2[DWG No.]=C495,""),1),6)</f>
        <v>43005</v>
      </c>
      <c r="S495" s="67" cm="1">
        <f t="array" aca="1" ref="S495" ca="1">_xlfn.CHOOSECOLS(_xlfn.CHOOSEROWS(_xlfn._xlws.FILTER(표2[],(표2[DWG No.]=C495)*(ISNUMBER(표2[Rev.])),""),1),6)</f>
        <v>43091</v>
      </c>
    </row>
    <row r="496" spans="1:19" ht="18" customHeight="1" x14ac:dyDescent="0.45">
      <c r="A496" s="64">
        <v>491</v>
      </c>
      <c r="B496" s="49" t="s">
        <v>57</v>
      </c>
      <c r="C496" s="65" t="s">
        <v>1934</v>
      </c>
      <c r="D496" s="66" t="s">
        <v>1935</v>
      </c>
      <c r="E496" s="65" t="s">
        <v>1936</v>
      </c>
      <c r="F496" s="66" t="s">
        <v>5</v>
      </c>
      <c r="G496" s="67">
        <v>42998</v>
      </c>
      <c r="H496" s="67">
        <v>43089</v>
      </c>
      <c r="I496" s="67">
        <v>43091</v>
      </c>
      <c r="J496" s="66" t="s">
        <v>1860</v>
      </c>
      <c r="K496" s="66" t="s">
        <v>7</v>
      </c>
      <c r="L496" s="66" t="s">
        <v>62</v>
      </c>
      <c r="M496" s="67" t="s">
        <v>155</v>
      </c>
      <c r="N496" s="66" t="s">
        <v>1937</v>
      </c>
      <c r="O496" s="66" t="s">
        <v>7</v>
      </c>
      <c r="P496" s="66" t="s">
        <v>62</v>
      </c>
      <c r="Q496" s="66" t="s">
        <v>5002</v>
      </c>
      <c r="R496" s="67" cm="1">
        <f t="array" aca="1" ref="R496" ca="1">_xlfn.CHOOSECOLS(_xlfn.CHOOSEROWS(_xlfn._xlws.FILTER(표2[],표2[DWG No.]=C496,""),1),6)</f>
        <v>43005</v>
      </c>
      <c r="S496" s="67" cm="1">
        <f t="array" aca="1" ref="S496" ca="1">_xlfn.CHOOSECOLS(_xlfn.CHOOSEROWS(_xlfn._xlws.FILTER(표2[],(표2[DWG No.]=C496)*(ISNUMBER(표2[Rev.])),""),1),6)</f>
        <v>43091</v>
      </c>
    </row>
    <row r="497" spans="1:19" ht="18" customHeight="1" x14ac:dyDescent="0.45">
      <c r="A497" s="64">
        <v>492</v>
      </c>
      <c r="B497" s="49" t="s">
        <v>57</v>
      </c>
      <c r="C497" s="65" t="s">
        <v>1938</v>
      </c>
      <c r="D497" s="66" t="s">
        <v>1939</v>
      </c>
      <c r="E497" s="65" t="s">
        <v>1940</v>
      </c>
      <c r="F497" s="66" t="s">
        <v>5</v>
      </c>
      <c r="G497" s="67">
        <v>42906</v>
      </c>
      <c r="H497" s="67">
        <v>42998</v>
      </c>
      <c r="I497" s="67">
        <v>42992</v>
      </c>
      <c r="J497" s="66" t="s">
        <v>1941</v>
      </c>
      <c r="K497" s="66" t="s">
        <v>7</v>
      </c>
      <c r="L497" s="66" t="s">
        <v>62</v>
      </c>
      <c r="M497" s="67" t="s">
        <v>408</v>
      </c>
      <c r="N497" s="66" t="s">
        <v>1942</v>
      </c>
      <c r="O497" s="66" t="s">
        <v>7</v>
      </c>
      <c r="P497" s="66" t="s">
        <v>62</v>
      </c>
      <c r="Q497" s="66" t="s">
        <v>5002</v>
      </c>
      <c r="R497" s="67" cm="1">
        <f t="array" aca="1" ref="R497" ca="1">_xlfn.CHOOSECOLS(_xlfn.CHOOSEROWS(_xlfn._xlws.FILTER(표2[],표2[DWG No.]=C497,""),1),6)</f>
        <v>42922</v>
      </c>
      <c r="S497" s="67" cm="1">
        <f t="array" aca="1" ref="S497" ca="1">_xlfn.CHOOSECOLS(_xlfn.CHOOSEROWS(_xlfn._xlws.FILTER(표2[],(표2[DWG No.]=C497)*(ISNUMBER(표2[Rev.])),""),1),6)</f>
        <v>42992</v>
      </c>
    </row>
    <row r="498" spans="1:19" ht="18" customHeight="1" x14ac:dyDescent="0.45">
      <c r="A498" s="64">
        <v>493</v>
      </c>
      <c r="B498" s="49" t="s">
        <v>57</v>
      </c>
      <c r="C498" s="65" t="s">
        <v>1943</v>
      </c>
      <c r="D498" s="66" t="s">
        <v>1944</v>
      </c>
      <c r="E498" s="65" t="s">
        <v>1945</v>
      </c>
      <c r="F498" s="66" t="s">
        <v>5</v>
      </c>
      <c r="G498" s="67">
        <v>42967</v>
      </c>
      <c r="H498" s="67">
        <v>43059</v>
      </c>
      <c r="I498" s="67">
        <v>43066</v>
      </c>
      <c r="J498" s="66" t="s">
        <v>1888</v>
      </c>
      <c r="K498" s="66" t="s">
        <v>7</v>
      </c>
      <c r="L498" s="66" t="s">
        <v>62</v>
      </c>
      <c r="M498" s="67" t="s">
        <v>527</v>
      </c>
      <c r="N498" s="66" t="s">
        <v>1946</v>
      </c>
      <c r="O498" s="66" t="s">
        <v>7</v>
      </c>
      <c r="P498" s="66" t="s">
        <v>62</v>
      </c>
      <c r="Q498" s="66" t="s">
        <v>5002</v>
      </c>
      <c r="R498" s="67" cm="1">
        <f t="array" aca="1" ref="R498" ca="1">_xlfn.CHOOSECOLS(_xlfn.CHOOSEROWS(_xlfn._xlws.FILTER(표2[],표2[DWG No.]=C498,""),1),6)</f>
        <v>42968</v>
      </c>
      <c r="S498" s="67" cm="1">
        <f t="array" aca="1" ref="S498" ca="1">_xlfn.CHOOSECOLS(_xlfn.CHOOSEROWS(_xlfn._xlws.FILTER(표2[],(표2[DWG No.]=C498)*(ISNUMBER(표2[Rev.])),""),1),6)</f>
        <v>43066</v>
      </c>
    </row>
    <row r="499" spans="1:19" ht="18" customHeight="1" x14ac:dyDescent="0.45">
      <c r="A499" s="64">
        <v>494</v>
      </c>
      <c r="B499" s="49" t="s">
        <v>57</v>
      </c>
      <c r="C499" s="65" t="s">
        <v>1947</v>
      </c>
      <c r="D499" s="66" t="s">
        <v>1948</v>
      </c>
      <c r="E499" s="65" t="s">
        <v>1949</v>
      </c>
      <c r="F499" s="66" t="s">
        <v>6</v>
      </c>
      <c r="G499" s="67">
        <v>42817</v>
      </c>
      <c r="H499" s="67">
        <v>42906</v>
      </c>
      <c r="I499" s="67">
        <v>42940</v>
      </c>
      <c r="J499" s="66" t="s">
        <v>1837</v>
      </c>
      <c r="K499" s="66" t="s">
        <v>7</v>
      </c>
      <c r="L499" s="66" t="s">
        <v>62</v>
      </c>
      <c r="M499" s="67" t="s">
        <v>519</v>
      </c>
      <c r="N499" s="66" t="s">
        <v>81</v>
      </c>
      <c r="O499" s="66" t="s">
        <v>7</v>
      </c>
      <c r="P499" s="66" t="s">
        <v>62</v>
      </c>
      <c r="Q499" s="66" t="s">
        <v>5002</v>
      </c>
      <c r="R499" s="67" cm="1">
        <f t="array" aca="1" ref="R499" ca="1">_xlfn.CHOOSECOLS(_xlfn.CHOOSEROWS(_xlfn._xlws.FILTER(표2[],표2[DWG No.]=C499,""),1),6)</f>
        <v>42831</v>
      </c>
      <c r="S499" s="67" cm="1">
        <f t="array" aca="1" ref="S499" ca="1">_xlfn.CHOOSECOLS(_xlfn.CHOOSEROWS(_xlfn._xlws.FILTER(표2[],(표2[DWG No.]=C499)*(ISNUMBER(표2[Rev.])),""),1),6)</f>
        <v>42940</v>
      </c>
    </row>
    <row r="500" spans="1:19" ht="18" customHeight="1" x14ac:dyDescent="0.45">
      <c r="A500" s="64">
        <v>495</v>
      </c>
      <c r="B500" s="49" t="s">
        <v>57</v>
      </c>
      <c r="C500" s="65" t="s">
        <v>1950</v>
      </c>
      <c r="D500" s="66" t="s">
        <v>1951</v>
      </c>
      <c r="E500" s="65" t="s">
        <v>1952</v>
      </c>
      <c r="F500" s="66" t="s">
        <v>6</v>
      </c>
      <c r="G500" s="67">
        <v>42936</v>
      </c>
      <c r="H500" s="67">
        <v>43028</v>
      </c>
      <c r="I500" s="67">
        <v>43217</v>
      </c>
      <c r="J500" s="66" t="s">
        <v>2601</v>
      </c>
      <c r="K500" s="66" t="s">
        <v>7</v>
      </c>
      <c r="L500" s="66" t="s">
        <v>89</v>
      </c>
      <c r="M500" s="67" t="s">
        <v>2485</v>
      </c>
      <c r="N500" s="66" t="s">
        <v>2602</v>
      </c>
      <c r="O500" s="66" t="s">
        <v>7</v>
      </c>
      <c r="P500" s="66" t="s">
        <v>89</v>
      </c>
      <c r="Q500" s="66" t="s">
        <v>5003</v>
      </c>
      <c r="R500" s="67" cm="1">
        <f t="array" aca="1" ref="R500" ca="1">_xlfn.CHOOSECOLS(_xlfn.CHOOSEROWS(_xlfn._xlws.FILTER(표2[],표2[DWG No.]=C500,""),1),6)</f>
        <v>42937</v>
      </c>
      <c r="S500" s="67" cm="1">
        <f t="array" aca="1" ref="S500" ca="1">_xlfn.CHOOSECOLS(_xlfn.CHOOSEROWS(_xlfn._xlws.FILTER(표2[],(표2[DWG No.]=C500)*(ISNUMBER(표2[Rev.])),""),1),6)</f>
        <v>43040</v>
      </c>
    </row>
    <row r="501" spans="1:19" ht="18" customHeight="1" x14ac:dyDescent="0.45">
      <c r="A501" s="64">
        <v>496</v>
      </c>
      <c r="B501" s="49" t="s">
        <v>57</v>
      </c>
      <c r="C501" s="65" t="s">
        <v>1953</v>
      </c>
      <c r="D501" s="66" t="s">
        <v>1954</v>
      </c>
      <c r="E501" s="65" t="s">
        <v>1955</v>
      </c>
      <c r="F501" s="66" t="s">
        <v>6</v>
      </c>
      <c r="G501" s="67">
        <v>42936</v>
      </c>
      <c r="H501" s="67">
        <v>43028</v>
      </c>
      <c r="I501" s="67">
        <v>43231</v>
      </c>
      <c r="J501" s="66" t="s">
        <v>2603</v>
      </c>
      <c r="K501" s="66" t="s">
        <v>7</v>
      </c>
      <c r="L501" s="66" t="s">
        <v>89</v>
      </c>
      <c r="M501" s="67" t="s">
        <v>2517</v>
      </c>
      <c r="N501" s="66" t="s">
        <v>2604</v>
      </c>
      <c r="O501" s="66" t="s">
        <v>7</v>
      </c>
      <c r="P501" s="66" t="s">
        <v>89</v>
      </c>
      <c r="Q501" s="66" t="s">
        <v>5002</v>
      </c>
      <c r="R501" s="67" cm="1">
        <f t="array" aca="1" ref="R501" ca="1">_xlfn.CHOOSECOLS(_xlfn.CHOOSEROWS(_xlfn._xlws.FILTER(표2[],표2[DWG No.]=C501,""),1),6)</f>
        <v>42937</v>
      </c>
      <c r="S501" s="67" cm="1">
        <f t="array" aca="1" ref="S501" ca="1">_xlfn.CHOOSECOLS(_xlfn.CHOOSEROWS(_xlfn._xlws.FILTER(표2[],(표2[DWG No.]=C501)*(ISNUMBER(표2[Rev.])),""),1),6)</f>
        <v>43040</v>
      </c>
    </row>
    <row r="502" spans="1:19" ht="18" customHeight="1" x14ac:dyDescent="0.45">
      <c r="A502" s="64">
        <v>497</v>
      </c>
      <c r="B502" s="49" t="s">
        <v>57</v>
      </c>
      <c r="C502" s="65" t="s">
        <v>1956</v>
      </c>
      <c r="D502" s="66" t="s">
        <v>1957</v>
      </c>
      <c r="E502" s="65" t="s">
        <v>1958</v>
      </c>
      <c r="F502" s="66" t="s">
        <v>6</v>
      </c>
      <c r="G502" s="67">
        <v>42936</v>
      </c>
      <c r="H502" s="67">
        <v>43028</v>
      </c>
      <c r="I502" s="67">
        <v>43217</v>
      </c>
      <c r="J502" s="66" t="s">
        <v>2601</v>
      </c>
      <c r="K502" s="66" t="s">
        <v>7</v>
      </c>
      <c r="L502" s="66" t="s">
        <v>89</v>
      </c>
      <c r="M502" s="67" t="s">
        <v>2485</v>
      </c>
      <c r="N502" s="66" t="s">
        <v>2605</v>
      </c>
      <c r="O502" s="66" t="s">
        <v>7</v>
      </c>
      <c r="P502" s="66" t="s">
        <v>89</v>
      </c>
      <c r="Q502" s="66" t="s">
        <v>5002</v>
      </c>
      <c r="R502" s="67" cm="1">
        <f t="array" aca="1" ref="R502" ca="1">_xlfn.CHOOSECOLS(_xlfn.CHOOSEROWS(_xlfn._xlws.FILTER(표2[],표2[DWG No.]=C502,""),1),6)</f>
        <v>42937</v>
      </c>
      <c r="S502" s="67" cm="1">
        <f t="array" aca="1" ref="S502" ca="1">_xlfn.CHOOSECOLS(_xlfn.CHOOSEROWS(_xlfn._xlws.FILTER(표2[],(표2[DWG No.]=C502)*(ISNUMBER(표2[Rev.])),""),1),6)</f>
        <v>43040</v>
      </c>
    </row>
    <row r="503" spans="1:19" ht="18" customHeight="1" x14ac:dyDescent="0.45">
      <c r="A503" s="64">
        <v>498</v>
      </c>
      <c r="B503" s="49" t="s">
        <v>57</v>
      </c>
      <c r="C503" s="65" t="s">
        <v>1959</v>
      </c>
      <c r="D503" s="66" t="s">
        <v>1960</v>
      </c>
      <c r="E503" s="65" t="s">
        <v>1961</v>
      </c>
      <c r="F503" s="66" t="s">
        <v>5</v>
      </c>
      <c r="G503" s="67">
        <v>43028</v>
      </c>
      <c r="H503" s="67">
        <v>43089</v>
      </c>
      <c r="I503" s="67">
        <v>43399</v>
      </c>
      <c r="J503" s="66" t="s">
        <v>2606</v>
      </c>
      <c r="K503" s="66" t="s">
        <v>7</v>
      </c>
      <c r="L503" s="66" t="s">
        <v>230</v>
      </c>
      <c r="M503" s="67" t="s">
        <v>2607</v>
      </c>
      <c r="N503" s="66" t="s">
        <v>2608</v>
      </c>
      <c r="O503" s="66" t="s">
        <v>7</v>
      </c>
      <c r="P503" s="66" t="s">
        <v>230</v>
      </c>
      <c r="Q503" s="66" t="s">
        <v>65</v>
      </c>
      <c r="R503" s="67" cm="1">
        <f t="array" aca="1" ref="R503" ca="1">_xlfn.CHOOSECOLS(_xlfn.CHOOSEROWS(_xlfn._xlws.FILTER(표2[],표2[DWG No.]=C503,""),1),6)</f>
        <v>43082</v>
      </c>
      <c r="S503" s="67" cm="1">
        <f t="array" aca="1" ref="S503" ca="1">_xlfn.CHOOSECOLS(_xlfn.CHOOSEROWS(_xlfn._xlws.FILTER(표2[],(표2[DWG No.]=C503)*(ISNUMBER(표2[Rev.])),""),1),6)</f>
        <v>43096</v>
      </c>
    </row>
    <row r="504" spans="1:19" ht="18" customHeight="1" x14ac:dyDescent="0.45">
      <c r="A504" s="64">
        <v>499</v>
      </c>
      <c r="B504" s="49" t="s">
        <v>57</v>
      </c>
      <c r="C504" s="65" t="s">
        <v>1962</v>
      </c>
      <c r="D504" s="66" t="s">
        <v>1963</v>
      </c>
      <c r="E504" s="65" t="s">
        <v>1964</v>
      </c>
      <c r="F504" s="66" t="s">
        <v>6</v>
      </c>
      <c r="G504" s="67">
        <v>42998</v>
      </c>
      <c r="H504" s="67">
        <v>43059</v>
      </c>
      <c r="I504" s="67">
        <v>44012</v>
      </c>
      <c r="J504" s="66" t="s">
        <v>5022</v>
      </c>
      <c r="K504" s="66" t="s">
        <v>7</v>
      </c>
      <c r="L504" s="66">
        <v>3</v>
      </c>
      <c r="M504" s="67"/>
      <c r="N504" s="66"/>
      <c r="O504" s="66"/>
      <c r="P504" s="66"/>
      <c r="Q504" s="66"/>
      <c r="R504" s="67" cm="1">
        <f t="array" aca="1" ref="R504" ca="1">_xlfn.CHOOSECOLS(_xlfn.CHOOSEROWS(_xlfn._xlws.FILTER(표2[],표2[DWG No.]=C504,""),1),6)</f>
        <v>43005</v>
      </c>
      <c r="S504" s="67" cm="1">
        <f t="array" aca="1" ref="S504" ca="1">_xlfn.CHOOSECOLS(_xlfn.CHOOSEROWS(_xlfn._xlws.FILTER(표2[],(표2[DWG No.]=C504)*(ISNUMBER(표2[Rev.])),""),1),6)</f>
        <v>43084</v>
      </c>
    </row>
    <row r="505" spans="1:19" ht="18" customHeight="1" x14ac:dyDescent="0.45">
      <c r="A505" s="64">
        <v>500</v>
      </c>
      <c r="B505" s="49" t="s">
        <v>57</v>
      </c>
      <c r="C505" s="65" t="s">
        <v>1965</v>
      </c>
      <c r="D505" s="66" t="s">
        <v>1966</v>
      </c>
      <c r="E505" s="65" t="s">
        <v>1967</v>
      </c>
      <c r="F505" s="66" t="s">
        <v>6</v>
      </c>
      <c r="G505" s="67">
        <v>42998</v>
      </c>
      <c r="H505" s="67">
        <v>43059</v>
      </c>
      <c r="I505" s="67">
        <v>43066</v>
      </c>
      <c r="J505" s="66" t="s">
        <v>1888</v>
      </c>
      <c r="K505" s="66" t="s">
        <v>7</v>
      </c>
      <c r="L505" s="66" t="s">
        <v>62</v>
      </c>
      <c r="M505" s="67" t="s">
        <v>527</v>
      </c>
      <c r="N505" s="66" t="s">
        <v>1968</v>
      </c>
      <c r="O505" s="66" t="s">
        <v>7</v>
      </c>
      <c r="P505" s="66" t="s">
        <v>62</v>
      </c>
      <c r="Q505" s="66" t="s">
        <v>5002</v>
      </c>
      <c r="R505" s="67" cm="1">
        <f t="array" aca="1" ref="R505" ca="1">_xlfn.CHOOSECOLS(_xlfn.CHOOSEROWS(_xlfn._xlws.FILTER(표2[],표2[DWG No.]=C505,""),1),6)</f>
        <v>43005</v>
      </c>
      <c r="S505" s="67" cm="1">
        <f t="array" aca="1" ref="S505" ca="1">_xlfn.CHOOSECOLS(_xlfn.CHOOSEROWS(_xlfn._xlws.FILTER(표2[],(표2[DWG No.]=C505)*(ISNUMBER(표2[Rev.])),""),1),6)</f>
        <v>43066</v>
      </c>
    </row>
    <row r="506" spans="1:19" ht="18" customHeight="1" x14ac:dyDescent="0.45">
      <c r="A506" s="64">
        <v>501</v>
      </c>
      <c r="B506" s="49" t="s">
        <v>57</v>
      </c>
      <c r="C506" s="65" t="s">
        <v>1969</v>
      </c>
      <c r="D506" s="66" t="s">
        <v>1970</v>
      </c>
      <c r="E506" s="65" t="s">
        <v>1971</v>
      </c>
      <c r="F506" s="66" t="s">
        <v>5</v>
      </c>
      <c r="G506" s="67">
        <v>42875</v>
      </c>
      <c r="H506" s="67">
        <v>42967</v>
      </c>
      <c r="I506" s="67">
        <v>43215</v>
      </c>
      <c r="J506" s="66" t="s">
        <v>2600</v>
      </c>
      <c r="K506" s="66" t="s">
        <v>7</v>
      </c>
      <c r="L506" s="66" t="s">
        <v>89</v>
      </c>
      <c r="M506" s="67" t="s">
        <v>2485</v>
      </c>
      <c r="N506" s="66" t="s">
        <v>2609</v>
      </c>
      <c r="O506" s="66" t="s">
        <v>7</v>
      </c>
      <c r="P506" s="66" t="s">
        <v>89</v>
      </c>
      <c r="Q506" s="66" t="s">
        <v>5002</v>
      </c>
      <c r="R506" s="67" cm="1">
        <f t="array" aca="1" ref="R506" ca="1">_xlfn.CHOOSECOLS(_xlfn.CHOOSEROWS(_xlfn._xlws.FILTER(표2[],표2[DWG No.]=C506,""),1),6)</f>
        <v>42878</v>
      </c>
      <c r="S506" s="67" cm="1">
        <f t="array" aca="1" ref="S506" ca="1">_xlfn.CHOOSECOLS(_xlfn.CHOOSEROWS(_xlfn._xlws.FILTER(표2[],(표2[DWG No.]=C506)*(ISNUMBER(표2[Rev.])),""),1),6)</f>
        <v>42921</v>
      </c>
    </row>
    <row r="507" spans="1:19" ht="18" customHeight="1" x14ac:dyDescent="0.45">
      <c r="A507" s="64">
        <v>502</v>
      </c>
      <c r="B507" s="49" t="s">
        <v>57</v>
      </c>
      <c r="C507" s="65" t="s">
        <v>1972</v>
      </c>
      <c r="D507" s="66" t="s">
        <v>1973</v>
      </c>
      <c r="E507" s="65" t="s">
        <v>1974</v>
      </c>
      <c r="F507" s="66" t="s">
        <v>6</v>
      </c>
      <c r="G507" s="67">
        <v>42906</v>
      </c>
      <c r="H507" s="67">
        <v>42998</v>
      </c>
      <c r="I507" s="67">
        <v>43005</v>
      </c>
      <c r="J507" s="66" t="s">
        <v>1925</v>
      </c>
      <c r="K507" s="66" t="s">
        <v>7</v>
      </c>
      <c r="L507" s="66" t="s">
        <v>62</v>
      </c>
      <c r="M507" s="67" t="s">
        <v>1926</v>
      </c>
      <c r="N507" s="66" t="s">
        <v>1975</v>
      </c>
      <c r="O507" s="66" t="s">
        <v>7</v>
      </c>
      <c r="P507" s="66" t="s">
        <v>62</v>
      </c>
      <c r="Q507" s="66" t="s">
        <v>5003</v>
      </c>
      <c r="R507" s="67" cm="1">
        <f t="array" aca="1" ref="R507" ca="1">_xlfn.CHOOSECOLS(_xlfn.CHOOSEROWS(_xlfn._xlws.FILTER(표2[],표2[DWG No.]=C507,""),1),6)</f>
        <v>42907</v>
      </c>
      <c r="S507" s="67" cm="1">
        <f t="array" aca="1" ref="S507" ca="1">_xlfn.CHOOSECOLS(_xlfn.CHOOSEROWS(_xlfn._xlws.FILTER(표2[],(표2[DWG No.]=C507)*(ISNUMBER(표2[Rev.])),""),1),6)</f>
        <v>43005</v>
      </c>
    </row>
    <row r="508" spans="1:19" ht="18" customHeight="1" x14ac:dyDescent="0.45">
      <c r="A508" s="64">
        <v>503</v>
      </c>
      <c r="B508" s="49" t="s">
        <v>57</v>
      </c>
      <c r="C508" s="65" t="s">
        <v>1976</v>
      </c>
      <c r="D508" s="66" t="s">
        <v>1977</v>
      </c>
      <c r="E508" s="65" t="s">
        <v>1978</v>
      </c>
      <c r="F508" s="66" t="s">
        <v>6</v>
      </c>
      <c r="G508" s="67">
        <v>42976</v>
      </c>
      <c r="H508" s="67">
        <v>42990</v>
      </c>
      <c r="I508" s="67">
        <v>44012</v>
      </c>
      <c r="J508" s="66" t="s">
        <v>5020</v>
      </c>
      <c r="K508" s="66" t="s">
        <v>7</v>
      </c>
      <c r="L508" s="66">
        <v>2</v>
      </c>
      <c r="M508" s="67"/>
      <c r="N508" s="66"/>
      <c r="O508" s="66"/>
      <c r="P508" s="66"/>
      <c r="Q508" s="66"/>
      <c r="R508" s="67" cm="1">
        <f t="array" aca="1" ref="R508" ca="1">_xlfn.CHOOSECOLS(_xlfn.CHOOSEROWS(_xlfn._xlws.FILTER(표2[],표2[DWG No.]=C508,""),1),6)</f>
        <v>42992</v>
      </c>
      <c r="S508" s="67" cm="1">
        <f t="array" aca="1" ref="S508" ca="1">_xlfn.CHOOSECOLS(_xlfn.CHOOSEROWS(_xlfn._xlws.FILTER(표2[],(표2[DWG No.]=C508)*(ISNUMBER(표2[Rev.])),""),1),6)</f>
        <v>43066</v>
      </c>
    </row>
    <row r="509" spans="1:19" ht="18" customHeight="1" x14ac:dyDescent="0.45">
      <c r="A509" s="64">
        <v>504</v>
      </c>
      <c r="B509" s="49" t="s">
        <v>57</v>
      </c>
      <c r="C509" s="65" t="s">
        <v>1979</v>
      </c>
      <c r="D509" s="66" t="s">
        <v>1980</v>
      </c>
      <c r="E509" s="65" t="s">
        <v>1981</v>
      </c>
      <c r="F509" s="66" t="s">
        <v>6</v>
      </c>
      <c r="G509" s="67">
        <v>42976</v>
      </c>
      <c r="H509" s="67">
        <v>43068</v>
      </c>
      <c r="I509" s="67">
        <v>43066</v>
      </c>
      <c r="J509" s="66" t="s">
        <v>1888</v>
      </c>
      <c r="K509" s="66" t="s">
        <v>7</v>
      </c>
      <c r="L509" s="66" t="s">
        <v>62</v>
      </c>
      <c r="M509" s="67" t="s">
        <v>527</v>
      </c>
      <c r="N509" s="66" t="s">
        <v>1982</v>
      </c>
      <c r="O509" s="66" t="s">
        <v>7</v>
      </c>
      <c r="P509" s="66" t="s">
        <v>62</v>
      </c>
      <c r="Q509" s="66" t="s">
        <v>5002</v>
      </c>
      <c r="R509" s="67" cm="1">
        <f t="array" aca="1" ref="R509" ca="1">_xlfn.CHOOSECOLS(_xlfn.CHOOSEROWS(_xlfn._xlws.FILTER(표2[],표2[DWG No.]=C509,""),1),6)</f>
        <v>42992</v>
      </c>
      <c r="S509" s="67" cm="1">
        <f t="array" aca="1" ref="S509" ca="1">_xlfn.CHOOSECOLS(_xlfn.CHOOSEROWS(_xlfn._xlws.FILTER(표2[],(표2[DWG No.]=C509)*(ISNUMBER(표2[Rev.])),""),1),6)</f>
        <v>43066</v>
      </c>
    </row>
    <row r="510" spans="1:19" ht="18" customHeight="1" x14ac:dyDescent="0.45">
      <c r="A510" s="64">
        <v>505</v>
      </c>
      <c r="B510" s="49" t="s">
        <v>57</v>
      </c>
      <c r="C510" s="65" t="s">
        <v>2610</v>
      </c>
      <c r="D510" s="66" t="s">
        <v>2611</v>
      </c>
      <c r="E510" s="65" t="s">
        <v>2612</v>
      </c>
      <c r="F510" s="66" t="s">
        <v>5</v>
      </c>
      <c r="G510" s="67">
        <v>43280</v>
      </c>
      <c r="H510" s="67">
        <v>43308</v>
      </c>
      <c r="I510" s="67">
        <v>43493</v>
      </c>
      <c r="J510" s="66" t="s">
        <v>2669</v>
      </c>
      <c r="K510" s="66" t="s">
        <v>7</v>
      </c>
      <c r="L510" s="66" t="s">
        <v>89</v>
      </c>
      <c r="M510" s="67" t="s">
        <v>2670</v>
      </c>
      <c r="N510" s="66" t="s">
        <v>2671</v>
      </c>
      <c r="O510" s="66" t="s">
        <v>7</v>
      </c>
      <c r="P510" s="66" t="s">
        <v>89</v>
      </c>
      <c r="Q510" s="66" t="s">
        <v>65</v>
      </c>
      <c r="R510" s="67" cm="1">
        <f t="array" aca="1" ref="R510" ca="1">_xlfn.CHOOSECOLS(_xlfn.CHOOSEROWS(_xlfn._xlws.FILTER(표2[],표2[DWG No.]=C510,""),1),6)</f>
        <v>43286</v>
      </c>
      <c r="S510" s="67" t="e" cm="1">
        <f t="array" ref="S510">_xlfn.CHOOSECOLS(_xlfn.CHOOSEROWS(_xlfn._xlws.FILTER(표2[],(표2[DWG No.]=C510)*(ISNUMBER(표2[Rev.])),""),1),6)</f>
        <v>#VALUE!</v>
      </c>
    </row>
    <row r="511" spans="1:19" ht="18" customHeight="1" x14ac:dyDescent="0.45">
      <c r="A511" s="64">
        <v>506</v>
      </c>
      <c r="B511" s="49" t="s">
        <v>57</v>
      </c>
      <c r="C511" s="65" t="s">
        <v>1983</v>
      </c>
      <c r="D511" s="66" t="s">
        <v>1984</v>
      </c>
      <c r="E511" s="65" t="s">
        <v>1985</v>
      </c>
      <c r="F511" s="66" t="s">
        <v>6</v>
      </c>
      <c r="G511" s="67">
        <v>42802</v>
      </c>
      <c r="H511" s="67">
        <v>42952</v>
      </c>
      <c r="I511" s="67">
        <v>43192</v>
      </c>
      <c r="J511" s="66" t="s">
        <v>1986</v>
      </c>
      <c r="K511" s="66" t="s">
        <v>7</v>
      </c>
      <c r="L511" s="66" t="s">
        <v>1987</v>
      </c>
      <c r="M511" s="67" t="s">
        <v>165</v>
      </c>
      <c r="N511" s="66" t="s">
        <v>1988</v>
      </c>
      <c r="O511" s="66" t="s">
        <v>7</v>
      </c>
      <c r="P511" s="66" t="s">
        <v>1987</v>
      </c>
      <c r="Q511" s="66" t="s">
        <v>5002</v>
      </c>
      <c r="R511" s="67" cm="1">
        <f t="array" aca="1" ref="R511" ca="1">_xlfn.CHOOSECOLS(_xlfn.CHOOSEROWS(_xlfn._xlws.FILTER(표2[],표2[DWG No.]=C511,""),1),6)</f>
        <v>42816</v>
      </c>
      <c r="S511" s="67" cm="1">
        <f t="array" aca="1" ref="S511" ca="1">_xlfn.CHOOSECOLS(_xlfn.CHOOSEROWS(_xlfn._xlws.FILTER(표2[],(표2[DWG No.]=C511)*(ISNUMBER(표2[Rev.])),""),1),6)</f>
        <v>43040</v>
      </c>
    </row>
    <row r="512" spans="1:19" ht="18" customHeight="1" x14ac:dyDescent="0.45">
      <c r="A512" s="64">
        <v>507</v>
      </c>
      <c r="B512" s="49" t="s">
        <v>57</v>
      </c>
      <c r="C512" s="65" t="s">
        <v>1989</v>
      </c>
      <c r="D512" s="66" t="s">
        <v>1990</v>
      </c>
      <c r="E512" s="65" t="s">
        <v>1991</v>
      </c>
      <c r="F512" s="66" t="s">
        <v>6</v>
      </c>
      <c r="G512" s="67">
        <v>43024</v>
      </c>
      <c r="H512" s="67">
        <v>43091</v>
      </c>
      <c r="I512" s="67">
        <v>43098</v>
      </c>
      <c r="J512" s="66" t="s">
        <v>1992</v>
      </c>
      <c r="K512" s="66" t="s">
        <v>7</v>
      </c>
      <c r="L512" s="66" t="s">
        <v>62</v>
      </c>
      <c r="M512" s="67" t="s">
        <v>155</v>
      </c>
      <c r="N512" s="66" t="s">
        <v>1993</v>
      </c>
      <c r="O512" s="66" t="s">
        <v>7</v>
      </c>
      <c r="P512" s="66" t="s">
        <v>62</v>
      </c>
      <c r="Q512" s="66" t="s">
        <v>5002</v>
      </c>
      <c r="R512" s="67" cm="1">
        <f t="array" aca="1" ref="R512" ca="1">_xlfn.CHOOSECOLS(_xlfn.CHOOSEROWS(_xlfn._xlws.FILTER(표2[],표2[DWG No.]=C512,""),1),6)</f>
        <v>43040</v>
      </c>
      <c r="S512" s="67" cm="1">
        <f t="array" aca="1" ref="S512" ca="1">_xlfn.CHOOSECOLS(_xlfn.CHOOSEROWS(_xlfn._xlws.FILTER(표2[],(표2[DWG No.]=C512)*(ISNUMBER(표2[Rev.])),""),1),6)</f>
        <v>43098</v>
      </c>
    </row>
    <row r="513" spans="1:19" ht="18" customHeight="1" x14ac:dyDescent="0.45">
      <c r="A513" s="64">
        <v>508</v>
      </c>
      <c r="B513" s="49" t="s">
        <v>57</v>
      </c>
      <c r="C513" s="65" t="s">
        <v>1994</v>
      </c>
      <c r="D513" s="66" t="s">
        <v>1995</v>
      </c>
      <c r="E513" s="65" t="s">
        <v>1996</v>
      </c>
      <c r="F513" s="66" t="s">
        <v>6</v>
      </c>
      <c r="G513" s="67">
        <v>43024</v>
      </c>
      <c r="H513" s="67">
        <v>43091</v>
      </c>
      <c r="I513" s="67">
        <v>43091</v>
      </c>
      <c r="J513" s="66" t="s">
        <v>1997</v>
      </c>
      <c r="K513" s="66" t="s">
        <v>7</v>
      </c>
      <c r="L513" s="66" t="s">
        <v>62</v>
      </c>
      <c r="M513" s="67" t="s">
        <v>155</v>
      </c>
      <c r="N513" s="66" t="s">
        <v>1998</v>
      </c>
      <c r="O513" s="66" t="s">
        <v>7</v>
      </c>
      <c r="P513" s="66" t="s">
        <v>62</v>
      </c>
      <c r="Q513" s="66" t="s">
        <v>5002</v>
      </c>
      <c r="R513" s="67" cm="1">
        <f t="array" aca="1" ref="R513" ca="1">_xlfn.CHOOSECOLS(_xlfn.CHOOSEROWS(_xlfn._xlws.FILTER(표2[],표2[DWG No.]=C513,""),1),6)</f>
        <v>43040</v>
      </c>
      <c r="S513" s="67" cm="1">
        <f t="array" aca="1" ref="S513" ca="1">_xlfn.CHOOSECOLS(_xlfn.CHOOSEROWS(_xlfn._xlws.FILTER(표2[],(표2[DWG No.]=C513)*(ISNUMBER(표2[Rev.])),""),1),6)</f>
        <v>43091</v>
      </c>
    </row>
    <row r="514" spans="1:19" ht="18" customHeight="1" x14ac:dyDescent="0.45">
      <c r="A514" s="64">
        <v>509</v>
      </c>
      <c r="B514" s="49" t="s">
        <v>57</v>
      </c>
      <c r="C514" s="65" t="s">
        <v>1999</v>
      </c>
      <c r="D514" s="66" t="s">
        <v>2000</v>
      </c>
      <c r="E514" s="65" t="s">
        <v>2001</v>
      </c>
      <c r="F514" s="66" t="s">
        <v>5</v>
      </c>
      <c r="G514" s="67">
        <v>43210</v>
      </c>
      <c r="H514" s="67">
        <v>43281</v>
      </c>
      <c r="I514" s="67">
        <v>43236</v>
      </c>
      <c r="J514" s="66" t="s">
        <v>2613</v>
      </c>
      <c r="K514" s="66" t="s">
        <v>7</v>
      </c>
      <c r="L514" s="66" t="s">
        <v>62</v>
      </c>
      <c r="M514" s="67" t="s">
        <v>2517</v>
      </c>
      <c r="N514" s="66" t="s">
        <v>2614</v>
      </c>
      <c r="O514" s="66" t="s">
        <v>7</v>
      </c>
      <c r="P514" s="66" t="s">
        <v>62</v>
      </c>
      <c r="Q514" s="66" t="s">
        <v>5002</v>
      </c>
      <c r="R514" s="67" cm="1">
        <f t="array" aca="1" ref="R514" ca="1">_xlfn.CHOOSECOLS(_xlfn.CHOOSEROWS(_xlfn._xlws.FILTER(표2[],표2[DWG No.]=C514,""),1),6)</f>
        <v>43215</v>
      </c>
      <c r="S514" s="67" cm="1">
        <f t="array" aca="1" ref="S514" ca="1">_xlfn.CHOOSECOLS(_xlfn.CHOOSEROWS(_xlfn._xlws.FILTER(표2[],(표2[DWG No.]=C514)*(ISNUMBER(표2[Rev.])),""),1),6)</f>
        <v>43236</v>
      </c>
    </row>
    <row r="515" spans="1:19" ht="18" customHeight="1" x14ac:dyDescent="0.45">
      <c r="A515" s="64">
        <v>510</v>
      </c>
      <c r="B515" s="49" t="s">
        <v>57</v>
      </c>
      <c r="C515" s="65" t="s">
        <v>2002</v>
      </c>
      <c r="D515" s="66" t="s">
        <v>2003</v>
      </c>
      <c r="E515" s="65" t="s">
        <v>2004</v>
      </c>
      <c r="F515" s="66" t="s">
        <v>6</v>
      </c>
      <c r="G515" s="67">
        <v>42776</v>
      </c>
      <c r="H515" s="67">
        <v>42865</v>
      </c>
      <c r="I515" s="67">
        <v>43084</v>
      </c>
      <c r="J515" s="66" t="s">
        <v>2005</v>
      </c>
      <c r="K515" s="66" t="s">
        <v>7</v>
      </c>
      <c r="L515" s="66" t="s">
        <v>89</v>
      </c>
      <c r="M515" s="67" t="s">
        <v>155</v>
      </c>
      <c r="N515" s="66" t="s">
        <v>2006</v>
      </c>
      <c r="O515" s="66" t="s">
        <v>7</v>
      </c>
      <c r="P515" s="66" t="s">
        <v>89</v>
      </c>
      <c r="Q515" s="66" t="s">
        <v>5002</v>
      </c>
      <c r="R515" s="67" cm="1">
        <f t="array" aca="1" ref="R515" ca="1">_xlfn.CHOOSECOLS(_xlfn.CHOOSEROWS(_xlfn._xlws.FILTER(표2[],표2[DWG No.]=C515,""),1),6)</f>
        <v>42803</v>
      </c>
      <c r="S515" s="67" cm="1">
        <f t="array" aca="1" ref="S515" ca="1">_xlfn.CHOOSECOLS(_xlfn.CHOOSEROWS(_xlfn._xlws.FILTER(표2[],(표2[DWG No.]=C515)*(ISNUMBER(표2[Rev.])),""),1),6)</f>
        <v>42998</v>
      </c>
    </row>
    <row r="516" spans="1:19" ht="18" customHeight="1" x14ac:dyDescent="0.45">
      <c r="A516" s="64">
        <v>511</v>
      </c>
      <c r="B516" s="49" t="s">
        <v>57</v>
      </c>
      <c r="C516" s="65" t="s">
        <v>2007</v>
      </c>
      <c r="D516" s="66" t="s">
        <v>2008</v>
      </c>
      <c r="E516" s="65" t="s">
        <v>2009</v>
      </c>
      <c r="F516" s="66" t="s">
        <v>6</v>
      </c>
      <c r="G516" s="67">
        <v>42776</v>
      </c>
      <c r="H516" s="67">
        <v>42865</v>
      </c>
      <c r="I516" s="67">
        <v>43084</v>
      </c>
      <c r="J516" s="66" t="s">
        <v>2005</v>
      </c>
      <c r="K516" s="66" t="s">
        <v>7</v>
      </c>
      <c r="L516" s="66" t="s">
        <v>89</v>
      </c>
      <c r="M516" s="67" t="s">
        <v>155</v>
      </c>
      <c r="N516" s="66" t="s">
        <v>2010</v>
      </c>
      <c r="O516" s="66" t="s">
        <v>7</v>
      </c>
      <c r="P516" s="66" t="s">
        <v>89</v>
      </c>
      <c r="Q516" s="66" t="s">
        <v>5002</v>
      </c>
      <c r="R516" s="67" cm="1">
        <f t="array" aca="1" ref="R516" ca="1">_xlfn.CHOOSECOLS(_xlfn.CHOOSEROWS(_xlfn._xlws.FILTER(표2[],표2[DWG No.]=C516,""),1),6)</f>
        <v>42803</v>
      </c>
      <c r="S516" s="67" cm="1">
        <f t="array" aca="1" ref="S516" ca="1">_xlfn.CHOOSECOLS(_xlfn.CHOOSEROWS(_xlfn._xlws.FILTER(표2[],(표2[DWG No.]=C516)*(ISNUMBER(표2[Rev.])),""),1),6)</f>
        <v>42998</v>
      </c>
    </row>
    <row r="517" spans="1:19" ht="18" customHeight="1" x14ac:dyDescent="0.45">
      <c r="A517" s="64">
        <v>512</v>
      </c>
      <c r="B517" s="49" t="s">
        <v>57</v>
      </c>
      <c r="C517" s="65" t="s">
        <v>2011</v>
      </c>
      <c r="D517" s="66" t="s">
        <v>2012</v>
      </c>
      <c r="E517" s="65" t="s">
        <v>2013</v>
      </c>
      <c r="F517" s="66" t="s">
        <v>5</v>
      </c>
      <c r="G517" s="67">
        <v>42776</v>
      </c>
      <c r="H517" s="67">
        <v>42865</v>
      </c>
      <c r="I517" s="67">
        <v>43084</v>
      </c>
      <c r="J517" s="66" t="s">
        <v>2005</v>
      </c>
      <c r="K517" s="66" t="s">
        <v>7</v>
      </c>
      <c r="L517" s="66" t="s">
        <v>89</v>
      </c>
      <c r="M517" s="67" t="s">
        <v>155</v>
      </c>
      <c r="N517" s="66" t="s">
        <v>2014</v>
      </c>
      <c r="O517" s="66" t="s">
        <v>7</v>
      </c>
      <c r="P517" s="66" t="s">
        <v>89</v>
      </c>
      <c r="Q517" s="66" t="s">
        <v>5002</v>
      </c>
      <c r="R517" s="67" cm="1">
        <f t="array" aca="1" ref="R517" ca="1">_xlfn.CHOOSECOLS(_xlfn.CHOOSEROWS(_xlfn._xlws.FILTER(표2[],표2[DWG No.]=C517,""),1),6)</f>
        <v>42803</v>
      </c>
      <c r="S517" s="67" cm="1">
        <f t="array" aca="1" ref="S517" ca="1">_xlfn.CHOOSECOLS(_xlfn.CHOOSEROWS(_xlfn._xlws.FILTER(표2[],(표2[DWG No.]=C517)*(ISNUMBER(표2[Rev.])),""),1),6)</f>
        <v>42998</v>
      </c>
    </row>
    <row r="518" spans="1:19" ht="18" customHeight="1" x14ac:dyDescent="0.45">
      <c r="A518" s="64">
        <v>513</v>
      </c>
      <c r="B518" s="49" t="s">
        <v>57</v>
      </c>
      <c r="C518" s="65" t="s">
        <v>2015</v>
      </c>
      <c r="D518" s="66" t="s">
        <v>2016</v>
      </c>
      <c r="E518" s="65" t="s">
        <v>2017</v>
      </c>
      <c r="F518" s="66" t="s">
        <v>5</v>
      </c>
      <c r="G518" s="67">
        <v>42776</v>
      </c>
      <c r="H518" s="67">
        <v>42865</v>
      </c>
      <c r="I518" s="67">
        <v>43084</v>
      </c>
      <c r="J518" s="66" t="s">
        <v>2005</v>
      </c>
      <c r="K518" s="66" t="s">
        <v>7</v>
      </c>
      <c r="L518" s="66" t="s">
        <v>89</v>
      </c>
      <c r="M518" s="67" t="s">
        <v>155</v>
      </c>
      <c r="N518" s="66" t="s">
        <v>2018</v>
      </c>
      <c r="O518" s="66" t="s">
        <v>7</v>
      </c>
      <c r="P518" s="66" t="s">
        <v>89</v>
      </c>
      <c r="Q518" s="66" t="s">
        <v>5002</v>
      </c>
      <c r="R518" s="67" cm="1">
        <f t="array" aca="1" ref="R518" ca="1">_xlfn.CHOOSECOLS(_xlfn.CHOOSEROWS(_xlfn._xlws.FILTER(표2[],표2[DWG No.]=C518,""),1),6)</f>
        <v>42803</v>
      </c>
      <c r="S518" s="67" cm="1">
        <f t="array" aca="1" ref="S518" ca="1">_xlfn.CHOOSECOLS(_xlfn.CHOOSEROWS(_xlfn._xlws.FILTER(표2[],(표2[DWG No.]=C518)*(ISNUMBER(표2[Rev.])),""),1),6)</f>
        <v>42998</v>
      </c>
    </row>
    <row r="519" spans="1:19" ht="18" customHeight="1" x14ac:dyDescent="0.45">
      <c r="A519" s="64">
        <v>514</v>
      </c>
      <c r="B519" s="49" t="s">
        <v>57</v>
      </c>
      <c r="C519" s="65" t="s">
        <v>2019</v>
      </c>
      <c r="D519" s="66" t="s">
        <v>2020</v>
      </c>
      <c r="E519" s="65" t="s">
        <v>2021</v>
      </c>
      <c r="F519" s="66" t="s">
        <v>6</v>
      </c>
      <c r="G519" s="67">
        <v>42776</v>
      </c>
      <c r="H519" s="67">
        <v>42865</v>
      </c>
      <c r="I519" s="67">
        <v>42998</v>
      </c>
      <c r="J519" s="66" t="s">
        <v>2022</v>
      </c>
      <c r="K519" s="66" t="s">
        <v>7</v>
      </c>
      <c r="L519" s="66" t="s">
        <v>89</v>
      </c>
      <c r="M519" s="67" t="s">
        <v>74</v>
      </c>
      <c r="N519" s="66" t="s">
        <v>2023</v>
      </c>
      <c r="O519" s="66" t="s">
        <v>7</v>
      </c>
      <c r="P519" s="66" t="s">
        <v>89</v>
      </c>
      <c r="Q519" s="66" t="s">
        <v>5002</v>
      </c>
      <c r="R519" s="67" cm="1">
        <f t="array" aca="1" ref="R519" ca="1">_xlfn.CHOOSECOLS(_xlfn.CHOOSEROWS(_xlfn._xlws.FILTER(표2[],표2[DWG No.]=C519,""),1),6)</f>
        <v>42803</v>
      </c>
      <c r="S519" s="67" cm="1">
        <f t="array" aca="1" ref="S519" ca="1">_xlfn.CHOOSECOLS(_xlfn.CHOOSEROWS(_xlfn._xlws.FILTER(표2[],(표2[DWG No.]=C519)*(ISNUMBER(표2[Rev.])),""),1),6)</f>
        <v>42874</v>
      </c>
    </row>
    <row r="520" spans="1:19" ht="18" customHeight="1" x14ac:dyDescent="0.45">
      <c r="A520" s="64">
        <v>515</v>
      </c>
      <c r="B520" s="49" t="s">
        <v>57</v>
      </c>
      <c r="C520" s="65" t="s">
        <v>2024</v>
      </c>
      <c r="D520" s="66" t="s">
        <v>2025</v>
      </c>
      <c r="E520" s="65" t="s">
        <v>2026</v>
      </c>
      <c r="F520" s="66" t="s">
        <v>6</v>
      </c>
      <c r="G520" s="67">
        <v>42776</v>
      </c>
      <c r="H520" s="67">
        <v>42865</v>
      </c>
      <c r="I520" s="67">
        <v>42886</v>
      </c>
      <c r="J520" s="66" t="s">
        <v>2027</v>
      </c>
      <c r="K520" s="66" t="s">
        <v>7</v>
      </c>
      <c r="L520" s="66" t="s">
        <v>62</v>
      </c>
      <c r="M520" s="67" t="s">
        <v>63</v>
      </c>
      <c r="N520" s="66" t="s">
        <v>64</v>
      </c>
      <c r="O520" s="66" t="s">
        <v>7</v>
      </c>
      <c r="P520" s="66" t="s">
        <v>62</v>
      </c>
      <c r="Q520" s="66" t="s">
        <v>65</v>
      </c>
      <c r="R520" s="67" cm="1">
        <f t="array" aca="1" ref="R520" ca="1">_xlfn.CHOOSECOLS(_xlfn.CHOOSEROWS(_xlfn._xlws.FILTER(표2[],표2[DWG No.]=C520,""),1),6)</f>
        <v>42803</v>
      </c>
      <c r="S520" s="67" cm="1">
        <f t="array" aca="1" ref="S520" ca="1">_xlfn.CHOOSECOLS(_xlfn.CHOOSEROWS(_xlfn._xlws.FILTER(표2[],(표2[DWG No.]=C520)*(ISNUMBER(표2[Rev.])),""),1),6)</f>
        <v>42874</v>
      </c>
    </row>
    <row r="521" spans="1:19" ht="18" customHeight="1" x14ac:dyDescent="0.45">
      <c r="A521" s="64">
        <v>516</v>
      </c>
      <c r="B521" s="49" t="s">
        <v>57</v>
      </c>
      <c r="C521" s="65" t="s">
        <v>2028</v>
      </c>
      <c r="D521" s="66" t="s">
        <v>2029</v>
      </c>
      <c r="E521" s="65" t="s">
        <v>2030</v>
      </c>
      <c r="F521" s="66" t="s">
        <v>6</v>
      </c>
      <c r="G521" s="67">
        <v>42776</v>
      </c>
      <c r="H521" s="67">
        <v>42865</v>
      </c>
      <c r="I521" s="67">
        <v>42998</v>
      </c>
      <c r="J521" s="66" t="s">
        <v>2022</v>
      </c>
      <c r="K521" s="66" t="s">
        <v>7</v>
      </c>
      <c r="L521" s="66" t="s">
        <v>62</v>
      </c>
      <c r="M521" s="67" t="s">
        <v>74</v>
      </c>
      <c r="N521" s="66" t="s">
        <v>2031</v>
      </c>
      <c r="O521" s="66" t="s">
        <v>7</v>
      </c>
      <c r="P521" s="66" t="s">
        <v>62</v>
      </c>
      <c r="Q521" s="66" t="s">
        <v>5002</v>
      </c>
      <c r="R521" s="67" cm="1">
        <f t="array" aca="1" ref="R521" ca="1">_xlfn.CHOOSECOLS(_xlfn.CHOOSEROWS(_xlfn._xlws.FILTER(표2[],표2[DWG No.]=C521,""),1),6)</f>
        <v>42803</v>
      </c>
      <c r="S521" s="67" cm="1">
        <f t="array" aca="1" ref="S521" ca="1">_xlfn.CHOOSECOLS(_xlfn.CHOOSEROWS(_xlfn._xlws.FILTER(표2[],(표2[DWG No.]=C521)*(ISNUMBER(표2[Rev.])),""),1),6)</f>
        <v>42998</v>
      </c>
    </row>
    <row r="522" spans="1:19" ht="18" customHeight="1" x14ac:dyDescent="0.45">
      <c r="A522" s="64">
        <v>517</v>
      </c>
      <c r="B522" s="49" t="s">
        <v>57</v>
      </c>
      <c r="C522" s="65" t="s">
        <v>2032</v>
      </c>
      <c r="D522" s="66" t="s">
        <v>2033</v>
      </c>
      <c r="E522" s="65" t="s">
        <v>2034</v>
      </c>
      <c r="F522" s="66" t="s">
        <v>5</v>
      </c>
      <c r="G522" s="67">
        <v>42776</v>
      </c>
      <c r="H522" s="67">
        <v>42865</v>
      </c>
      <c r="I522" s="67">
        <v>42886</v>
      </c>
      <c r="J522" s="66" t="s">
        <v>2027</v>
      </c>
      <c r="K522" s="66" t="s">
        <v>7</v>
      </c>
      <c r="L522" s="66" t="s">
        <v>62</v>
      </c>
      <c r="M522" s="67" t="s">
        <v>63</v>
      </c>
      <c r="N522" s="66" t="s">
        <v>64</v>
      </c>
      <c r="O522" s="66" t="s">
        <v>7</v>
      </c>
      <c r="P522" s="66" t="s">
        <v>62</v>
      </c>
      <c r="Q522" s="66" t="s">
        <v>65</v>
      </c>
      <c r="R522" s="67" cm="1">
        <f t="array" aca="1" ref="R522" ca="1">_xlfn.CHOOSECOLS(_xlfn.CHOOSEROWS(_xlfn._xlws.FILTER(표2[],표2[DWG No.]=C522,""),1),6)</f>
        <v>42803</v>
      </c>
      <c r="S522" s="67" cm="1">
        <f t="array" aca="1" ref="S522" ca="1">_xlfn.CHOOSECOLS(_xlfn.CHOOSEROWS(_xlfn._xlws.FILTER(표2[],(표2[DWG No.]=C522)*(ISNUMBER(표2[Rev.])),""),1),6)</f>
        <v>42874</v>
      </c>
    </row>
    <row r="523" spans="1:19" ht="18" customHeight="1" x14ac:dyDescent="0.45">
      <c r="A523" s="64">
        <v>518</v>
      </c>
      <c r="B523" s="49" t="s">
        <v>57</v>
      </c>
      <c r="C523" s="65" t="s">
        <v>2035</v>
      </c>
      <c r="D523" s="66" t="s">
        <v>2036</v>
      </c>
      <c r="E523" s="65" t="s">
        <v>2037</v>
      </c>
      <c r="F523" s="66" t="s">
        <v>5</v>
      </c>
      <c r="G523" s="67">
        <v>42776</v>
      </c>
      <c r="H523" s="67">
        <v>42865</v>
      </c>
      <c r="I523" s="67">
        <v>42886</v>
      </c>
      <c r="J523" s="66" t="s">
        <v>2027</v>
      </c>
      <c r="K523" s="66" t="s">
        <v>7</v>
      </c>
      <c r="L523" s="66" t="s">
        <v>62</v>
      </c>
      <c r="M523" s="67" t="s">
        <v>63</v>
      </c>
      <c r="N523" s="66" t="s">
        <v>64</v>
      </c>
      <c r="O523" s="66" t="s">
        <v>7</v>
      </c>
      <c r="P523" s="66" t="s">
        <v>62</v>
      </c>
      <c r="Q523" s="66" t="s">
        <v>65</v>
      </c>
      <c r="R523" s="67" cm="1">
        <f t="array" aca="1" ref="R523" ca="1">_xlfn.CHOOSECOLS(_xlfn.CHOOSEROWS(_xlfn._xlws.FILTER(표2[],표2[DWG No.]=C523,""),1),6)</f>
        <v>42803</v>
      </c>
      <c r="S523" s="67" cm="1">
        <f t="array" aca="1" ref="S523" ca="1">_xlfn.CHOOSECOLS(_xlfn.CHOOSEROWS(_xlfn._xlws.FILTER(표2[],(표2[DWG No.]=C523)*(ISNUMBER(표2[Rev.])),""),1),6)</f>
        <v>42874</v>
      </c>
    </row>
    <row r="524" spans="1:19" ht="18" customHeight="1" x14ac:dyDescent="0.45">
      <c r="A524" s="64">
        <v>519</v>
      </c>
      <c r="B524" s="49" t="s">
        <v>57</v>
      </c>
      <c r="C524" s="65" t="s">
        <v>2038</v>
      </c>
      <c r="D524" s="66" t="s">
        <v>2039</v>
      </c>
      <c r="E524" s="65" t="s">
        <v>2040</v>
      </c>
      <c r="F524" s="66" t="s">
        <v>6</v>
      </c>
      <c r="G524" s="67">
        <v>42946</v>
      </c>
      <c r="H524" s="67">
        <v>42977</v>
      </c>
      <c r="I524" s="67">
        <v>43119</v>
      </c>
      <c r="J524" s="66" t="s">
        <v>2041</v>
      </c>
      <c r="K524" s="66" t="s">
        <v>7</v>
      </c>
      <c r="L524" s="66" t="s">
        <v>89</v>
      </c>
      <c r="M524" s="67" t="s">
        <v>155</v>
      </c>
      <c r="N524" s="66" t="s">
        <v>2042</v>
      </c>
      <c r="O524" s="66" t="s">
        <v>7</v>
      </c>
      <c r="P524" s="66" t="s">
        <v>89</v>
      </c>
      <c r="Q524" s="66" t="s">
        <v>5002</v>
      </c>
      <c r="R524" s="67" cm="1">
        <f t="array" aca="1" ref="R524" ca="1">_xlfn.CHOOSECOLS(_xlfn.CHOOSEROWS(_xlfn._xlws.FILTER(표2[],표2[DWG No.]=C524,""),1),6)</f>
        <v>43082</v>
      </c>
      <c r="S524" s="67" cm="1">
        <f t="array" aca="1" ref="S524" ca="1">_xlfn.CHOOSECOLS(_xlfn.CHOOSEROWS(_xlfn._xlws.FILTER(표2[],(표2[DWG No.]=C524)*(ISNUMBER(표2[Rev.])),""),1),6)</f>
        <v>43096</v>
      </c>
    </row>
    <row r="525" spans="1:19" ht="18" customHeight="1" x14ac:dyDescent="0.45">
      <c r="A525" s="64">
        <v>520</v>
      </c>
      <c r="B525" s="49" t="s">
        <v>57</v>
      </c>
      <c r="C525" s="65" t="s">
        <v>5009</v>
      </c>
      <c r="D525" s="66" t="s">
        <v>2043</v>
      </c>
      <c r="E525" s="65" t="s">
        <v>2044</v>
      </c>
      <c r="F525" s="66" t="s">
        <v>5</v>
      </c>
      <c r="G525" s="67">
        <v>43008</v>
      </c>
      <c r="H525" s="67">
        <v>43069</v>
      </c>
      <c r="I525" s="67">
        <v>43927</v>
      </c>
      <c r="J525" s="66" t="s">
        <v>2898</v>
      </c>
      <c r="K525" s="66" t="s">
        <v>209</v>
      </c>
      <c r="L525" s="66" t="s">
        <v>1851</v>
      </c>
      <c r="M525" s="67">
        <v>43930</v>
      </c>
      <c r="N525" s="66" t="s">
        <v>5011</v>
      </c>
      <c r="O525" s="66" t="s">
        <v>209</v>
      </c>
      <c r="P525" s="66" t="s">
        <v>5010</v>
      </c>
      <c r="Q525" s="66" t="s">
        <v>164</v>
      </c>
      <c r="R525" s="67" cm="1">
        <f t="array" aca="1" ref="R525" ca="1">_xlfn.CHOOSECOLS(_xlfn.CHOOSEROWS(_xlfn._xlws.FILTER(표2[],표2[DWG No.]=C525,""),1),6)</f>
        <v>43082</v>
      </c>
      <c r="S525" s="67" cm="1">
        <f t="array" aca="1" ref="S525" ca="1">_xlfn.CHOOSECOLS(_xlfn.CHOOSEROWS(_xlfn._xlws.FILTER(표2[],(표2[DWG No.]=C525)*(ISNUMBER(표2[Rev.])),""),1),6)</f>
        <v>43096</v>
      </c>
    </row>
    <row r="526" spans="1:19" ht="18" customHeight="1" x14ac:dyDescent="0.45">
      <c r="A526" s="64">
        <v>521</v>
      </c>
      <c r="B526" s="49" t="s">
        <v>57</v>
      </c>
      <c r="C526" s="65" t="s">
        <v>2045</v>
      </c>
      <c r="D526" s="66" t="s">
        <v>2046</v>
      </c>
      <c r="E526" s="65" t="s">
        <v>2047</v>
      </c>
      <c r="F526" s="66" t="s">
        <v>6</v>
      </c>
      <c r="G526" s="67">
        <v>43021</v>
      </c>
      <c r="H526" s="67">
        <v>43099</v>
      </c>
      <c r="I526" s="67">
        <v>43927</v>
      </c>
      <c r="J526" s="66" t="s">
        <v>2898</v>
      </c>
      <c r="K526" s="66" t="s">
        <v>209</v>
      </c>
      <c r="L526" s="66" t="s">
        <v>2871</v>
      </c>
      <c r="M526" s="67" t="s">
        <v>2899</v>
      </c>
      <c r="N526" s="66" t="s">
        <v>2901</v>
      </c>
      <c r="O526" s="66" t="s">
        <v>209</v>
      </c>
      <c r="P526" s="66" t="s">
        <v>2048</v>
      </c>
      <c r="Q526" s="66" t="s">
        <v>164</v>
      </c>
      <c r="R526" s="67" cm="1">
        <f t="array" aca="1" ref="R526" ca="1">_xlfn.CHOOSECOLS(_xlfn.CHOOSEROWS(_xlfn._xlws.FILTER(표2[],표2[DWG No.]=C526,""),1),6)</f>
        <v>43021</v>
      </c>
      <c r="S526" s="67" cm="1">
        <f t="array" aca="1" ref="S526" ca="1">_xlfn.CHOOSECOLS(_xlfn.CHOOSEROWS(_xlfn._xlws.FILTER(표2[],(표2[DWG No.]=C526)*(ISNUMBER(표2[Rev.])),""),1),6)</f>
        <v>43089</v>
      </c>
    </row>
    <row r="527" spans="1:19" ht="18" customHeight="1" x14ac:dyDescent="0.45">
      <c r="A527" s="64">
        <v>522</v>
      </c>
      <c r="B527" s="49" t="s">
        <v>57</v>
      </c>
      <c r="C527" s="65" t="s">
        <v>2049</v>
      </c>
      <c r="D527" s="66" t="s">
        <v>2050</v>
      </c>
      <c r="E527" s="65" t="s">
        <v>2051</v>
      </c>
      <c r="F527" s="66" t="s">
        <v>6</v>
      </c>
      <c r="G527" s="67">
        <v>42853</v>
      </c>
      <c r="H527" s="67">
        <v>42915</v>
      </c>
      <c r="I527" s="67">
        <v>43139</v>
      </c>
      <c r="J527" s="66" t="s">
        <v>2052</v>
      </c>
      <c r="K527" s="66" t="s">
        <v>7</v>
      </c>
      <c r="L527" s="66" t="s">
        <v>230</v>
      </c>
      <c r="M527" s="67" t="s">
        <v>155</v>
      </c>
      <c r="N527" s="66" t="s">
        <v>2053</v>
      </c>
      <c r="O527" s="66" t="s">
        <v>7</v>
      </c>
      <c r="P527" s="66" t="s">
        <v>230</v>
      </c>
      <c r="Q527" s="66" t="s">
        <v>5002</v>
      </c>
      <c r="R527" s="67" cm="1">
        <f t="array" aca="1" ref="R527" ca="1">_xlfn.CHOOSECOLS(_xlfn.CHOOSEROWS(_xlfn._xlws.FILTER(표2[],표2[DWG No.]=C527,""),1),6)</f>
        <v>42835</v>
      </c>
      <c r="S527" s="67" cm="1">
        <f t="array" aca="1" ref="S527" ca="1">_xlfn.CHOOSECOLS(_xlfn.CHOOSEROWS(_xlfn._xlws.FILTER(표2[],(표2[DWG No.]=C527)*(ISNUMBER(표2[Rev.])),""),1),6)</f>
        <v>42934</v>
      </c>
    </row>
    <row r="528" spans="1:19" ht="18" customHeight="1" x14ac:dyDescent="0.45">
      <c r="A528" s="64">
        <v>523</v>
      </c>
      <c r="B528" s="49" t="s">
        <v>57</v>
      </c>
      <c r="C528" s="65" t="s">
        <v>2054</v>
      </c>
      <c r="D528" s="66" t="s">
        <v>2055</v>
      </c>
      <c r="E528" s="65" t="s">
        <v>2056</v>
      </c>
      <c r="F528" s="66" t="s">
        <v>6</v>
      </c>
      <c r="G528" s="67">
        <v>42853</v>
      </c>
      <c r="H528" s="67">
        <v>42915</v>
      </c>
      <c r="I528" s="67">
        <v>43139</v>
      </c>
      <c r="J528" s="66" t="s">
        <v>2052</v>
      </c>
      <c r="K528" s="66" t="s">
        <v>7</v>
      </c>
      <c r="L528" s="66" t="s">
        <v>89</v>
      </c>
      <c r="M528" s="67" t="s">
        <v>155</v>
      </c>
      <c r="N528" s="66" t="s">
        <v>2057</v>
      </c>
      <c r="O528" s="66" t="s">
        <v>7</v>
      </c>
      <c r="P528" s="66" t="s">
        <v>89</v>
      </c>
      <c r="Q528" s="66" t="s">
        <v>5002</v>
      </c>
      <c r="R528" s="67" cm="1">
        <f t="array" aca="1" ref="R528" ca="1">_xlfn.CHOOSECOLS(_xlfn.CHOOSEROWS(_xlfn._xlws.FILTER(표2[],표2[DWG No.]=C528,""),1),6)</f>
        <v>42835</v>
      </c>
      <c r="S528" s="67" cm="1">
        <f t="array" aca="1" ref="S528" ca="1">_xlfn.CHOOSECOLS(_xlfn.CHOOSEROWS(_xlfn._xlws.FILTER(표2[],(표2[DWG No.]=C528)*(ISNUMBER(표2[Rev.])),""),1),6)</f>
        <v>42934</v>
      </c>
    </row>
    <row r="529" spans="1:19" ht="18" customHeight="1" x14ac:dyDescent="0.45">
      <c r="A529" s="64">
        <v>524</v>
      </c>
      <c r="B529" s="49" t="s">
        <v>57</v>
      </c>
      <c r="C529" s="65" t="s">
        <v>2058</v>
      </c>
      <c r="D529" s="66" t="s">
        <v>2059</v>
      </c>
      <c r="E529" s="65" t="s">
        <v>2060</v>
      </c>
      <c r="F529" s="66" t="s">
        <v>5</v>
      </c>
      <c r="G529" s="67">
        <v>43210</v>
      </c>
      <c r="H529" s="67">
        <v>43281</v>
      </c>
      <c r="I529" s="67">
        <v>43286</v>
      </c>
      <c r="J529" s="66" t="s">
        <v>2615</v>
      </c>
      <c r="K529" s="66" t="s">
        <v>7</v>
      </c>
      <c r="L529" s="66" t="s">
        <v>62</v>
      </c>
      <c r="M529" s="67" t="s">
        <v>2455</v>
      </c>
      <c r="N529" s="66" t="s">
        <v>2616</v>
      </c>
      <c r="O529" s="66" t="s">
        <v>7</v>
      </c>
      <c r="P529" s="66" t="s">
        <v>62</v>
      </c>
      <c r="Q529" s="66" t="s">
        <v>65</v>
      </c>
      <c r="R529" s="67" cm="1">
        <f t="array" aca="1" ref="R529" ca="1">_xlfn.CHOOSECOLS(_xlfn.CHOOSEROWS(_xlfn._xlws.FILTER(표2[],표2[DWG No.]=C529,""),1),6)</f>
        <v>43215</v>
      </c>
      <c r="S529" s="67" cm="1">
        <f t="array" aca="1" ref="S529" ca="1">_xlfn.CHOOSECOLS(_xlfn.CHOOSEROWS(_xlfn._xlws.FILTER(표2[],(표2[DWG No.]=C529)*(ISNUMBER(표2[Rev.])),""),1),6)</f>
        <v>43227</v>
      </c>
    </row>
    <row r="530" spans="1:19" ht="18" customHeight="1" x14ac:dyDescent="0.45">
      <c r="A530" s="64">
        <v>525</v>
      </c>
      <c r="B530" s="49" t="s">
        <v>57</v>
      </c>
      <c r="C530" s="65" t="s">
        <v>2061</v>
      </c>
      <c r="D530" s="66" t="s">
        <v>2062</v>
      </c>
      <c r="E530" s="65" t="s">
        <v>2063</v>
      </c>
      <c r="F530" s="66" t="s">
        <v>6</v>
      </c>
      <c r="G530" s="67">
        <v>42802</v>
      </c>
      <c r="H530" s="67">
        <v>42952</v>
      </c>
      <c r="I530" s="67">
        <v>43087</v>
      </c>
      <c r="J530" s="66" t="s">
        <v>2064</v>
      </c>
      <c r="K530" s="66" t="s">
        <v>7</v>
      </c>
      <c r="L530" s="66" t="s">
        <v>89</v>
      </c>
      <c r="M530" s="67" t="s">
        <v>155</v>
      </c>
      <c r="N530" s="66" t="s">
        <v>2065</v>
      </c>
      <c r="O530" s="66" t="s">
        <v>7</v>
      </c>
      <c r="P530" s="66" t="s">
        <v>89</v>
      </c>
      <c r="Q530" s="66" t="s">
        <v>5002</v>
      </c>
      <c r="R530" s="67" cm="1">
        <f t="array" aca="1" ref="R530" ca="1">_xlfn.CHOOSECOLS(_xlfn.CHOOSEROWS(_xlfn._xlws.FILTER(표2[],표2[DWG No.]=C530,""),1),6)</f>
        <v>42803</v>
      </c>
      <c r="S530" s="67" cm="1">
        <f t="array" aca="1" ref="S530" ca="1">_xlfn.CHOOSECOLS(_xlfn.CHOOSEROWS(_xlfn._xlws.FILTER(표2[],(표2[DWG No.]=C530)*(ISNUMBER(표2[Rev.])),""),1),6)</f>
        <v>43034</v>
      </c>
    </row>
    <row r="531" spans="1:19" ht="18" customHeight="1" x14ac:dyDescent="0.45">
      <c r="A531" s="64">
        <v>526</v>
      </c>
      <c r="B531" s="49" t="s">
        <v>57</v>
      </c>
      <c r="C531" s="65" t="s">
        <v>2066</v>
      </c>
      <c r="D531" s="66" t="s">
        <v>2067</v>
      </c>
      <c r="E531" s="65" t="s">
        <v>2068</v>
      </c>
      <c r="F531" s="66" t="s">
        <v>6</v>
      </c>
      <c r="G531" s="67">
        <v>42802</v>
      </c>
      <c r="H531" s="67">
        <v>42952</v>
      </c>
      <c r="I531" s="67">
        <v>43087</v>
      </c>
      <c r="J531" s="66" t="s">
        <v>2069</v>
      </c>
      <c r="K531" s="66" t="s">
        <v>7</v>
      </c>
      <c r="L531" s="66" t="s">
        <v>89</v>
      </c>
      <c r="M531" s="67" t="s">
        <v>155</v>
      </c>
      <c r="N531" s="66" t="s">
        <v>2070</v>
      </c>
      <c r="O531" s="66" t="s">
        <v>7</v>
      </c>
      <c r="P531" s="66" t="s">
        <v>89</v>
      </c>
      <c r="Q531" s="66" t="s">
        <v>5002</v>
      </c>
      <c r="R531" s="67" cm="1">
        <f t="array" aca="1" ref="R531" ca="1">_xlfn.CHOOSECOLS(_xlfn.CHOOSEROWS(_xlfn._xlws.FILTER(표2[],표2[DWG No.]=C531,""),1),6)</f>
        <v>42803</v>
      </c>
      <c r="S531" s="67" cm="1">
        <f t="array" aca="1" ref="S531" ca="1">_xlfn.CHOOSECOLS(_xlfn.CHOOSEROWS(_xlfn._xlws.FILTER(표2[],(표2[DWG No.]=C531)*(ISNUMBER(표2[Rev.])),""),1),6)</f>
        <v>43034</v>
      </c>
    </row>
    <row r="532" spans="1:19" ht="18" customHeight="1" x14ac:dyDescent="0.45">
      <c r="A532" s="64">
        <v>527</v>
      </c>
      <c r="B532" s="49" t="s">
        <v>57</v>
      </c>
      <c r="C532" s="65" t="s">
        <v>2071</v>
      </c>
      <c r="D532" s="66" t="s">
        <v>2072</v>
      </c>
      <c r="E532" s="65" t="s">
        <v>2073</v>
      </c>
      <c r="F532" s="66" t="s">
        <v>6</v>
      </c>
      <c r="G532" s="67">
        <v>42802</v>
      </c>
      <c r="H532" s="67">
        <v>42952</v>
      </c>
      <c r="I532" s="67">
        <v>43034</v>
      </c>
      <c r="J532" s="66" t="s">
        <v>2074</v>
      </c>
      <c r="K532" s="66" t="s">
        <v>7</v>
      </c>
      <c r="L532" s="66" t="s">
        <v>62</v>
      </c>
      <c r="M532" s="67" t="s">
        <v>90</v>
      </c>
      <c r="N532" s="66" t="s">
        <v>2075</v>
      </c>
      <c r="O532" s="66" t="s">
        <v>7</v>
      </c>
      <c r="P532" s="66" t="s">
        <v>62</v>
      </c>
      <c r="Q532" s="66" t="s">
        <v>5003</v>
      </c>
      <c r="R532" s="67" cm="1">
        <f t="array" aca="1" ref="R532" ca="1">_xlfn.CHOOSECOLS(_xlfn.CHOOSEROWS(_xlfn._xlws.FILTER(표2[],표2[DWG No.]=C532,""),1),6)</f>
        <v>42803</v>
      </c>
      <c r="S532" s="67" cm="1">
        <f t="array" aca="1" ref="S532" ca="1">_xlfn.CHOOSECOLS(_xlfn.CHOOSEROWS(_xlfn._xlws.FILTER(표2[],(표2[DWG No.]=C532)*(ISNUMBER(표2[Rev.])),""),1),6)</f>
        <v>43034</v>
      </c>
    </row>
    <row r="533" spans="1:19" ht="18" customHeight="1" x14ac:dyDescent="0.45">
      <c r="A533" s="64">
        <v>528</v>
      </c>
      <c r="B533" s="49" t="s">
        <v>57</v>
      </c>
      <c r="C533" s="65" t="s">
        <v>2076</v>
      </c>
      <c r="D533" s="66" t="s">
        <v>2077</v>
      </c>
      <c r="E533" s="65" t="s">
        <v>2078</v>
      </c>
      <c r="F533" s="66" t="s">
        <v>6</v>
      </c>
      <c r="G533" s="67">
        <v>43028</v>
      </c>
      <c r="H533" s="67">
        <v>43091</v>
      </c>
      <c r="I533" s="67">
        <v>43098</v>
      </c>
      <c r="J533" s="66" t="s">
        <v>2079</v>
      </c>
      <c r="K533" s="66" t="s">
        <v>7</v>
      </c>
      <c r="L533" s="66" t="s">
        <v>62</v>
      </c>
      <c r="M533" s="67" t="s">
        <v>155</v>
      </c>
      <c r="N533" s="66" t="s">
        <v>2080</v>
      </c>
      <c r="O533" s="66" t="s">
        <v>7</v>
      </c>
      <c r="P533" s="66" t="s">
        <v>62</v>
      </c>
      <c r="Q533" s="66" t="s">
        <v>5002</v>
      </c>
      <c r="R533" s="67" cm="1">
        <f t="array" aca="1" ref="R533" ca="1">_xlfn.CHOOSECOLS(_xlfn.CHOOSEROWS(_xlfn._xlws.FILTER(표2[],표2[DWG No.]=C533,""),1),6)</f>
        <v>43040</v>
      </c>
      <c r="S533" s="67" cm="1">
        <f t="array" aca="1" ref="S533" ca="1">_xlfn.CHOOSECOLS(_xlfn.CHOOSEROWS(_xlfn._xlws.FILTER(표2[],(표2[DWG No.]=C533)*(ISNUMBER(표2[Rev.])),""),1),6)</f>
        <v>43098</v>
      </c>
    </row>
    <row r="534" spans="1:19" ht="18" customHeight="1" x14ac:dyDescent="0.45">
      <c r="A534" s="64">
        <v>529</v>
      </c>
      <c r="B534" s="49" t="s">
        <v>57</v>
      </c>
      <c r="C534" s="65" t="s">
        <v>2081</v>
      </c>
      <c r="D534" s="66" t="s">
        <v>2082</v>
      </c>
      <c r="E534" s="65" t="s">
        <v>2083</v>
      </c>
      <c r="F534" s="66" t="s">
        <v>6</v>
      </c>
      <c r="G534" s="67">
        <v>43028</v>
      </c>
      <c r="H534" s="67">
        <v>43091</v>
      </c>
      <c r="I534" s="67">
        <v>43098</v>
      </c>
      <c r="J534" s="66" t="s">
        <v>2079</v>
      </c>
      <c r="K534" s="66" t="s">
        <v>7</v>
      </c>
      <c r="L534" s="66" t="s">
        <v>62</v>
      </c>
      <c r="M534" s="67" t="s">
        <v>155</v>
      </c>
      <c r="N534" s="66" t="s">
        <v>2084</v>
      </c>
      <c r="O534" s="66" t="s">
        <v>7</v>
      </c>
      <c r="P534" s="66" t="s">
        <v>62</v>
      </c>
      <c r="Q534" s="66" t="s">
        <v>5002</v>
      </c>
      <c r="R534" s="67" cm="1">
        <f t="array" aca="1" ref="R534" ca="1">_xlfn.CHOOSECOLS(_xlfn.CHOOSEROWS(_xlfn._xlws.FILTER(표2[],표2[DWG No.]=C534,""),1),6)</f>
        <v>43040</v>
      </c>
      <c r="S534" s="67" cm="1">
        <f t="array" aca="1" ref="S534" ca="1">_xlfn.CHOOSECOLS(_xlfn.CHOOSEROWS(_xlfn._xlws.FILTER(표2[],(표2[DWG No.]=C534)*(ISNUMBER(표2[Rev.])),""),1),6)</f>
        <v>43098</v>
      </c>
    </row>
    <row r="535" spans="1:19" ht="18" customHeight="1" x14ac:dyDescent="0.45">
      <c r="A535" s="64">
        <v>530</v>
      </c>
      <c r="B535" s="49" t="s">
        <v>57</v>
      </c>
      <c r="C535" s="65" t="s">
        <v>2085</v>
      </c>
      <c r="D535" s="66" t="s">
        <v>2086</v>
      </c>
      <c r="E535" s="65" t="s">
        <v>2087</v>
      </c>
      <c r="F535" s="66" t="s">
        <v>6</v>
      </c>
      <c r="G535" s="67">
        <v>43028</v>
      </c>
      <c r="H535" s="67">
        <v>43091</v>
      </c>
      <c r="I535" s="67">
        <v>43098</v>
      </c>
      <c r="J535" s="66" t="s">
        <v>2079</v>
      </c>
      <c r="K535" s="66" t="s">
        <v>7</v>
      </c>
      <c r="L535" s="66" t="s">
        <v>62</v>
      </c>
      <c r="M535" s="67" t="s">
        <v>155</v>
      </c>
      <c r="N535" s="66" t="s">
        <v>2088</v>
      </c>
      <c r="O535" s="66" t="s">
        <v>7</v>
      </c>
      <c r="P535" s="66" t="s">
        <v>62</v>
      </c>
      <c r="Q535" s="66" t="s">
        <v>5002</v>
      </c>
      <c r="R535" s="67" cm="1">
        <f t="array" aca="1" ref="R535" ca="1">_xlfn.CHOOSECOLS(_xlfn.CHOOSEROWS(_xlfn._xlws.FILTER(표2[],표2[DWG No.]=C535,""),1),6)</f>
        <v>43040</v>
      </c>
      <c r="S535" s="67" cm="1">
        <f t="array" aca="1" ref="S535" ca="1">_xlfn.CHOOSECOLS(_xlfn.CHOOSEROWS(_xlfn._xlws.FILTER(표2[],(표2[DWG No.]=C535)*(ISNUMBER(표2[Rev.])),""),1),6)</f>
        <v>43098</v>
      </c>
    </row>
    <row r="536" spans="1:19" ht="18" customHeight="1" x14ac:dyDescent="0.45">
      <c r="A536" s="64">
        <v>531</v>
      </c>
      <c r="B536" s="49" t="s">
        <v>57</v>
      </c>
      <c r="C536" s="65" t="s">
        <v>2089</v>
      </c>
      <c r="D536" s="66" t="s">
        <v>2090</v>
      </c>
      <c r="E536" s="65" t="s">
        <v>2091</v>
      </c>
      <c r="F536" s="66" t="s">
        <v>6</v>
      </c>
      <c r="G536" s="67">
        <v>42826</v>
      </c>
      <c r="H536" s="67">
        <v>43039</v>
      </c>
      <c r="I536" s="67">
        <v>43021</v>
      </c>
      <c r="J536" s="66" t="s">
        <v>2092</v>
      </c>
      <c r="K536" s="66" t="s">
        <v>7</v>
      </c>
      <c r="L536" s="66" t="s">
        <v>62</v>
      </c>
      <c r="M536" s="67" t="s">
        <v>362</v>
      </c>
      <c r="N536" s="66" t="s">
        <v>2093</v>
      </c>
      <c r="O536" s="66" t="s">
        <v>7</v>
      </c>
      <c r="P536" s="66" t="s">
        <v>62</v>
      </c>
      <c r="Q536" s="66" t="s">
        <v>5002</v>
      </c>
      <c r="R536" s="67" cm="1">
        <f t="array" aca="1" ref="R536" ca="1">_xlfn.CHOOSECOLS(_xlfn.CHOOSEROWS(_xlfn._xlws.FILTER(표2[],표2[DWG No.]=C536,""),1),6)</f>
        <v>42872</v>
      </c>
      <c r="S536" s="67" cm="1">
        <f t="array" aca="1" ref="S536" ca="1">_xlfn.CHOOSECOLS(_xlfn.CHOOSEROWS(_xlfn._xlws.FILTER(표2[],(표2[DWG No.]=C536)*(ISNUMBER(표2[Rev.])),""),1),6)</f>
        <v>43021</v>
      </c>
    </row>
    <row r="537" spans="1:19" ht="18" customHeight="1" x14ac:dyDescent="0.45">
      <c r="A537" s="64">
        <v>532</v>
      </c>
      <c r="B537" s="49" t="s">
        <v>57</v>
      </c>
      <c r="C537" s="65" t="s">
        <v>2094</v>
      </c>
      <c r="D537" s="66" t="s">
        <v>2095</v>
      </c>
      <c r="E537" s="65" t="s">
        <v>2096</v>
      </c>
      <c r="F537" s="66" t="s">
        <v>6</v>
      </c>
      <c r="G537" s="67">
        <v>42826</v>
      </c>
      <c r="H537" s="67">
        <v>43039</v>
      </c>
      <c r="I537" s="67">
        <v>43021</v>
      </c>
      <c r="J537" s="66" t="s">
        <v>2092</v>
      </c>
      <c r="K537" s="66" t="s">
        <v>7</v>
      </c>
      <c r="L537" s="66" t="s">
        <v>62</v>
      </c>
      <c r="M537" s="67" t="s">
        <v>362</v>
      </c>
      <c r="N537" s="66" t="s">
        <v>2097</v>
      </c>
      <c r="O537" s="66" t="s">
        <v>7</v>
      </c>
      <c r="P537" s="66" t="s">
        <v>62</v>
      </c>
      <c r="Q537" s="66" t="s">
        <v>5002</v>
      </c>
      <c r="R537" s="67" cm="1">
        <f t="array" aca="1" ref="R537" ca="1">_xlfn.CHOOSECOLS(_xlfn.CHOOSEROWS(_xlfn._xlws.FILTER(표2[],표2[DWG No.]=C537,""),1),6)</f>
        <v>42872</v>
      </c>
      <c r="S537" s="67" cm="1">
        <f t="array" aca="1" ref="S537" ca="1">_xlfn.CHOOSECOLS(_xlfn.CHOOSEROWS(_xlfn._xlws.FILTER(표2[],(표2[DWG No.]=C537)*(ISNUMBER(표2[Rev.])),""),1),6)</f>
        <v>43021</v>
      </c>
    </row>
    <row r="538" spans="1:19" ht="18" customHeight="1" x14ac:dyDescent="0.45">
      <c r="A538" s="64">
        <v>533</v>
      </c>
      <c r="B538" s="49" t="s">
        <v>57</v>
      </c>
      <c r="C538" s="65" t="s">
        <v>2098</v>
      </c>
      <c r="D538" s="66" t="s">
        <v>2099</v>
      </c>
      <c r="E538" s="65" t="s">
        <v>2100</v>
      </c>
      <c r="F538" s="66" t="s">
        <v>6</v>
      </c>
      <c r="G538" s="67">
        <v>42826</v>
      </c>
      <c r="H538" s="67">
        <v>43039</v>
      </c>
      <c r="I538" s="67">
        <v>43852</v>
      </c>
      <c r="J538" s="66" t="s">
        <v>2810</v>
      </c>
      <c r="K538" s="66" t="s">
        <v>7</v>
      </c>
      <c r="L538" s="66" t="s">
        <v>89</v>
      </c>
      <c r="M538" s="67" t="s">
        <v>2872</v>
      </c>
      <c r="N538" s="66" t="s">
        <v>2889</v>
      </c>
      <c r="O538" s="66" t="s">
        <v>7</v>
      </c>
      <c r="P538" s="66" t="s">
        <v>89</v>
      </c>
      <c r="Q538" s="66" t="s">
        <v>65</v>
      </c>
      <c r="R538" s="67" cm="1">
        <f t="array" aca="1" ref="R538" ca="1">_xlfn.CHOOSECOLS(_xlfn.CHOOSEROWS(_xlfn._xlws.FILTER(표2[],표2[DWG No.]=C538,""),1),6)</f>
        <v>42872</v>
      </c>
      <c r="S538" s="67" cm="1">
        <f t="array" aca="1" ref="S538" ca="1">_xlfn.CHOOSECOLS(_xlfn.CHOOSEROWS(_xlfn._xlws.FILTER(표2[],(표2[DWG No.]=C538)*(ISNUMBER(표2[Rev.])),""),1),6)</f>
        <v>43084</v>
      </c>
    </row>
    <row r="539" spans="1:19" ht="18" customHeight="1" x14ac:dyDescent="0.45">
      <c r="A539" s="64">
        <v>534</v>
      </c>
      <c r="B539" s="49" t="s">
        <v>57</v>
      </c>
      <c r="C539" s="65" t="s">
        <v>2102</v>
      </c>
      <c r="D539" s="66" t="s">
        <v>2103</v>
      </c>
      <c r="E539" s="65" t="s">
        <v>2104</v>
      </c>
      <c r="F539" s="66" t="s">
        <v>5</v>
      </c>
      <c r="G539" s="67">
        <v>42887</v>
      </c>
      <c r="H539" s="67">
        <v>43039</v>
      </c>
      <c r="I539" s="67">
        <v>43052</v>
      </c>
      <c r="J539" s="66" t="s">
        <v>2105</v>
      </c>
      <c r="K539" s="66" t="s">
        <v>7</v>
      </c>
      <c r="L539" s="66" t="s">
        <v>62</v>
      </c>
      <c r="M539" s="67" t="s">
        <v>715</v>
      </c>
      <c r="N539" s="66" t="s">
        <v>2106</v>
      </c>
      <c r="O539" s="66" t="s">
        <v>7</v>
      </c>
      <c r="P539" s="66" t="s">
        <v>62</v>
      </c>
      <c r="Q539" s="66" t="s">
        <v>5002</v>
      </c>
      <c r="R539" s="67" cm="1">
        <f t="array" aca="1" ref="R539" ca="1">_xlfn.CHOOSECOLS(_xlfn.CHOOSEROWS(_xlfn._xlws.FILTER(표2[],표2[DWG No.]=C539,""),1),6)</f>
        <v>42972</v>
      </c>
      <c r="S539" s="67" cm="1">
        <f t="array" aca="1" ref="S539" ca="1">_xlfn.CHOOSECOLS(_xlfn.CHOOSEROWS(_xlfn._xlws.FILTER(표2[],(표2[DWG No.]=C539)*(ISNUMBER(표2[Rev.])),""),1),6)</f>
        <v>43052</v>
      </c>
    </row>
    <row r="540" spans="1:19" ht="18" customHeight="1" x14ac:dyDescent="0.45">
      <c r="A540" s="64">
        <v>535</v>
      </c>
      <c r="B540" s="49" t="s">
        <v>57</v>
      </c>
      <c r="C540" s="65" t="s">
        <v>2107</v>
      </c>
      <c r="D540" s="66" t="s">
        <v>2108</v>
      </c>
      <c r="E540" s="65" t="s">
        <v>2109</v>
      </c>
      <c r="F540" s="66" t="s">
        <v>6</v>
      </c>
      <c r="G540" s="67">
        <v>42887</v>
      </c>
      <c r="H540" s="67">
        <v>43039</v>
      </c>
      <c r="I540" s="67">
        <v>43852</v>
      </c>
      <c r="J540" s="66" t="s">
        <v>2810</v>
      </c>
      <c r="K540" s="66" t="s">
        <v>7</v>
      </c>
      <c r="L540" s="66" t="s">
        <v>230</v>
      </c>
      <c r="M540" s="67" t="s">
        <v>2872</v>
      </c>
      <c r="N540" s="66" t="s">
        <v>2890</v>
      </c>
      <c r="O540" s="66" t="s">
        <v>7</v>
      </c>
      <c r="P540" s="66" t="s">
        <v>230</v>
      </c>
      <c r="Q540" s="66" t="s">
        <v>65</v>
      </c>
      <c r="R540" s="67" cm="1">
        <f t="array" aca="1" ref="R540" ca="1">_xlfn.CHOOSECOLS(_xlfn.CHOOSEROWS(_xlfn._xlws.FILTER(표2[],표2[DWG No.]=C540,""),1),6)</f>
        <v>42972</v>
      </c>
      <c r="S540" s="67" cm="1">
        <f t="array" aca="1" ref="S540" ca="1">_xlfn.CHOOSECOLS(_xlfn.CHOOSEROWS(_xlfn._xlws.FILTER(표2[],(표2[DWG No.]=C540)*(ISNUMBER(표2[Rev.])),""),1),6)</f>
        <v>43084</v>
      </c>
    </row>
    <row r="541" spans="1:19" ht="18" customHeight="1" x14ac:dyDescent="0.45">
      <c r="A541" s="64">
        <v>536</v>
      </c>
      <c r="B541" s="49" t="s">
        <v>57</v>
      </c>
      <c r="C541" s="65" t="s">
        <v>2112</v>
      </c>
      <c r="D541" s="66" t="s">
        <v>2113</v>
      </c>
      <c r="E541" s="65" t="s">
        <v>2114</v>
      </c>
      <c r="F541" s="66" t="s">
        <v>6</v>
      </c>
      <c r="G541" s="67">
        <v>42887</v>
      </c>
      <c r="H541" s="67">
        <v>43039</v>
      </c>
      <c r="I541" s="67">
        <v>43117</v>
      </c>
      <c r="J541" s="66" t="s">
        <v>2110</v>
      </c>
      <c r="K541" s="66" t="s">
        <v>7</v>
      </c>
      <c r="L541" s="66" t="s">
        <v>89</v>
      </c>
      <c r="M541" s="67" t="s">
        <v>2111</v>
      </c>
      <c r="N541" s="66" t="s">
        <v>2115</v>
      </c>
      <c r="O541" s="66" t="s">
        <v>7</v>
      </c>
      <c r="P541" s="66" t="s">
        <v>89</v>
      </c>
      <c r="Q541" s="66" t="s">
        <v>5002</v>
      </c>
      <c r="R541" s="67" cm="1">
        <f t="array" aca="1" ref="R541" ca="1">_xlfn.CHOOSECOLS(_xlfn.CHOOSEROWS(_xlfn._xlws.FILTER(표2[],표2[DWG No.]=C541,""),1),6)</f>
        <v>42972</v>
      </c>
      <c r="S541" s="67" cm="1">
        <f t="array" aca="1" ref="S541" ca="1">_xlfn.CHOOSECOLS(_xlfn.CHOOSEROWS(_xlfn._xlws.FILTER(표2[],(표2[DWG No.]=C541)*(ISNUMBER(표2[Rev.])),""),1),6)</f>
        <v>43084</v>
      </c>
    </row>
    <row r="542" spans="1:19" ht="18" customHeight="1" x14ac:dyDescent="0.45">
      <c r="A542" s="64">
        <v>537</v>
      </c>
      <c r="B542" s="49" t="s">
        <v>57</v>
      </c>
      <c r="C542" s="65" t="s">
        <v>2116</v>
      </c>
      <c r="D542" s="66" t="s">
        <v>2117</v>
      </c>
      <c r="E542" s="65" t="s">
        <v>2118</v>
      </c>
      <c r="F542" s="66" t="s">
        <v>6</v>
      </c>
      <c r="G542" s="67">
        <v>42887</v>
      </c>
      <c r="H542" s="67">
        <v>43039</v>
      </c>
      <c r="I542" s="67">
        <v>43117</v>
      </c>
      <c r="J542" s="66" t="s">
        <v>2110</v>
      </c>
      <c r="K542" s="66" t="s">
        <v>7</v>
      </c>
      <c r="L542" s="66" t="s">
        <v>89</v>
      </c>
      <c r="M542" s="67" t="s">
        <v>2111</v>
      </c>
      <c r="N542" s="66" t="s">
        <v>2119</v>
      </c>
      <c r="O542" s="66" t="s">
        <v>7</v>
      </c>
      <c r="P542" s="66" t="s">
        <v>89</v>
      </c>
      <c r="Q542" s="66" t="s">
        <v>5002</v>
      </c>
      <c r="R542" s="67" cm="1">
        <f t="array" aca="1" ref="R542" ca="1">_xlfn.CHOOSECOLS(_xlfn.CHOOSEROWS(_xlfn._xlws.FILTER(표2[],표2[DWG No.]=C542,""),1),6)</f>
        <v>42972</v>
      </c>
      <c r="S542" s="67" cm="1">
        <f t="array" aca="1" ref="S542" ca="1">_xlfn.CHOOSECOLS(_xlfn.CHOOSEROWS(_xlfn._xlws.FILTER(표2[],(표2[DWG No.]=C542)*(ISNUMBER(표2[Rev.])),""),1),6)</f>
        <v>43084</v>
      </c>
    </row>
    <row r="543" spans="1:19" ht="18" customHeight="1" x14ac:dyDescent="0.45">
      <c r="A543" s="64">
        <v>538</v>
      </c>
      <c r="B543" s="49" t="s">
        <v>57</v>
      </c>
      <c r="C543" s="65" t="s">
        <v>2120</v>
      </c>
      <c r="D543" s="66" t="s">
        <v>2121</v>
      </c>
      <c r="E543" s="65" t="s">
        <v>2122</v>
      </c>
      <c r="F543" s="66" t="s">
        <v>6</v>
      </c>
      <c r="G543" s="67">
        <v>42826</v>
      </c>
      <c r="H543" s="67">
        <v>43039</v>
      </c>
      <c r="I543" s="67">
        <v>43021</v>
      </c>
      <c r="J543" s="66" t="s">
        <v>2092</v>
      </c>
      <c r="K543" s="66" t="s">
        <v>7</v>
      </c>
      <c r="L543" s="66" t="s">
        <v>62</v>
      </c>
      <c r="M543" s="67" t="s">
        <v>362</v>
      </c>
      <c r="N543" s="66" t="s">
        <v>2123</v>
      </c>
      <c r="O543" s="66" t="s">
        <v>7</v>
      </c>
      <c r="P543" s="66" t="s">
        <v>62</v>
      </c>
      <c r="Q543" s="66" t="s">
        <v>5003</v>
      </c>
      <c r="R543" s="67" cm="1">
        <f t="array" aca="1" ref="R543" ca="1">_xlfn.CHOOSECOLS(_xlfn.CHOOSEROWS(_xlfn._xlws.FILTER(표2[],표2[DWG No.]=C543,""),1),6)</f>
        <v>42872</v>
      </c>
      <c r="S543" s="67" cm="1">
        <f t="array" aca="1" ref="S543" ca="1">_xlfn.CHOOSECOLS(_xlfn.CHOOSEROWS(_xlfn._xlws.FILTER(표2[],(표2[DWG No.]=C543)*(ISNUMBER(표2[Rev.])),""),1),6)</f>
        <v>43021</v>
      </c>
    </row>
    <row r="544" spans="1:19" ht="18" customHeight="1" x14ac:dyDescent="0.45">
      <c r="A544" s="64">
        <v>539</v>
      </c>
      <c r="B544" s="49" t="s">
        <v>57</v>
      </c>
      <c r="C544" s="65" t="s">
        <v>2124</v>
      </c>
      <c r="D544" s="66" t="s">
        <v>2125</v>
      </c>
      <c r="E544" s="65" t="s">
        <v>2126</v>
      </c>
      <c r="F544" s="66" t="s">
        <v>5</v>
      </c>
      <c r="G544" s="67">
        <v>43224</v>
      </c>
      <c r="H544" s="67">
        <v>43280</v>
      </c>
      <c r="I544" s="67">
        <v>43363</v>
      </c>
      <c r="J544" s="66" t="s">
        <v>2617</v>
      </c>
      <c r="K544" s="66" t="s">
        <v>7</v>
      </c>
      <c r="L544" s="66" t="s">
        <v>62</v>
      </c>
      <c r="M544" s="67" t="s">
        <v>2541</v>
      </c>
      <c r="N544" s="66" t="s">
        <v>2618</v>
      </c>
      <c r="O544" s="66" t="s">
        <v>7</v>
      </c>
      <c r="P544" s="66" t="s">
        <v>62</v>
      </c>
      <c r="Q544" s="66" t="s">
        <v>65</v>
      </c>
      <c r="R544" s="67" t="e" cm="1">
        <f t="array" ref="R544">_xlfn.CHOOSECOLS(_xlfn.CHOOSEROWS(_xlfn._xlws.FILTER(표2[],표2[DWG No.]=C544,""),1),6)</f>
        <v>#VALUE!</v>
      </c>
      <c r="S544" s="67" t="e" cm="1">
        <f t="array" ref="S544">_xlfn.CHOOSECOLS(_xlfn.CHOOSEROWS(_xlfn._xlws.FILTER(표2[],(표2[DWG No.]=C544)*(ISNUMBER(표2[Rev.])),""),1),6)</f>
        <v>#VALUE!</v>
      </c>
    </row>
    <row r="545" spans="1:19" ht="18" customHeight="1" x14ac:dyDescent="0.45">
      <c r="A545" s="64">
        <v>540</v>
      </c>
      <c r="B545" s="49" t="s">
        <v>57</v>
      </c>
      <c r="C545" s="65" t="s">
        <v>2127</v>
      </c>
      <c r="D545" s="66" t="s">
        <v>2128</v>
      </c>
      <c r="E545" s="65" t="s">
        <v>2129</v>
      </c>
      <c r="F545" s="66" t="s">
        <v>6</v>
      </c>
      <c r="G545" s="67">
        <v>42826</v>
      </c>
      <c r="H545" s="67">
        <v>43039</v>
      </c>
      <c r="I545" s="67">
        <v>43084</v>
      </c>
      <c r="J545" s="66" t="s">
        <v>2101</v>
      </c>
      <c r="K545" s="66" t="s">
        <v>7</v>
      </c>
      <c r="L545" s="66" t="s">
        <v>62</v>
      </c>
      <c r="M545" s="67" t="s">
        <v>155</v>
      </c>
      <c r="N545" s="66" t="s">
        <v>2130</v>
      </c>
      <c r="O545" s="66" t="s">
        <v>7</v>
      </c>
      <c r="P545" s="66" t="s">
        <v>62</v>
      </c>
      <c r="Q545" s="66" t="s">
        <v>5002</v>
      </c>
      <c r="R545" s="67" cm="1">
        <f t="array" aca="1" ref="R545" ca="1">_xlfn.CHOOSECOLS(_xlfn.CHOOSEROWS(_xlfn._xlws.FILTER(표2[],표2[DWG No.]=C545,""),1),6)</f>
        <v>42872</v>
      </c>
      <c r="S545" s="67" cm="1">
        <f t="array" aca="1" ref="S545" ca="1">_xlfn.CHOOSECOLS(_xlfn.CHOOSEROWS(_xlfn._xlws.FILTER(표2[],(표2[DWG No.]=C545)*(ISNUMBER(표2[Rev.])),""),1),6)</f>
        <v>43084</v>
      </c>
    </row>
    <row r="546" spans="1:19" ht="18" customHeight="1" x14ac:dyDescent="0.45">
      <c r="A546" s="64">
        <v>541</v>
      </c>
      <c r="B546" s="49" t="s">
        <v>57</v>
      </c>
      <c r="C546" s="65" t="s">
        <v>2131</v>
      </c>
      <c r="D546" s="66" t="s">
        <v>2132</v>
      </c>
      <c r="E546" s="65" t="s">
        <v>2133</v>
      </c>
      <c r="F546" s="66" t="s">
        <v>6</v>
      </c>
      <c r="G546" s="67">
        <v>42826</v>
      </c>
      <c r="H546" s="67">
        <v>43039</v>
      </c>
      <c r="I546" s="67">
        <v>43084</v>
      </c>
      <c r="J546" s="66" t="s">
        <v>2101</v>
      </c>
      <c r="K546" s="66" t="s">
        <v>7</v>
      </c>
      <c r="L546" s="66" t="s">
        <v>62</v>
      </c>
      <c r="M546" s="67" t="s">
        <v>155</v>
      </c>
      <c r="N546" s="66" t="s">
        <v>2134</v>
      </c>
      <c r="O546" s="66" t="s">
        <v>7</v>
      </c>
      <c r="P546" s="66" t="s">
        <v>62</v>
      </c>
      <c r="Q546" s="66" t="s">
        <v>5002</v>
      </c>
      <c r="R546" s="67" cm="1">
        <f t="array" aca="1" ref="R546" ca="1">_xlfn.CHOOSECOLS(_xlfn.CHOOSEROWS(_xlfn._xlws.FILTER(표2[],표2[DWG No.]=C546,""),1),6)</f>
        <v>42872</v>
      </c>
      <c r="S546" s="67" cm="1">
        <f t="array" aca="1" ref="S546" ca="1">_xlfn.CHOOSECOLS(_xlfn.CHOOSEROWS(_xlfn._xlws.FILTER(표2[],(표2[DWG No.]=C546)*(ISNUMBER(표2[Rev.])),""),1),6)</f>
        <v>43084</v>
      </c>
    </row>
    <row r="547" spans="1:19" ht="18" customHeight="1" x14ac:dyDescent="0.45">
      <c r="A547" s="64">
        <v>542</v>
      </c>
      <c r="B547" s="49" t="s">
        <v>57</v>
      </c>
      <c r="C547" s="65" t="s">
        <v>2135</v>
      </c>
      <c r="D547" s="66" t="s">
        <v>2136</v>
      </c>
      <c r="E547" s="65" t="s">
        <v>2137</v>
      </c>
      <c r="F547" s="66" t="s">
        <v>6</v>
      </c>
      <c r="G547" s="67">
        <v>42826</v>
      </c>
      <c r="H547" s="67">
        <v>43039</v>
      </c>
      <c r="I547" s="67">
        <v>43084</v>
      </c>
      <c r="J547" s="66" t="s">
        <v>2101</v>
      </c>
      <c r="K547" s="66" t="s">
        <v>7</v>
      </c>
      <c r="L547" s="66" t="s">
        <v>62</v>
      </c>
      <c r="M547" s="67" t="s">
        <v>155</v>
      </c>
      <c r="N547" s="66" t="s">
        <v>2138</v>
      </c>
      <c r="O547" s="66" t="s">
        <v>7</v>
      </c>
      <c r="P547" s="66" t="s">
        <v>62</v>
      </c>
      <c r="Q547" s="66" t="s">
        <v>5002</v>
      </c>
      <c r="R547" s="67" cm="1">
        <f t="array" aca="1" ref="R547" ca="1">_xlfn.CHOOSECOLS(_xlfn.CHOOSEROWS(_xlfn._xlws.FILTER(표2[],표2[DWG No.]=C547,""),1),6)</f>
        <v>42872</v>
      </c>
      <c r="S547" s="67" cm="1">
        <f t="array" aca="1" ref="S547" ca="1">_xlfn.CHOOSECOLS(_xlfn.CHOOSEROWS(_xlfn._xlws.FILTER(표2[],(표2[DWG No.]=C547)*(ISNUMBER(표2[Rev.])),""),1),6)</f>
        <v>43084</v>
      </c>
    </row>
    <row r="548" spans="1:19" ht="18" customHeight="1" x14ac:dyDescent="0.45">
      <c r="A548" s="64">
        <v>543</v>
      </c>
      <c r="B548" s="49" t="s">
        <v>57</v>
      </c>
      <c r="C548" s="65" t="s">
        <v>2139</v>
      </c>
      <c r="D548" s="66" t="s">
        <v>2140</v>
      </c>
      <c r="E548" s="65" t="s">
        <v>2141</v>
      </c>
      <c r="F548" s="66" t="s">
        <v>5</v>
      </c>
      <c r="G548" s="67">
        <v>42887</v>
      </c>
      <c r="H548" s="67">
        <v>43039</v>
      </c>
      <c r="I548" s="67">
        <v>43052</v>
      </c>
      <c r="J548" s="66" t="s">
        <v>2142</v>
      </c>
      <c r="K548" s="66" t="s">
        <v>7</v>
      </c>
      <c r="L548" s="66" t="s">
        <v>62</v>
      </c>
      <c r="M548" s="67" t="s">
        <v>715</v>
      </c>
      <c r="N548" s="66" t="s">
        <v>2143</v>
      </c>
      <c r="O548" s="66" t="s">
        <v>7</v>
      </c>
      <c r="P548" s="66" t="s">
        <v>62</v>
      </c>
      <c r="Q548" s="66" t="s">
        <v>5002</v>
      </c>
      <c r="R548" s="67" cm="1">
        <f t="array" aca="1" ref="R548" ca="1">_xlfn.CHOOSECOLS(_xlfn.CHOOSEROWS(_xlfn._xlws.FILTER(표2[],표2[DWG No.]=C548,""),1),6)</f>
        <v>42972</v>
      </c>
      <c r="S548" s="67" cm="1">
        <f t="array" aca="1" ref="S548" ca="1">_xlfn.CHOOSECOLS(_xlfn.CHOOSEROWS(_xlfn._xlws.FILTER(표2[],(표2[DWG No.]=C548)*(ISNUMBER(표2[Rev.])),""),1),6)</f>
        <v>43052</v>
      </c>
    </row>
    <row r="549" spans="1:19" ht="18" customHeight="1" x14ac:dyDescent="0.45">
      <c r="A549" s="64">
        <v>544</v>
      </c>
      <c r="B549" s="49" t="s">
        <v>57</v>
      </c>
      <c r="C549" s="65" t="s">
        <v>2144</v>
      </c>
      <c r="D549" s="66" t="s">
        <v>2145</v>
      </c>
      <c r="E549" s="65" t="s">
        <v>2146</v>
      </c>
      <c r="F549" s="66" t="s">
        <v>6</v>
      </c>
      <c r="G549" s="67">
        <v>42887</v>
      </c>
      <c r="H549" s="67">
        <v>43039</v>
      </c>
      <c r="I549" s="67">
        <v>43852</v>
      </c>
      <c r="J549" s="66" t="s">
        <v>2810</v>
      </c>
      <c r="K549" s="66" t="s">
        <v>7</v>
      </c>
      <c r="L549" s="66" t="s">
        <v>230</v>
      </c>
      <c r="M549" s="67" t="s">
        <v>2872</v>
      </c>
      <c r="N549" s="66" t="s">
        <v>2891</v>
      </c>
      <c r="O549" s="66" t="s">
        <v>7</v>
      </c>
      <c r="P549" s="66" t="s">
        <v>230</v>
      </c>
      <c r="Q549" s="66" t="s">
        <v>65</v>
      </c>
      <c r="R549" s="67" cm="1">
        <f t="array" aca="1" ref="R549" ca="1">_xlfn.CHOOSECOLS(_xlfn.CHOOSEROWS(_xlfn._xlws.FILTER(표2[],표2[DWG No.]=C549,""),1),6)</f>
        <v>42972</v>
      </c>
      <c r="S549" s="67" cm="1">
        <f t="array" aca="1" ref="S549" ca="1">_xlfn.CHOOSECOLS(_xlfn.CHOOSEROWS(_xlfn._xlws.FILTER(표2[],(표2[DWG No.]=C549)*(ISNUMBER(표2[Rev.])),""),1),6)</f>
        <v>43084</v>
      </c>
    </row>
    <row r="550" spans="1:19" ht="18" customHeight="1" x14ac:dyDescent="0.45">
      <c r="A550" s="64">
        <v>545</v>
      </c>
      <c r="B550" s="49" t="s">
        <v>57</v>
      </c>
      <c r="C550" s="65" t="s">
        <v>2148</v>
      </c>
      <c r="D550" s="66" t="s">
        <v>2149</v>
      </c>
      <c r="E550" s="65" t="s">
        <v>2150</v>
      </c>
      <c r="F550" s="66" t="s">
        <v>6</v>
      </c>
      <c r="G550" s="67">
        <v>42887</v>
      </c>
      <c r="H550" s="67">
        <v>43039</v>
      </c>
      <c r="I550" s="67">
        <v>43117</v>
      </c>
      <c r="J550" s="66" t="s">
        <v>2147</v>
      </c>
      <c r="K550" s="66" t="s">
        <v>7</v>
      </c>
      <c r="L550" s="66" t="s">
        <v>89</v>
      </c>
      <c r="M550" s="67" t="s">
        <v>2111</v>
      </c>
      <c r="N550" s="66" t="s">
        <v>2151</v>
      </c>
      <c r="O550" s="66" t="s">
        <v>7</v>
      </c>
      <c r="P550" s="66" t="s">
        <v>89</v>
      </c>
      <c r="Q550" s="66" t="s">
        <v>5002</v>
      </c>
      <c r="R550" s="67" cm="1">
        <f t="array" aca="1" ref="R550" ca="1">_xlfn.CHOOSECOLS(_xlfn.CHOOSEROWS(_xlfn._xlws.FILTER(표2[],표2[DWG No.]=C550,""),1),6)</f>
        <v>42972</v>
      </c>
      <c r="S550" s="67" cm="1">
        <f t="array" aca="1" ref="S550" ca="1">_xlfn.CHOOSECOLS(_xlfn.CHOOSEROWS(_xlfn._xlws.FILTER(표2[],(표2[DWG No.]=C550)*(ISNUMBER(표2[Rev.])),""),1),6)</f>
        <v>43084</v>
      </c>
    </row>
    <row r="551" spans="1:19" ht="18" customHeight="1" x14ac:dyDescent="0.45">
      <c r="A551" s="64">
        <v>546</v>
      </c>
      <c r="B551" s="49" t="s">
        <v>57</v>
      </c>
      <c r="C551" s="65" t="s">
        <v>2152</v>
      </c>
      <c r="D551" s="66" t="s">
        <v>2153</v>
      </c>
      <c r="E551" s="65" t="s">
        <v>2154</v>
      </c>
      <c r="F551" s="66" t="s">
        <v>6</v>
      </c>
      <c r="G551" s="67">
        <v>42887</v>
      </c>
      <c r="H551" s="67">
        <v>43039</v>
      </c>
      <c r="I551" s="67">
        <v>43117</v>
      </c>
      <c r="J551" s="66" t="s">
        <v>2147</v>
      </c>
      <c r="K551" s="66" t="s">
        <v>7</v>
      </c>
      <c r="L551" s="66" t="s">
        <v>89</v>
      </c>
      <c r="M551" s="67" t="s">
        <v>2111</v>
      </c>
      <c r="N551" s="66" t="s">
        <v>2155</v>
      </c>
      <c r="O551" s="66" t="s">
        <v>7</v>
      </c>
      <c r="P551" s="66" t="s">
        <v>89</v>
      </c>
      <c r="Q551" s="66" t="s">
        <v>5002</v>
      </c>
      <c r="R551" s="67" cm="1">
        <f t="array" aca="1" ref="R551" ca="1">_xlfn.CHOOSECOLS(_xlfn.CHOOSEROWS(_xlfn._xlws.FILTER(표2[],표2[DWG No.]=C551,""),1),6)</f>
        <v>42972</v>
      </c>
      <c r="S551" s="67" cm="1">
        <f t="array" aca="1" ref="S551" ca="1">_xlfn.CHOOSECOLS(_xlfn.CHOOSEROWS(_xlfn._xlws.FILTER(표2[],(표2[DWG No.]=C551)*(ISNUMBER(표2[Rev.])),""),1),6)</f>
        <v>43084</v>
      </c>
    </row>
    <row r="552" spans="1:19" ht="18" customHeight="1" x14ac:dyDescent="0.45">
      <c r="A552" s="64">
        <v>547</v>
      </c>
      <c r="B552" s="49" t="s">
        <v>57</v>
      </c>
      <c r="C552" s="65" t="s">
        <v>2156</v>
      </c>
      <c r="D552" s="66" t="s">
        <v>2157</v>
      </c>
      <c r="E552" s="65" t="s">
        <v>2158</v>
      </c>
      <c r="F552" s="66" t="s">
        <v>6</v>
      </c>
      <c r="G552" s="67">
        <v>42826</v>
      </c>
      <c r="H552" s="67">
        <v>43039</v>
      </c>
      <c r="I552" s="67">
        <v>43021</v>
      </c>
      <c r="J552" s="66" t="s">
        <v>2092</v>
      </c>
      <c r="K552" s="66" t="s">
        <v>7</v>
      </c>
      <c r="L552" s="66" t="s">
        <v>62</v>
      </c>
      <c r="M552" s="67" t="s">
        <v>362</v>
      </c>
      <c r="N552" s="66" t="s">
        <v>2159</v>
      </c>
      <c r="O552" s="66" t="s">
        <v>7</v>
      </c>
      <c r="P552" s="66" t="s">
        <v>62</v>
      </c>
      <c r="Q552" s="66" t="s">
        <v>5003</v>
      </c>
      <c r="R552" s="67" cm="1">
        <f t="array" aca="1" ref="R552" ca="1">_xlfn.CHOOSECOLS(_xlfn.CHOOSEROWS(_xlfn._xlws.FILTER(표2[],표2[DWG No.]=C552,""),1),6)</f>
        <v>42872</v>
      </c>
      <c r="S552" s="67" cm="1">
        <f t="array" aca="1" ref="S552" ca="1">_xlfn.CHOOSECOLS(_xlfn.CHOOSEROWS(_xlfn._xlws.FILTER(표2[],(표2[DWG No.]=C552)*(ISNUMBER(표2[Rev.])),""),1),6)</f>
        <v>43021</v>
      </c>
    </row>
    <row r="553" spans="1:19" ht="18" customHeight="1" x14ac:dyDescent="0.45">
      <c r="A553" s="64">
        <v>548</v>
      </c>
      <c r="B553" s="49" t="s">
        <v>57</v>
      </c>
      <c r="C553" s="65" t="s">
        <v>2160</v>
      </c>
      <c r="D553" s="66" t="s">
        <v>2161</v>
      </c>
      <c r="E553" s="65" t="s">
        <v>2162</v>
      </c>
      <c r="F553" s="66" t="s">
        <v>5</v>
      </c>
      <c r="G553" s="67">
        <v>43281</v>
      </c>
      <c r="H553" s="67">
        <v>43312</v>
      </c>
      <c r="I553" s="67">
        <v>43489</v>
      </c>
      <c r="J553" s="66" t="s">
        <v>2672</v>
      </c>
      <c r="K553" s="66" t="s">
        <v>7</v>
      </c>
      <c r="L553" s="66" t="s">
        <v>62</v>
      </c>
      <c r="M553" s="67" t="s">
        <v>2673</v>
      </c>
      <c r="N553" s="66" t="s">
        <v>2674</v>
      </c>
      <c r="O553" s="66" t="s">
        <v>7</v>
      </c>
      <c r="P553" s="66" t="s">
        <v>62</v>
      </c>
      <c r="Q553" s="66" t="s">
        <v>65</v>
      </c>
      <c r="R553" s="67" t="e" cm="1">
        <f t="array" ref="R553">_xlfn.CHOOSECOLS(_xlfn.CHOOSEROWS(_xlfn._xlws.FILTER(표2[],표2[DWG No.]=C553,""),1),6)</f>
        <v>#VALUE!</v>
      </c>
      <c r="S553" s="67" t="e" cm="1">
        <f t="array" ref="S553">_xlfn.CHOOSECOLS(_xlfn.CHOOSEROWS(_xlfn._xlws.FILTER(표2[],(표2[DWG No.]=C553)*(ISNUMBER(표2[Rev.])),""),1),6)</f>
        <v>#VALUE!</v>
      </c>
    </row>
    <row r="554" spans="1:19" ht="18" customHeight="1" x14ac:dyDescent="0.45">
      <c r="A554" s="64">
        <v>549</v>
      </c>
      <c r="B554" s="49" t="s">
        <v>57</v>
      </c>
      <c r="C554" s="65" t="s">
        <v>2163</v>
      </c>
      <c r="D554" s="66" t="s">
        <v>2164</v>
      </c>
      <c r="E554" s="65" t="s">
        <v>2165</v>
      </c>
      <c r="F554" s="66" t="s">
        <v>6</v>
      </c>
      <c r="G554" s="67">
        <v>42826</v>
      </c>
      <c r="H554" s="67">
        <v>43039</v>
      </c>
      <c r="I554" s="67">
        <v>43021</v>
      </c>
      <c r="J554" s="66" t="s">
        <v>2092</v>
      </c>
      <c r="K554" s="66" t="s">
        <v>7</v>
      </c>
      <c r="L554" s="66" t="s">
        <v>62</v>
      </c>
      <c r="M554" s="67" t="s">
        <v>362</v>
      </c>
      <c r="N554" s="66" t="s">
        <v>2166</v>
      </c>
      <c r="O554" s="66" t="s">
        <v>7</v>
      </c>
      <c r="P554" s="66" t="s">
        <v>62</v>
      </c>
      <c r="Q554" s="66" t="s">
        <v>5002</v>
      </c>
      <c r="R554" s="67" cm="1">
        <f t="array" aca="1" ref="R554" ca="1">_xlfn.CHOOSECOLS(_xlfn.CHOOSEROWS(_xlfn._xlws.FILTER(표2[],표2[DWG No.]=C554,""),1),6)</f>
        <v>42872</v>
      </c>
      <c r="S554" s="67" cm="1">
        <f t="array" aca="1" ref="S554" ca="1">_xlfn.CHOOSECOLS(_xlfn.CHOOSEROWS(_xlfn._xlws.FILTER(표2[],(표2[DWG No.]=C554)*(ISNUMBER(표2[Rev.])),""),1),6)</f>
        <v>43021</v>
      </c>
    </row>
    <row r="555" spans="1:19" ht="18" customHeight="1" x14ac:dyDescent="0.45">
      <c r="A555" s="64">
        <v>550</v>
      </c>
      <c r="B555" s="49" t="s">
        <v>57</v>
      </c>
      <c r="C555" s="65" t="s">
        <v>2167</v>
      </c>
      <c r="D555" s="66" t="s">
        <v>2168</v>
      </c>
      <c r="E555" s="65" t="s">
        <v>2169</v>
      </c>
      <c r="F555" s="66" t="s">
        <v>6</v>
      </c>
      <c r="G555" s="67">
        <v>42826</v>
      </c>
      <c r="H555" s="67">
        <v>43039</v>
      </c>
      <c r="I555" s="67">
        <v>43084</v>
      </c>
      <c r="J555" s="66" t="s">
        <v>2101</v>
      </c>
      <c r="K555" s="66" t="s">
        <v>7</v>
      </c>
      <c r="L555" s="66" t="s">
        <v>62</v>
      </c>
      <c r="M555" s="67" t="s">
        <v>155</v>
      </c>
      <c r="N555" s="66" t="s">
        <v>2170</v>
      </c>
      <c r="O555" s="66" t="s">
        <v>7</v>
      </c>
      <c r="P555" s="66" t="s">
        <v>62</v>
      </c>
      <c r="Q555" s="66" t="s">
        <v>5002</v>
      </c>
      <c r="R555" s="67" cm="1">
        <f t="array" aca="1" ref="R555" ca="1">_xlfn.CHOOSECOLS(_xlfn.CHOOSEROWS(_xlfn._xlws.FILTER(표2[],표2[DWG No.]=C555,""),1),6)</f>
        <v>42872</v>
      </c>
      <c r="S555" s="67" cm="1">
        <f t="array" aca="1" ref="S555" ca="1">_xlfn.CHOOSECOLS(_xlfn.CHOOSEROWS(_xlfn._xlws.FILTER(표2[],(표2[DWG No.]=C555)*(ISNUMBER(표2[Rev.])),""),1),6)</f>
        <v>43084</v>
      </c>
    </row>
    <row r="556" spans="1:19" ht="18" customHeight="1" x14ac:dyDescent="0.45">
      <c r="A556" s="64">
        <v>551</v>
      </c>
      <c r="B556" s="49" t="s">
        <v>57</v>
      </c>
      <c r="C556" s="65" t="s">
        <v>2171</v>
      </c>
      <c r="D556" s="66" t="s">
        <v>2172</v>
      </c>
      <c r="E556" s="65" t="s">
        <v>2173</v>
      </c>
      <c r="F556" s="66" t="s">
        <v>6</v>
      </c>
      <c r="G556" s="67">
        <v>42826</v>
      </c>
      <c r="H556" s="67">
        <v>43039</v>
      </c>
      <c r="I556" s="67">
        <v>43021</v>
      </c>
      <c r="J556" s="66" t="s">
        <v>2092</v>
      </c>
      <c r="K556" s="66" t="s">
        <v>7</v>
      </c>
      <c r="L556" s="66" t="s">
        <v>62</v>
      </c>
      <c r="M556" s="67" t="s">
        <v>362</v>
      </c>
      <c r="N556" s="66" t="s">
        <v>2174</v>
      </c>
      <c r="O556" s="66" t="s">
        <v>7</v>
      </c>
      <c r="P556" s="66" t="s">
        <v>62</v>
      </c>
      <c r="Q556" s="66" t="s">
        <v>5003</v>
      </c>
      <c r="R556" s="67" cm="1">
        <f t="array" aca="1" ref="R556" ca="1">_xlfn.CHOOSECOLS(_xlfn.CHOOSEROWS(_xlfn._xlws.FILTER(표2[],표2[DWG No.]=C556,""),1),6)</f>
        <v>42872</v>
      </c>
      <c r="S556" s="67" cm="1">
        <f t="array" aca="1" ref="S556" ca="1">_xlfn.CHOOSECOLS(_xlfn.CHOOSEROWS(_xlfn._xlws.FILTER(표2[],(표2[DWG No.]=C556)*(ISNUMBER(표2[Rev.])),""),1),6)</f>
        <v>43021</v>
      </c>
    </row>
    <row r="557" spans="1:19" ht="18" customHeight="1" x14ac:dyDescent="0.45">
      <c r="A557" s="64">
        <v>552</v>
      </c>
      <c r="B557" s="49" t="s">
        <v>57</v>
      </c>
      <c r="C557" s="65" t="s">
        <v>2175</v>
      </c>
      <c r="D557" s="66" t="s">
        <v>2176</v>
      </c>
      <c r="E557" s="65" t="s">
        <v>2177</v>
      </c>
      <c r="F557" s="66" t="s">
        <v>5</v>
      </c>
      <c r="G557" s="67">
        <v>43224</v>
      </c>
      <c r="H557" s="67">
        <v>43280</v>
      </c>
      <c r="I557" s="67">
        <v>43363</v>
      </c>
      <c r="J557" s="66" t="s">
        <v>2617</v>
      </c>
      <c r="K557" s="66" t="s">
        <v>7</v>
      </c>
      <c r="L557" s="66" t="s">
        <v>62</v>
      </c>
      <c r="M557" s="67" t="s">
        <v>2541</v>
      </c>
      <c r="N557" s="66" t="s">
        <v>2619</v>
      </c>
      <c r="O557" s="66" t="s">
        <v>7</v>
      </c>
      <c r="P557" s="66" t="s">
        <v>62</v>
      </c>
      <c r="Q557" s="66" t="s">
        <v>65</v>
      </c>
      <c r="R557" s="67" t="e" cm="1">
        <f t="array" ref="R557">_xlfn.CHOOSECOLS(_xlfn.CHOOSEROWS(_xlfn._xlws.FILTER(표2[],표2[DWG No.]=C557,""),1),6)</f>
        <v>#VALUE!</v>
      </c>
      <c r="S557" s="67" t="e" cm="1">
        <f t="array" ref="S557">_xlfn.CHOOSECOLS(_xlfn.CHOOSEROWS(_xlfn._xlws.FILTER(표2[],(표2[DWG No.]=C557)*(ISNUMBER(표2[Rev.])),""),1),6)</f>
        <v>#VALUE!</v>
      </c>
    </row>
    <row r="558" spans="1:19" ht="18" customHeight="1" x14ac:dyDescent="0.45">
      <c r="A558" s="64">
        <v>553</v>
      </c>
      <c r="B558" s="49" t="s">
        <v>57</v>
      </c>
      <c r="C558" s="65" t="s">
        <v>2178</v>
      </c>
      <c r="D558" s="66" t="s">
        <v>2179</v>
      </c>
      <c r="E558" s="65" t="s">
        <v>2180</v>
      </c>
      <c r="F558" s="66" t="s">
        <v>6</v>
      </c>
      <c r="G558" s="67">
        <v>42916</v>
      </c>
      <c r="H558" s="67">
        <v>42986</v>
      </c>
      <c r="I558" s="67">
        <v>43091</v>
      </c>
      <c r="J558" s="66" t="s">
        <v>2181</v>
      </c>
      <c r="K558" s="66" t="s">
        <v>7</v>
      </c>
      <c r="L558" s="66" t="s">
        <v>230</v>
      </c>
      <c r="M558" s="67" t="s">
        <v>155</v>
      </c>
      <c r="N558" s="66" t="s">
        <v>2182</v>
      </c>
      <c r="O558" s="66" t="s">
        <v>7</v>
      </c>
      <c r="P558" s="66" t="s">
        <v>230</v>
      </c>
      <c r="Q558" s="66" t="s">
        <v>5002</v>
      </c>
      <c r="R558" s="67" cm="1">
        <f t="array" aca="1" ref="R558" ca="1">_xlfn.CHOOSECOLS(_xlfn.CHOOSEROWS(_xlfn._xlws.FILTER(표2[],표2[DWG No.]=C558,""),1),6)</f>
        <v>42929</v>
      </c>
      <c r="S558" s="67" cm="1">
        <f t="array" aca="1" ref="S558" ca="1">_xlfn.CHOOSECOLS(_xlfn.CHOOSEROWS(_xlfn._xlws.FILTER(표2[],(표2[DWG No.]=C558)*(ISNUMBER(표2[Rev.])),""),1),6)</f>
        <v>43007</v>
      </c>
    </row>
    <row r="559" spans="1:19" ht="18" customHeight="1" x14ac:dyDescent="0.45">
      <c r="A559" s="64">
        <v>554</v>
      </c>
      <c r="B559" s="49" t="s">
        <v>57</v>
      </c>
      <c r="C559" s="65" t="s">
        <v>2183</v>
      </c>
      <c r="D559" s="66" t="s">
        <v>2184</v>
      </c>
      <c r="E559" s="65" t="s">
        <v>2185</v>
      </c>
      <c r="F559" s="66" t="s">
        <v>6</v>
      </c>
      <c r="G559" s="67">
        <v>42902</v>
      </c>
      <c r="H559" s="67">
        <v>42986</v>
      </c>
      <c r="I559" s="67">
        <v>43117</v>
      </c>
      <c r="J559" s="66" t="s">
        <v>2186</v>
      </c>
      <c r="K559" s="66" t="s">
        <v>7</v>
      </c>
      <c r="L559" s="66" t="s">
        <v>89</v>
      </c>
      <c r="M559" s="67" t="s">
        <v>155</v>
      </c>
      <c r="N559" s="66" t="s">
        <v>2187</v>
      </c>
      <c r="O559" s="66" t="s">
        <v>7</v>
      </c>
      <c r="P559" s="66" t="s">
        <v>89</v>
      </c>
      <c r="Q559" s="66" t="s">
        <v>5002</v>
      </c>
      <c r="R559" s="67" cm="1">
        <f t="array" aca="1" ref="R559" ca="1">_xlfn.CHOOSECOLS(_xlfn.CHOOSEROWS(_xlfn._xlws.FILTER(표2[],표2[DWG No.]=C559,""),1),6)</f>
        <v>42906</v>
      </c>
      <c r="S559" s="67" cm="1">
        <f t="array" aca="1" ref="S559" ca="1">_xlfn.CHOOSECOLS(_xlfn.CHOOSEROWS(_xlfn._xlws.FILTER(표2[],(표2[DWG No.]=C559)*(ISNUMBER(표2[Rev.])),""),1),6)</f>
        <v>43007</v>
      </c>
    </row>
    <row r="560" spans="1:19" ht="18" customHeight="1" x14ac:dyDescent="0.45">
      <c r="A560" s="64">
        <v>555</v>
      </c>
      <c r="B560" s="49" t="s">
        <v>57</v>
      </c>
      <c r="C560" s="65" t="s">
        <v>2188</v>
      </c>
      <c r="D560" s="66" t="s">
        <v>2189</v>
      </c>
      <c r="E560" s="65" t="s">
        <v>2190</v>
      </c>
      <c r="F560" s="66" t="s">
        <v>5</v>
      </c>
      <c r="G560" s="67">
        <v>42916</v>
      </c>
      <c r="H560" s="67">
        <v>42986</v>
      </c>
      <c r="I560" s="67">
        <v>43034</v>
      </c>
      <c r="J560" s="66" t="s">
        <v>2191</v>
      </c>
      <c r="K560" s="66" t="s">
        <v>7</v>
      </c>
      <c r="L560" s="66" t="s">
        <v>62</v>
      </c>
      <c r="M560" s="67" t="s">
        <v>90</v>
      </c>
      <c r="N560" s="66" t="s">
        <v>2192</v>
      </c>
      <c r="O560" s="66" t="s">
        <v>7</v>
      </c>
      <c r="P560" s="66" t="s">
        <v>62</v>
      </c>
      <c r="Q560" s="66" t="s">
        <v>5002</v>
      </c>
      <c r="R560" s="67" cm="1">
        <f t="array" aca="1" ref="R560" ca="1">_xlfn.CHOOSECOLS(_xlfn.CHOOSEROWS(_xlfn._xlws.FILTER(표2[],표2[DWG No.]=C560,""),1),6)</f>
        <v>42968</v>
      </c>
      <c r="S560" s="67" cm="1">
        <f t="array" aca="1" ref="S560" ca="1">_xlfn.CHOOSECOLS(_xlfn.CHOOSEROWS(_xlfn._xlws.FILTER(표2[],(표2[DWG No.]=C560)*(ISNUMBER(표2[Rev.])),""),1),6)</f>
        <v>43034</v>
      </c>
    </row>
    <row r="561" spans="1:19" ht="18" customHeight="1" x14ac:dyDescent="0.45">
      <c r="A561" s="64">
        <v>556</v>
      </c>
      <c r="B561" s="49" t="s">
        <v>57</v>
      </c>
      <c r="C561" s="65" t="s">
        <v>2193</v>
      </c>
      <c r="D561" s="66" t="s">
        <v>2194</v>
      </c>
      <c r="E561" s="65" t="s">
        <v>2195</v>
      </c>
      <c r="F561" s="66" t="s">
        <v>5</v>
      </c>
      <c r="G561" s="67">
        <v>42923</v>
      </c>
      <c r="H561" s="67">
        <v>42986</v>
      </c>
      <c r="I561" s="67">
        <v>43034</v>
      </c>
      <c r="J561" s="66" t="s">
        <v>2191</v>
      </c>
      <c r="K561" s="66" t="s">
        <v>7</v>
      </c>
      <c r="L561" s="66" t="s">
        <v>62</v>
      </c>
      <c r="M561" s="67" t="s">
        <v>90</v>
      </c>
      <c r="N561" s="66" t="s">
        <v>2196</v>
      </c>
      <c r="O561" s="66" t="s">
        <v>7</v>
      </c>
      <c r="P561" s="66" t="s">
        <v>62</v>
      </c>
      <c r="Q561" s="66" t="s">
        <v>5002</v>
      </c>
      <c r="R561" s="67" cm="1">
        <f t="array" aca="1" ref="R561" ca="1">_xlfn.CHOOSECOLS(_xlfn.CHOOSEROWS(_xlfn._xlws.FILTER(표2[],표2[DWG No.]=C561,""),1),6)</f>
        <v>42968</v>
      </c>
      <c r="S561" s="67" cm="1">
        <f t="array" aca="1" ref="S561" ca="1">_xlfn.CHOOSECOLS(_xlfn.CHOOSEROWS(_xlfn._xlws.FILTER(표2[],(표2[DWG No.]=C561)*(ISNUMBER(표2[Rev.])),""),1),6)</f>
        <v>43034</v>
      </c>
    </row>
    <row r="562" spans="1:19" ht="18" customHeight="1" x14ac:dyDescent="0.45">
      <c r="A562" s="64">
        <v>557</v>
      </c>
      <c r="B562" s="49" t="s">
        <v>57</v>
      </c>
      <c r="C562" s="65" t="s">
        <v>2197</v>
      </c>
      <c r="D562" s="66" t="s">
        <v>2198</v>
      </c>
      <c r="E562" s="65" t="s">
        <v>2199</v>
      </c>
      <c r="F562" s="66" t="s">
        <v>6</v>
      </c>
      <c r="G562" s="67">
        <v>42937</v>
      </c>
      <c r="H562" s="67">
        <v>42986</v>
      </c>
      <c r="I562" s="67">
        <v>43007</v>
      </c>
      <c r="J562" s="66" t="s">
        <v>2200</v>
      </c>
      <c r="K562" s="66" t="s">
        <v>7</v>
      </c>
      <c r="L562" s="66" t="s">
        <v>62</v>
      </c>
      <c r="M562" s="67" t="s">
        <v>143</v>
      </c>
      <c r="N562" s="66" t="s">
        <v>2201</v>
      </c>
      <c r="O562" s="66" t="s">
        <v>7</v>
      </c>
      <c r="P562" s="66" t="s">
        <v>62</v>
      </c>
      <c r="Q562" s="66" t="s">
        <v>5002</v>
      </c>
      <c r="R562" s="67" cm="1">
        <f t="array" aca="1" ref="R562" ca="1">_xlfn.CHOOSECOLS(_xlfn.CHOOSEROWS(_xlfn._xlws.FILTER(표2[],표2[DWG No.]=C562,""),1),6)</f>
        <v>42928</v>
      </c>
      <c r="S562" s="67" cm="1">
        <f t="array" aca="1" ref="S562" ca="1">_xlfn.CHOOSECOLS(_xlfn.CHOOSEROWS(_xlfn._xlws.FILTER(표2[],(표2[DWG No.]=C562)*(ISNUMBER(표2[Rev.])),""),1),6)</f>
        <v>43007</v>
      </c>
    </row>
    <row r="563" spans="1:19" ht="18" customHeight="1" x14ac:dyDescent="0.45">
      <c r="A563" s="64">
        <v>558</v>
      </c>
      <c r="B563" s="49" t="s">
        <v>57</v>
      </c>
      <c r="C563" s="65" t="s">
        <v>2202</v>
      </c>
      <c r="D563" s="66" t="s">
        <v>2203</v>
      </c>
      <c r="E563" s="65" t="s">
        <v>2204</v>
      </c>
      <c r="F563" s="66" t="s">
        <v>5</v>
      </c>
      <c r="G563" s="67">
        <v>42923</v>
      </c>
      <c r="H563" s="67">
        <v>42986</v>
      </c>
      <c r="I563" s="67">
        <v>43040</v>
      </c>
      <c r="J563" s="66" t="s">
        <v>2205</v>
      </c>
      <c r="K563" s="66" t="s">
        <v>7</v>
      </c>
      <c r="L563" s="66" t="s">
        <v>62</v>
      </c>
      <c r="M563" s="67" t="s">
        <v>90</v>
      </c>
      <c r="N563" s="66" t="s">
        <v>2892</v>
      </c>
      <c r="O563" s="66" t="s">
        <v>5</v>
      </c>
      <c r="P563" s="66" t="s">
        <v>160</v>
      </c>
      <c r="Q563" s="66" t="s">
        <v>2702</v>
      </c>
      <c r="R563" s="67" cm="1">
        <f t="array" aca="1" ref="R563" ca="1">_xlfn.CHOOSECOLS(_xlfn.CHOOSEROWS(_xlfn._xlws.FILTER(표2[],표2[DWG No.]=C563,""),1),6)</f>
        <v>42954</v>
      </c>
      <c r="S563" s="67" cm="1">
        <f t="array" aca="1" ref="S563" ca="1">_xlfn.CHOOSECOLS(_xlfn.CHOOSEROWS(_xlfn._xlws.FILTER(표2[],(표2[DWG No.]=C563)*(ISNUMBER(표2[Rev.])),""),1),6)</f>
        <v>43040</v>
      </c>
    </row>
    <row r="564" spans="1:19" ht="18" customHeight="1" x14ac:dyDescent="0.45">
      <c r="A564" s="64">
        <v>559</v>
      </c>
      <c r="B564" s="49" t="s">
        <v>57</v>
      </c>
      <c r="C564" s="65" t="s">
        <v>2206</v>
      </c>
      <c r="D564" s="66" t="s">
        <v>2207</v>
      </c>
      <c r="E564" s="65" t="s">
        <v>2208</v>
      </c>
      <c r="F564" s="66" t="s">
        <v>5</v>
      </c>
      <c r="G564" s="67">
        <v>42923</v>
      </c>
      <c r="H564" s="67">
        <v>42986</v>
      </c>
      <c r="I564" s="67">
        <v>43007</v>
      </c>
      <c r="J564" s="66" t="s">
        <v>2200</v>
      </c>
      <c r="K564" s="66" t="s">
        <v>7</v>
      </c>
      <c r="L564" s="66" t="s">
        <v>62</v>
      </c>
      <c r="M564" s="67" t="s">
        <v>143</v>
      </c>
      <c r="N564" s="66" t="s">
        <v>2209</v>
      </c>
      <c r="O564" s="66" t="s">
        <v>7</v>
      </c>
      <c r="P564" s="66" t="s">
        <v>62</v>
      </c>
      <c r="Q564" s="66" t="s">
        <v>5002</v>
      </c>
      <c r="R564" s="67" cm="1">
        <f t="array" aca="1" ref="R564" ca="1">_xlfn.CHOOSECOLS(_xlfn.CHOOSEROWS(_xlfn._xlws.FILTER(표2[],표2[DWG No.]=C564,""),1),6)</f>
        <v>42954</v>
      </c>
      <c r="S564" s="67" cm="1">
        <f t="array" aca="1" ref="S564" ca="1">_xlfn.CHOOSECOLS(_xlfn.CHOOSEROWS(_xlfn._xlws.FILTER(표2[],(표2[DWG No.]=C564)*(ISNUMBER(표2[Rev.])),""),1),6)</f>
        <v>43007</v>
      </c>
    </row>
    <row r="565" spans="1:19" ht="18" customHeight="1" x14ac:dyDescent="0.45">
      <c r="A565" s="64">
        <v>560</v>
      </c>
      <c r="B565" s="49" t="s">
        <v>57</v>
      </c>
      <c r="C565" s="65" t="s">
        <v>2210</v>
      </c>
      <c r="D565" s="66" t="s">
        <v>2211</v>
      </c>
      <c r="E565" s="65" t="s">
        <v>2212</v>
      </c>
      <c r="F565" s="66" t="s">
        <v>6</v>
      </c>
      <c r="G565" s="67">
        <v>42923</v>
      </c>
      <c r="H565" s="67">
        <v>42986</v>
      </c>
      <c r="I565" s="67">
        <v>43034</v>
      </c>
      <c r="J565" s="66" t="s">
        <v>2213</v>
      </c>
      <c r="K565" s="66" t="s">
        <v>7</v>
      </c>
      <c r="L565" s="66" t="s">
        <v>62</v>
      </c>
      <c r="M565" s="67" t="s">
        <v>90</v>
      </c>
      <c r="N565" s="66" t="s">
        <v>2214</v>
      </c>
      <c r="O565" s="66" t="s">
        <v>7</v>
      </c>
      <c r="P565" s="66" t="s">
        <v>62</v>
      </c>
      <c r="Q565" s="66" t="s">
        <v>5002</v>
      </c>
      <c r="R565" s="67" cm="1">
        <f t="array" aca="1" ref="R565" ca="1">_xlfn.CHOOSECOLS(_xlfn.CHOOSEROWS(_xlfn._xlws.FILTER(표2[],표2[DWG No.]=C565,""),1),6)</f>
        <v>42977</v>
      </c>
      <c r="S565" s="67" cm="1">
        <f t="array" aca="1" ref="S565" ca="1">_xlfn.CHOOSECOLS(_xlfn.CHOOSEROWS(_xlfn._xlws.FILTER(표2[],(표2[DWG No.]=C565)*(ISNUMBER(표2[Rev.])),""),1),6)</f>
        <v>43034</v>
      </c>
    </row>
    <row r="566" spans="1:19" ht="18" customHeight="1" x14ac:dyDescent="0.45">
      <c r="A566" s="64">
        <v>561</v>
      </c>
      <c r="B566" s="49" t="s">
        <v>57</v>
      </c>
      <c r="C566" s="65" t="s">
        <v>2215</v>
      </c>
      <c r="D566" s="66" t="s">
        <v>2216</v>
      </c>
      <c r="E566" s="65" t="s">
        <v>2781</v>
      </c>
      <c r="F566" s="66" t="s">
        <v>5</v>
      </c>
      <c r="G566" s="67">
        <v>43049</v>
      </c>
      <c r="H566" s="67">
        <v>43120</v>
      </c>
      <c r="I566" s="67">
        <v>43117</v>
      </c>
      <c r="J566" s="66" t="s">
        <v>2186</v>
      </c>
      <c r="K566" s="66" t="s">
        <v>7</v>
      </c>
      <c r="L566" s="66" t="s">
        <v>62</v>
      </c>
      <c r="M566" s="67" t="s">
        <v>155</v>
      </c>
      <c r="N566" s="66" t="s">
        <v>2217</v>
      </c>
      <c r="O566" s="66" t="s">
        <v>7</v>
      </c>
      <c r="P566" s="66" t="s">
        <v>62</v>
      </c>
      <c r="Q566" s="66" t="s">
        <v>5002</v>
      </c>
      <c r="R566" s="67" cm="1">
        <f t="array" aca="1" ref="R566" ca="1">_xlfn.CHOOSECOLS(_xlfn.CHOOSEROWS(_xlfn._xlws.FILTER(표2[],표2[DWG No.]=C566,""),1),6)</f>
        <v>43052</v>
      </c>
      <c r="S566" s="67" cm="1">
        <f t="array" aca="1" ref="S566" ca="1">_xlfn.CHOOSECOLS(_xlfn.CHOOSEROWS(_xlfn._xlws.FILTER(표2[],(표2[DWG No.]=C566)*(ISNUMBER(표2[Rev.])),""),1),6)</f>
        <v>43117</v>
      </c>
    </row>
    <row r="567" spans="1:19" ht="18" customHeight="1" x14ac:dyDescent="0.45">
      <c r="A567" s="64">
        <v>562</v>
      </c>
      <c r="B567" s="49" t="s">
        <v>57</v>
      </c>
      <c r="C567" s="65" t="s">
        <v>2218</v>
      </c>
      <c r="D567" s="66" t="s">
        <v>2219</v>
      </c>
      <c r="E567" s="65" t="s">
        <v>2220</v>
      </c>
      <c r="F567" s="66" t="s">
        <v>6</v>
      </c>
      <c r="G567" s="67">
        <v>42937</v>
      </c>
      <c r="H567" s="67">
        <v>42986</v>
      </c>
      <c r="I567" s="67">
        <v>43201</v>
      </c>
      <c r="J567" s="66" t="s">
        <v>2221</v>
      </c>
      <c r="K567" s="66" t="s">
        <v>7</v>
      </c>
      <c r="L567" s="66" t="s">
        <v>230</v>
      </c>
      <c r="M567" s="67" t="s">
        <v>2487</v>
      </c>
      <c r="N567" s="66" t="s">
        <v>2620</v>
      </c>
      <c r="O567" s="66" t="s">
        <v>7</v>
      </c>
      <c r="P567" s="66" t="s">
        <v>230</v>
      </c>
      <c r="Q567" s="66" t="s">
        <v>5002</v>
      </c>
      <c r="R567" s="67" cm="1">
        <f t="array" aca="1" ref="R567" ca="1">_xlfn.CHOOSECOLS(_xlfn.CHOOSEROWS(_xlfn._xlws.FILTER(표2[],표2[DWG No.]=C567,""),1),6)</f>
        <v>43038</v>
      </c>
      <c r="S567" s="67" cm="1">
        <f t="array" aca="1" ref="S567" ca="1">_xlfn.CHOOSECOLS(_xlfn.CHOOSEROWS(_xlfn._xlws.FILTER(표2[],(표2[DWG No.]=C567)*(ISNUMBER(표2[Rev.])),""),1),6)</f>
        <v>43066</v>
      </c>
    </row>
    <row r="568" spans="1:19" ht="18" customHeight="1" x14ac:dyDescent="0.45">
      <c r="A568" s="64">
        <v>563</v>
      </c>
      <c r="B568" s="49" t="s">
        <v>57</v>
      </c>
      <c r="C568" s="65" t="s">
        <v>2222</v>
      </c>
      <c r="D568" s="66" t="s">
        <v>2223</v>
      </c>
      <c r="E568" s="65" t="s">
        <v>2224</v>
      </c>
      <c r="F568" s="66" t="s">
        <v>5</v>
      </c>
      <c r="G568" s="67">
        <v>42923</v>
      </c>
      <c r="H568" s="67">
        <v>42986</v>
      </c>
      <c r="I568" s="67">
        <v>43007</v>
      </c>
      <c r="J568" s="66" t="s">
        <v>2225</v>
      </c>
      <c r="K568" s="66" t="s">
        <v>7</v>
      </c>
      <c r="L568" s="66" t="s">
        <v>62</v>
      </c>
      <c r="M568" s="67" t="s">
        <v>143</v>
      </c>
      <c r="N568" s="66" t="s">
        <v>2226</v>
      </c>
      <c r="O568" s="66" t="s">
        <v>7</v>
      </c>
      <c r="P568" s="66" t="s">
        <v>62</v>
      </c>
      <c r="Q568" s="66" t="s">
        <v>5002</v>
      </c>
      <c r="R568" s="67" cm="1">
        <f t="array" aca="1" ref="R568" ca="1">_xlfn.CHOOSECOLS(_xlfn.CHOOSEROWS(_xlfn._xlws.FILTER(표2[],표2[DWG No.]=C568,""),1),6)</f>
        <v>42968</v>
      </c>
      <c r="S568" s="67" cm="1">
        <f t="array" aca="1" ref="S568" ca="1">_xlfn.CHOOSECOLS(_xlfn.CHOOSEROWS(_xlfn._xlws.FILTER(표2[],(표2[DWG No.]=C568)*(ISNUMBER(표2[Rev.])),""),1),6)</f>
        <v>43007</v>
      </c>
    </row>
    <row r="569" spans="1:19" ht="18" customHeight="1" x14ac:dyDescent="0.45">
      <c r="A569" s="64">
        <v>564</v>
      </c>
      <c r="B569" s="49" t="s">
        <v>57</v>
      </c>
      <c r="C569" s="65" t="s">
        <v>2227</v>
      </c>
      <c r="D569" s="66" t="s">
        <v>2228</v>
      </c>
      <c r="E569" s="65" t="s">
        <v>2229</v>
      </c>
      <c r="F569" s="66" t="s">
        <v>6</v>
      </c>
      <c r="G569" s="67">
        <v>42916</v>
      </c>
      <c r="H569" s="67">
        <v>42986</v>
      </c>
      <c r="I569" s="67">
        <v>43007</v>
      </c>
      <c r="J569" s="66" t="s">
        <v>2200</v>
      </c>
      <c r="K569" s="66" t="s">
        <v>7</v>
      </c>
      <c r="L569" s="66" t="s">
        <v>62</v>
      </c>
      <c r="M569" s="67" t="s">
        <v>143</v>
      </c>
      <c r="N569" s="66" t="s">
        <v>2230</v>
      </c>
      <c r="O569" s="66" t="s">
        <v>7</v>
      </c>
      <c r="P569" s="66" t="s">
        <v>62</v>
      </c>
      <c r="Q569" s="66" t="s">
        <v>5002</v>
      </c>
      <c r="R569" s="67" cm="1">
        <f t="array" aca="1" ref="R569" ca="1">_xlfn.CHOOSECOLS(_xlfn.CHOOSEROWS(_xlfn._xlws.FILTER(표2[],표2[DWG No.]=C569,""),1),6)</f>
        <v>42929</v>
      </c>
      <c r="S569" s="67" cm="1">
        <f t="array" aca="1" ref="S569" ca="1">_xlfn.CHOOSECOLS(_xlfn.CHOOSEROWS(_xlfn._xlws.FILTER(표2[],(표2[DWG No.]=C569)*(ISNUMBER(표2[Rev.])),""),1),6)</f>
        <v>43007</v>
      </c>
    </row>
    <row r="570" spans="1:19" ht="18" customHeight="1" x14ac:dyDescent="0.45">
      <c r="A570" s="64">
        <v>565</v>
      </c>
      <c r="B570" s="49" t="s">
        <v>57</v>
      </c>
      <c r="C570" s="65" t="s">
        <v>2231</v>
      </c>
      <c r="D570" s="66" t="s">
        <v>2232</v>
      </c>
      <c r="E570" s="65" t="s">
        <v>2233</v>
      </c>
      <c r="F570" s="66" t="s">
        <v>5</v>
      </c>
      <c r="G570" s="67">
        <v>42951</v>
      </c>
      <c r="H570" s="67">
        <v>42986</v>
      </c>
      <c r="I570" s="67">
        <v>43089</v>
      </c>
      <c r="J570" s="66" t="s">
        <v>2234</v>
      </c>
      <c r="K570" s="66" t="s">
        <v>7</v>
      </c>
      <c r="L570" s="66" t="s">
        <v>89</v>
      </c>
      <c r="M570" s="67" t="s">
        <v>155</v>
      </c>
      <c r="N570" s="66" t="s">
        <v>2235</v>
      </c>
      <c r="O570" s="66" t="s">
        <v>7</v>
      </c>
      <c r="P570" s="66" t="s">
        <v>89</v>
      </c>
      <c r="Q570" s="66" t="s">
        <v>5002</v>
      </c>
      <c r="R570" s="67" cm="1">
        <f t="array" aca="1" ref="R570" ca="1">_xlfn.CHOOSECOLS(_xlfn.CHOOSEROWS(_xlfn._xlws.FILTER(표2[],표2[DWG No.]=C570,""),1),6)</f>
        <v>42998</v>
      </c>
      <c r="S570" s="67" cm="1">
        <f t="array" aca="1" ref="S570" ca="1">_xlfn.CHOOSECOLS(_xlfn.CHOOSEROWS(_xlfn._xlws.FILTER(표2[],(표2[DWG No.]=C570)*(ISNUMBER(표2[Rev.])),""),1),6)</f>
        <v>43040</v>
      </c>
    </row>
    <row r="571" spans="1:19" ht="18" customHeight="1" x14ac:dyDescent="0.45">
      <c r="A571" s="64">
        <v>566</v>
      </c>
      <c r="B571" s="49" t="s">
        <v>57</v>
      </c>
      <c r="C571" s="65" t="s">
        <v>2236</v>
      </c>
      <c r="D571" s="66" t="s">
        <v>2237</v>
      </c>
      <c r="E571" s="65" t="s">
        <v>2238</v>
      </c>
      <c r="F571" s="66" t="s">
        <v>5</v>
      </c>
      <c r="G571" s="67">
        <v>42951</v>
      </c>
      <c r="H571" s="67">
        <v>42986</v>
      </c>
      <c r="I571" s="67">
        <v>43040</v>
      </c>
      <c r="J571" s="66" t="s">
        <v>2239</v>
      </c>
      <c r="K571" s="66" t="s">
        <v>7</v>
      </c>
      <c r="L571" s="66" t="s">
        <v>62</v>
      </c>
      <c r="M571" s="67" t="s">
        <v>805</v>
      </c>
      <c r="N571" s="66" t="s">
        <v>2240</v>
      </c>
      <c r="O571" s="66" t="s">
        <v>7</v>
      </c>
      <c r="P571" s="66" t="s">
        <v>62</v>
      </c>
      <c r="Q571" s="66" t="s">
        <v>5002</v>
      </c>
      <c r="R571" s="67" cm="1">
        <f t="array" aca="1" ref="R571" ca="1">_xlfn.CHOOSECOLS(_xlfn.CHOOSEROWS(_xlfn._xlws.FILTER(표2[],표2[DWG No.]=C571,""),1),6)</f>
        <v>42998</v>
      </c>
      <c r="S571" s="67" cm="1">
        <f t="array" aca="1" ref="S571" ca="1">_xlfn.CHOOSECOLS(_xlfn.CHOOSEROWS(_xlfn._xlws.FILTER(표2[],(표2[DWG No.]=C571)*(ISNUMBER(표2[Rev.])),""),1),6)</f>
        <v>43040</v>
      </c>
    </row>
    <row r="572" spans="1:19" ht="18" customHeight="1" x14ac:dyDescent="0.45">
      <c r="A572" s="64">
        <v>567</v>
      </c>
      <c r="B572" s="49" t="s">
        <v>57</v>
      </c>
      <c r="C572" s="65" t="s">
        <v>2241</v>
      </c>
      <c r="D572" s="66" t="s">
        <v>2242</v>
      </c>
      <c r="E572" s="65" t="s">
        <v>2243</v>
      </c>
      <c r="F572" s="66" t="s">
        <v>5</v>
      </c>
      <c r="G572" s="67">
        <v>42923</v>
      </c>
      <c r="H572" s="67">
        <v>42986</v>
      </c>
      <c r="I572" s="67">
        <v>43089</v>
      </c>
      <c r="J572" s="66" t="s">
        <v>2234</v>
      </c>
      <c r="K572" s="66" t="s">
        <v>7</v>
      </c>
      <c r="L572" s="66" t="s">
        <v>89</v>
      </c>
      <c r="M572" s="67" t="s">
        <v>155</v>
      </c>
      <c r="N572" s="66" t="s">
        <v>2244</v>
      </c>
      <c r="O572" s="66" t="s">
        <v>7</v>
      </c>
      <c r="P572" s="66" t="s">
        <v>89</v>
      </c>
      <c r="Q572" s="66" t="s">
        <v>5002</v>
      </c>
      <c r="R572" s="67" cm="1">
        <f t="array" aca="1" ref="R572" ca="1">_xlfn.CHOOSECOLS(_xlfn.CHOOSEROWS(_xlfn._xlws.FILTER(표2[],표2[DWG No.]=C572,""),1),6)</f>
        <v>42954</v>
      </c>
      <c r="S572" s="67" cm="1">
        <f t="array" aca="1" ref="S572" ca="1">_xlfn.CHOOSECOLS(_xlfn.CHOOSEROWS(_xlfn._xlws.FILTER(표2[],(표2[DWG No.]=C572)*(ISNUMBER(표2[Rev.])),""),1),6)</f>
        <v>43040</v>
      </c>
    </row>
    <row r="573" spans="1:19" ht="18" customHeight="1" x14ac:dyDescent="0.45">
      <c r="A573" s="64">
        <v>568</v>
      </c>
      <c r="B573" s="49" t="s">
        <v>57</v>
      </c>
      <c r="C573" s="65" t="s">
        <v>2245</v>
      </c>
      <c r="D573" s="66" t="s">
        <v>2246</v>
      </c>
      <c r="E573" s="65" t="s">
        <v>2247</v>
      </c>
      <c r="F573" s="66" t="s">
        <v>6</v>
      </c>
      <c r="G573" s="67">
        <v>42958</v>
      </c>
      <c r="H573" s="67">
        <v>42986</v>
      </c>
      <c r="I573" s="67">
        <v>43040</v>
      </c>
      <c r="J573" s="66" t="s">
        <v>2239</v>
      </c>
      <c r="K573" s="66" t="s">
        <v>7</v>
      </c>
      <c r="L573" s="66" t="s">
        <v>62</v>
      </c>
      <c r="M573" s="67" t="s">
        <v>90</v>
      </c>
      <c r="N573" s="66" t="s">
        <v>2893</v>
      </c>
      <c r="O573" s="66" t="s">
        <v>6</v>
      </c>
      <c r="P573" s="66" t="s">
        <v>65</v>
      </c>
      <c r="Q573" s="66" t="s">
        <v>65</v>
      </c>
      <c r="R573" s="67" cm="1">
        <f t="array" aca="1" ref="R573" ca="1">_xlfn.CHOOSECOLS(_xlfn.CHOOSEROWS(_xlfn._xlws.FILTER(표2[],표2[DWG No.]=C573,""),1),6)</f>
        <v>43021</v>
      </c>
      <c r="S573" s="67" cm="1">
        <f t="array" aca="1" ref="S573" ca="1">_xlfn.CHOOSECOLS(_xlfn.CHOOSEROWS(_xlfn._xlws.FILTER(표2[],(표2[DWG No.]=C573)*(ISNUMBER(표2[Rev.])),""),1),6)</f>
        <v>43040</v>
      </c>
    </row>
    <row r="574" spans="1:19" ht="18" customHeight="1" x14ac:dyDescent="0.45">
      <c r="A574" s="64">
        <v>569</v>
      </c>
      <c r="B574" s="49" t="s">
        <v>57</v>
      </c>
      <c r="C574" s="65" t="s">
        <v>2248</v>
      </c>
      <c r="D574" s="66" t="s">
        <v>2249</v>
      </c>
      <c r="E574" s="65" t="s">
        <v>2250</v>
      </c>
      <c r="F574" s="66" t="s">
        <v>5</v>
      </c>
      <c r="G574" s="67">
        <v>42937</v>
      </c>
      <c r="H574" s="67">
        <v>42986</v>
      </c>
      <c r="I574" s="67">
        <v>43040</v>
      </c>
      <c r="J574" s="66" t="s">
        <v>2239</v>
      </c>
      <c r="K574" s="66" t="s">
        <v>7</v>
      </c>
      <c r="L574" s="66" t="s">
        <v>62</v>
      </c>
      <c r="M574" s="67" t="s">
        <v>90</v>
      </c>
      <c r="N574" s="66" t="s">
        <v>2893</v>
      </c>
      <c r="O574" s="66" t="s">
        <v>5</v>
      </c>
      <c r="P574" s="66" t="s">
        <v>65</v>
      </c>
      <c r="Q574" s="66" t="s">
        <v>2702</v>
      </c>
      <c r="R574" s="67" cm="1">
        <f t="array" aca="1" ref="R574" ca="1">_xlfn.CHOOSECOLS(_xlfn.CHOOSEROWS(_xlfn._xlws.FILTER(표2[],표2[DWG No.]=C574,""),1),6)</f>
        <v>43021</v>
      </c>
      <c r="S574" s="67" cm="1">
        <f t="array" aca="1" ref="S574" ca="1">_xlfn.CHOOSECOLS(_xlfn.CHOOSEROWS(_xlfn._xlws.FILTER(표2[],(표2[DWG No.]=C574)*(ISNUMBER(표2[Rev.])),""),1),6)</f>
        <v>43040</v>
      </c>
    </row>
    <row r="575" spans="1:19" ht="18" customHeight="1" x14ac:dyDescent="0.45">
      <c r="A575" s="64">
        <v>570</v>
      </c>
      <c r="B575" s="49" t="s">
        <v>57</v>
      </c>
      <c r="C575" s="65" t="s">
        <v>2251</v>
      </c>
      <c r="D575" s="66" t="s">
        <v>2252</v>
      </c>
      <c r="E575" s="65" t="s">
        <v>2253</v>
      </c>
      <c r="F575" s="66" t="s">
        <v>6</v>
      </c>
      <c r="G575" s="67">
        <v>42916</v>
      </c>
      <c r="H575" s="67">
        <v>42986</v>
      </c>
      <c r="I575" s="67">
        <v>43007</v>
      </c>
      <c r="J575" s="66" t="s">
        <v>2225</v>
      </c>
      <c r="K575" s="66" t="s">
        <v>7</v>
      </c>
      <c r="L575" s="66" t="s">
        <v>62</v>
      </c>
      <c r="M575" s="67" t="s">
        <v>143</v>
      </c>
      <c r="N575" s="66" t="s">
        <v>2254</v>
      </c>
      <c r="O575" s="66" t="s">
        <v>7</v>
      </c>
      <c r="P575" s="66" t="s">
        <v>62</v>
      </c>
      <c r="Q575" s="66" t="s">
        <v>5003</v>
      </c>
      <c r="R575" s="67" cm="1">
        <f t="array" aca="1" ref="R575" ca="1">_xlfn.CHOOSECOLS(_xlfn.CHOOSEROWS(_xlfn._xlws.FILTER(표2[],표2[DWG No.]=C575,""),1),6)</f>
        <v>42968</v>
      </c>
      <c r="S575" s="67" cm="1">
        <f t="array" aca="1" ref="S575" ca="1">_xlfn.CHOOSECOLS(_xlfn.CHOOSEROWS(_xlfn._xlws.FILTER(표2[],(표2[DWG No.]=C575)*(ISNUMBER(표2[Rev.])),""),1),6)</f>
        <v>43007</v>
      </c>
    </row>
    <row r="576" spans="1:19" ht="18" customHeight="1" x14ac:dyDescent="0.45">
      <c r="A576" s="64">
        <v>571</v>
      </c>
      <c r="B576" s="49" t="s">
        <v>57</v>
      </c>
      <c r="C576" s="65" t="s">
        <v>2255</v>
      </c>
      <c r="D576" s="66" t="s">
        <v>2256</v>
      </c>
      <c r="E576" s="65" t="s">
        <v>2257</v>
      </c>
      <c r="F576" s="66" t="s">
        <v>5</v>
      </c>
      <c r="G576" s="67">
        <v>42937</v>
      </c>
      <c r="H576" s="67">
        <v>42986</v>
      </c>
      <c r="I576" s="67">
        <v>43007</v>
      </c>
      <c r="J576" s="66" t="s">
        <v>2200</v>
      </c>
      <c r="K576" s="66" t="s">
        <v>7</v>
      </c>
      <c r="L576" s="66" t="s">
        <v>62</v>
      </c>
      <c r="M576" s="67" t="s">
        <v>143</v>
      </c>
      <c r="N576" s="66" t="s">
        <v>2258</v>
      </c>
      <c r="O576" s="66" t="s">
        <v>7</v>
      </c>
      <c r="P576" s="66" t="s">
        <v>62</v>
      </c>
      <c r="Q576" s="66" t="s">
        <v>5002</v>
      </c>
      <c r="R576" s="67" cm="1">
        <f t="array" aca="1" ref="R576" ca="1">_xlfn.CHOOSECOLS(_xlfn.CHOOSEROWS(_xlfn._xlws.FILTER(표2[],표2[DWG No.]=C576,""),1),6)</f>
        <v>42977</v>
      </c>
      <c r="S576" s="67" cm="1">
        <f t="array" aca="1" ref="S576" ca="1">_xlfn.CHOOSECOLS(_xlfn.CHOOSEROWS(_xlfn._xlws.FILTER(표2[],(표2[DWG No.]=C576)*(ISNUMBER(표2[Rev.])),""),1),6)</f>
        <v>43007</v>
      </c>
    </row>
    <row r="577" spans="1:19" ht="18" customHeight="1" x14ac:dyDescent="0.45">
      <c r="A577" s="64">
        <v>572</v>
      </c>
      <c r="B577" s="49" t="s">
        <v>57</v>
      </c>
      <c r="C577" s="65" t="s">
        <v>2259</v>
      </c>
      <c r="D577" s="66" t="s">
        <v>2260</v>
      </c>
      <c r="E577" s="65" t="s">
        <v>2261</v>
      </c>
      <c r="F577" s="66" t="s">
        <v>6</v>
      </c>
      <c r="G577" s="67">
        <v>42923</v>
      </c>
      <c r="H577" s="67">
        <v>42986</v>
      </c>
      <c r="I577" s="67">
        <v>43007</v>
      </c>
      <c r="J577" s="66" t="s">
        <v>2200</v>
      </c>
      <c r="K577" s="66" t="s">
        <v>7</v>
      </c>
      <c r="L577" s="66" t="s">
        <v>62</v>
      </c>
      <c r="M577" s="67" t="s">
        <v>143</v>
      </c>
      <c r="N577" s="66" t="s">
        <v>2262</v>
      </c>
      <c r="O577" s="66" t="s">
        <v>7</v>
      </c>
      <c r="P577" s="66" t="s">
        <v>62</v>
      </c>
      <c r="Q577" s="66" t="s">
        <v>5003</v>
      </c>
      <c r="R577" s="67" cm="1">
        <f t="array" aca="1" ref="R577" ca="1">_xlfn.CHOOSECOLS(_xlfn.CHOOSEROWS(_xlfn._xlws.FILTER(표2[],표2[DWG No.]=C577,""),1),6)</f>
        <v>42954</v>
      </c>
      <c r="S577" s="67" cm="1">
        <f t="array" aca="1" ref="S577" ca="1">_xlfn.CHOOSECOLS(_xlfn.CHOOSEROWS(_xlfn._xlws.FILTER(표2[],(표2[DWG No.]=C577)*(ISNUMBER(표2[Rev.])),""),1),6)</f>
        <v>43007</v>
      </c>
    </row>
    <row r="578" spans="1:19" ht="18" customHeight="1" x14ac:dyDescent="0.45">
      <c r="A578" s="64">
        <v>573</v>
      </c>
      <c r="B578" s="49" t="s">
        <v>57</v>
      </c>
      <c r="C578" s="65" t="s">
        <v>2263</v>
      </c>
      <c r="D578" s="66" t="s">
        <v>2264</v>
      </c>
      <c r="E578" s="65" t="s">
        <v>2265</v>
      </c>
      <c r="F578" s="66" t="s">
        <v>5</v>
      </c>
      <c r="G578" s="67">
        <v>42930</v>
      </c>
      <c r="H578" s="67">
        <v>42986</v>
      </c>
      <c r="I578" s="67">
        <v>42984</v>
      </c>
      <c r="J578" s="66" t="s">
        <v>2266</v>
      </c>
      <c r="K578" s="66" t="s">
        <v>7</v>
      </c>
      <c r="L578" s="66" t="s">
        <v>62</v>
      </c>
      <c r="M578" s="67" t="s">
        <v>246</v>
      </c>
      <c r="N578" s="66" t="s">
        <v>2267</v>
      </c>
      <c r="O578" s="66" t="s">
        <v>7</v>
      </c>
      <c r="P578" s="66" t="s">
        <v>62</v>
      </c>
      <c r="Q578" s="66" t="s">
        <v>5002</v>
      </c>
      <c r="R578" s="67" cm="1">
        <f t="array" aca="1" ref="R578" ca="1">_xlfn.CHOOSECOLS(_xlfn.CHOOSEROWS(_xlfn._xlws.FILTER(표2[],표2[DWG No.]=C578,""),1),6)</f>
        <v>42954</v>
      </c>
      <c r="S578" s="67" cm="1">
        <f t="array" aca="1" ref="S578" ca="1">_xlfn.CHOOSECOLS(_xlfn.CHOOSEROWS(_xlfn._xlws.FILTER(표2[],(표2[DWG No.]=C578)*(ISNUMBER(표2[Rev.])),""),1),6)</f>
        <v>42984</v>
      </c>
    </row>
    <row r="579" spans="1:19" ht="18" customHeight="1" x14ac:dyDescent="0.45">
      <c r="A579" s="64">
        <v>574</v>
      </c>
      <c r="B579" s="49" t="s">
        <v>57</v>
      </c>
      <c r="C579" s="65" t="s">
        <v>2268</v>
      </c>
      <c r="D579" s="66" t="s">
        <v>2269</v>
      </c>
      <c r="E579" s="65" t="s">
        <v>2270</v>
      </c>
      <c r="F579" s="66" t="s">
        <v>6</v>
      </c>
      <c r="G579" s="67">
        <v>42955</v>
      </c>
      <c r="H579" s="67">
        <v>43047</v>
      </c>
      <c r="I579" s="67">
        <v>42984</v>
      </c>
      <c r="J579" s="66" t="s">
        <v>2266</v>
      </c>
      <c r="K579" s="66" t="s">
        <v>7</v>
      </c>
      <c r="L579" s="66" t="s">
        <v>62</v>
      </c>
      <c r="M579" s="67" t="s">
        <v>246</v>
      </c>
      <c r="N579" s="66" t="s">
        <v>2271</v>
      </c>
      <c r="O579" s="66" t="s">
        <v>7</v>
      </c>
      <c r="P579" s="66" t="s">
        <v>62</v>
      </c>
      <c r="Q579" s="66" t="s">
        <v>5002</v>
      </c>
      <c r="R579" s="67" cm="1">
        <f t="array" aca="1" ref="R579" ca="1">_xlfn.CHOOSECOLS(_xlfn.CHOOSEROWS(_xlfn._xlws.FILTER(표2[],표2[DWG No.]=C579,""),1),6)</f>
        <v>42954</v>
      </c>
      <c r="S579" s="67" cm="1">
        <f t="array" aca="1" ref="S579" ca="1">_xlfn.CHOOSECOLS(_xlfn.CHOOSEROWS(_xlfn._xlws.FILTER(표2[],(표2[DWG No.]=C579)*(ISNUMBER(표2[Rev.])),""),1),6)</f>
        <v>42984</v>
      </c>
    </row>
    <row r="580" spans="1:19" ht="18" customHeight="1" x14ac:dyDescent="0.45">
      <c r="A580" s="64">
        <v>575</v>
      </c>
      <c r="B580" s="49" t="s">
        <v>57</v>
      </c>
      <c r="C580" s="65" t="s">
        <v>2272</v>
      </c>
      <c r="D580" s="66" t="s">
        <v>2273</v>
      </c>
      <c r="E580" s="65" t="s">
        <v>2274</v>
      </c>
      <c r="F580" s="66" t="s">
        <v>5</v>
      </c>
      <c r="G580" s="67">
        <v>42930</v>
      </c>
      <c r="H580" s="67">
        <v>42986</v>
      </c>
      <c r="I580" s="67">
        <v>42984</v>
      </c>
      <c r="J580" s="66" t="s">
        <v>2266</v>
      </c>
      <c r="K580" s="66" t="s">
        <v>7</v>
      </c>
      <c r="L580" s="66" t="s">
        <v>62</v>
      </c>
      <c r="M580" s="67" t="s">
        <v>246</v>
      </c>
      <c r="N580" s="66" t="s">
        <v>2275</v>
      </c>
      <c r="O580" s="66" t="s">
        <v>7</v>
      </c>
      <c r="P580" s="66" t="s">
        <v>62</v>
      </c>
      <c r="Q580" s="66" t="s">
        <v>5002</v>
      </c>
      <c r="R580" s="67" cm="1">
        <f t="array" aca="1" ref="R580" ca="1">_xlfn.CHOOSECOLS(_xlfn.CHOOSEROWS(_xlfn._xlws.FILTER(표2[],표2[DWG No.]=C580,""),1),6)</f>
        <v>42954</v>
      </c>
      <c r="S580" s="67" cm="1">
        <f t="array" aca="1" ref="S580" ca="1">_xlfn.CHOOSECOLS(_xlfn.CHOOSEROWS(_xlfn._xlws.FILTER(표2[],(표2[DWG No.]=C580)*(ISNUMBER(표2[Rev.])),""),1),6)</f>
        <v>42984</v>
      </c>
    </row>
    <row r="581" spans="1:19" ht="18" customHeight="1" x14ac:dyDescent="0.45">
      <c r="A581" s="64">
        <v>576</v>
      </c>
      <c r="B581" s="49" t="s">
        <v>57</v>
      </c>
      <c r="C581" s="65" t="s">
        <v>2276</v>
      </c>
      <c r="D581" s="66" t="s">
        <v>2277</v>
      </c>
      <c r="E581" s="65" t="s">
        <v>2278</v>
      </c>
      <c r="F581" s="66" t="s">
        <v>5</v>
      </c>
      <c r="G581" s="67">
        <v>42930</v>
      </c>
      <c r="H581" s="67">
        <v>42986</v>
      </c>
      <c r="I581" s="67">
        <v>42998</v>
      </c>
      <c r="J581" s="66" t="s">
        <v>2279</v>
      </c>
      <c r="K581" s="66" t="s">
        <v>7</v>
      </c>
      <c r="L581" s="66" t="s">
        <v>62</v>
      </c>
      <c r="M581" s="67" t="s">
        <v>74</v>
      </c>
      <c r="N581" s="66" t="s">
        <v>2280</v>
      </c>
      <c r="O581" s="66" t="s">
        <v>7</v>
      </c>
      <c r="P581" s="66" t="s">
        <v>62</v>
      </c>
      <c r="Q581" s="66" t="s">
        <v>5002</v>
      </c>
      <c r="R581" s="67" cm="1">
        <f t="array" aca="1" ref="R581" ca="1">_xlfn.CHOOSECOLS(_xlfn.CHOOSEROWS(_xlfn._xlws.FILTER(표2[],표2[DWG No.]=C581,""),1),6)</f>
        <v>42954</v>
      </c>
      <c r="S581" s="67" cm="1">
        <f t="array" aca="1" ref="S581" ca="1">_xlfn.CHOOSECOLS(_xlfn.CHOOSEROWS(_xlfn._xlws.FILTER(표2[],(표2[DWG No.]=C581)*(ISNUMBER(표2[Rev.])),""),1),6)</f>
        <v>42998</v>
      </c>
    </row>
    <row r="582" spans="1:19" ht="18" customHeight="1" x14ac:dyDescent="0.45">
      <c r="A582" s="64">
        <v>577</v>
      </c>
      <c r="B582" s="49" t="s">
        <v>57</v>
      </c>
      <c r="C582" s="65" t="s">
        <v>2281</v>
      </c>
      <c r="D582" s="66" t="s">
        <v>2282</v>
      </c>
      <c r="E582" s="65" t="s">
        <v>2283</v>
      </c>
      <c r="F582" s="66" t="s">
        <v>6</v>
      </c>
      <c r="G582" s="67">
        <v>42916</v>
      </c>
      <c r="H582" s="67">
        <v>42986</v>
      </c>
      <c r="I582" s="67">
        <v>43848</v>
      </c>
      <c r="J582" s="66" t="s">
        <v>2811</v>
      </c>
      <c r="K582" s="66" t="s">
        <v>7</v>
      </c>
      <c r="L582" s="66" t="s">
        <v>230</v>
      </c>
      <c r="M582" s="67" t="s">
        <v>2815</v>
      </c>
      <c r="N582" s="66" t="s">
        <v>2869</v>
      </c>
      <c r="O582" s="66" t="s">
        <v>7</v>
      </c>
      <c r="P582" s="66" t="s">
        <v>230</v>
      </c>
      <c r="Q582" s="66" t="s">
        <v>65</v>
      </c>
      <c r="R582" s="67" cm="1">
        <f t="array" aca="1" ref="R582" ca="1">_xlfn.CHOOSECOLS(_xlfn.CHOOSEROWS(_xlfn._xlws.FILTER(표2[],표2[DWG No.]=C582,""),1),6)</f>
        <v>42929</v>
      </c>
      <c r="S582" s="67" cm="1">
        <f t="array" aca="1" ref="S582" ca="1">_xlfn.CHOOSECOLS(_xlfn.CHOOSEROWS(_xlfn._xlws.FILTER(표2[],(표2[DWG No.]=C582)*(ISNUMBER(표2[Rev.])),""),1),6)</f>
        <v>43007</v>
      </c>
    </row>
    <row r="583" spans="1:19" ht="18" customHeight="1" x14ac:dyDescent="0.45">
      <c r="A583" s="64">
        <v>578</v>
      </c>
      <c r="B583" s="49" t="s">
        <v>57</v>
      </c>
      <c r="C583" s="65" t="s">
        <v>2285</v>
      </c>
      <c r="D583" s="66" t="s">
        <v>2286</v>
      </c>
      <c r="E583" s="65" t="s">
        <v>2287</v>
      </c>
      <c r="F583" s="66" t="s">
        <v>6</v>
      </c>
      <c r="G583" s="67">
        <v>42902</v>
      </c>
      <c r="H583" s="67">
        <v>42986</v>
      </c>
      <c r="I583" s="67">
        <v>43117</v>
      </c>
      <c r="J583" s="66" t="s">
        <v>2186</v>
      </c>
      <c r="K583" s="66" t="s">
        <v>7</v>
      </c>
      <c r="L583" s="66" t="s">
        <v>89</v>
      </c>
      <c r="M583" s="67" t="s">
        <v>155</v>
      </c>
      <c r="N583" s="66" t="s">
        <v>2288</v>
      </c>
      <c r="O583" s="66" t="s">
        <v>7</v>
      </c>
      <c r="P583" s="66" t="s">
        <v>89</v>
      </c>
      <c r="Q583" s="66" t="s">
        <v>5002</v>
      </c>
      <c r="R583" s="67" cm="1">
        <f t="array" aca="1" ref="R583" ca="1">_xlfn.CHOOSECOLS(_xlfn.CHOOSEROWS(_xlfn._xlws.FILTER(표2[],표2[DWG No.]=C583,""),1),6)</f>
        <v>42906</v>
      </c>
      <c r="S583" s="67" cm="1">
        <f t="array" aca="1" ref="S583" ca="1">_xlfn.CHOOSECOLS(_xlfn.CHOOSEROWS(_xlfn._xlws.FILTER(표2[],(표2[DWG No.]=C583)*(ISNUMBER(표2[Rev.])),""),1),6)</f>
        <v>43007</v>
      </c>
    </row>
    <row r="584" spans="1:19" ht="18" customHeight="1" x14ac:dyDescent="0.45">
      <c r="A584" s="64">
        <v>579</v>
      </c>
      <c r="B584" s="49" t="s">
        <v>57</v>
      </c>
      <c r="C584" s="65" t="s">
        <v>2289</v>
      </c>
      <c r="D584" s="66" t="s">
        <v>2290</v>
      </c>
      <c r="E584" s="65" t="s">
        <v>2291</v>
      </c>
      <c r="F584" s="66" t="s">
        <v>5</v>
      </c>
      <c r="G584" s="67">
        <v>42916</v>
      </c>
      <c r="H584" s="67">
        <v>42986</v>
      </c>
      <c r="I584" s="67">
        <v>43034</v>
      </c>
      <c r="J584" s="66" t="s">
        <v>2191</v>
      </c>
      <c r="K584" s="66" t="s">
        <v>7</v>
      </c>
      <c r="L584" s="66" t="s">
        <v>62</v>
      </c>
      <c r="M584" s="67" t="s">
        <v>90</v>
      </c>
      <c r="N584" s="66" t="s">
        <v>2292</v>
      </c>
      <c r="O584" s="66" t="s">
        <v>7</v>
      </c>
      <c r="P584" s="66" t="s">
        <v>62</v>
      </c>
      <c r="Q584" s="66" t="s">
        <v>5002</v>
      </c>
      <c r="R584" s="67" cm="1">
        <f t="array" aca="1" ref="R584" ca="1">_xlfn.CHOOSECOLS(_xlfn.CHOOSEROWS(_xlfn._xlws.FILTER(표2[],표2[DWG No.]=C584,""),1),6)</f>
        <v>42968</v>
      </c>
      <c r="S584" s="67" cm="1">
        <f t="array" aca="1" ref="S584" ca="1">_xlfn.CHOOSECOLS(_xlfn.CHOOSEROWS(_xlfn._xlws.FILTER(표2[],(표2[DWG No.]=C584)*(ISNUMBER(표2[Rev.])),""),1),6)</f>
        <v>43034</v>
      </c>
    </row>
    <row r="585" spans="1:19" ht="18" customHeight="1" x14ac:dyDescent="0.45">
      <c r="A585" s="64">
        <v>580</v>
      </c>
      <c r="B585" s="49" t="s">
        <v>57</v>
      </c>
      <c r="C585" s="65" t="s">
        <v>2293</v>
      </c>
      <c r="D585" s="66" t="s">
        <v>2294</v>
      </c>
      <c r="E585" s="65" t="s">
        <v>2295</v>
      </c>
      <c r="F585" s="66" t="s">
        <v>5</v>
      </c>
      <c r="G585" s="67">
        <v>42923</v>
      </c>
      <c r="H585" s="67">
        <v>42986</v>
      </c>
      <c r="I585" s="67">
        <v>43034</v>
      </c>
      <c r="J585" s="66" t="s">
        <v>2191</v>
      </c>
      <c r="K585" s="66" t="s">
        <v>7</v>
      </c>
      <c r="L585" s="66" t="s">
        <v>62</v>
      </c>
      <c r="M585" s="67" t="s">
        <v>90</v>
      </c>
      <c r="N585" s="66" t="s">
        <v>2296</v>
      </c>
      <c r="O585" s="66" t="s">
        <v>7</v>
      </c>
      <c r="P585" s="66" t="s">
        <v>62</v>
      </c>
      <c r="Q585" s="66" t="s">
        <v>5002</v>
      </c>
      <c r="R585" s="67" cm="1">
        <f t="array" aca="1" ref="R585" ca="1">_xlfn.CHOOSECOLS(_xlfn.CHOOSEROWS(_xlfn._xlws.FILTER(표2[],표2[DWG No.]=C585,""),1),6)</f>
        <v>42968</v>
      </c>
      <c r="S585" s="67" cm="1">
        <f t="array" aca="1" ref="S585" ca="1">_xlfn.CHOOSECOLS(_xlfn.CHOOSEROWS(_xlfn._xlws.FILTER(표2[],(표2[DWG No.]=C585)*(ISNUMBER(표2[Rev.])),""),1),6)</f>
        <v>43034</v>
      </c>
    </row>
    <row r="586" spans="1:19" ht="18" customHeight="1" x14ac:dyDescent="0.45">
      <c r="A586" s="64">
        <v>581</v>
      </c>
      <c r="B586" s="49" t="s">
        <v>57</v>
      </c>
      <c r="C586" s="65" t="s">
        <v>2297</v>
      </c>
      <c r="D586" s="66" t="s">
        <v>2298</v>
      </c>
      <c r="E586" s="65" t="s">
        <v>2299</v>
      </c>
      <c r="F586" s="66" t="s">
        <v>5</v>
      </c>
      <c r="G586" s="67">
        <v>42923</v>
      </c>
      <c r="H586" s="67">
        <v>42986</v>
      </c>
      <c r="I586" s="67">
        <v>43084</v>
      </c>
      <c r="J586" s="66" t="s">
        <v>2300</v>
      </c>
      <c r="K586" s="66" t="s">
        <v>7</v>
      </c>
      <c r="L586" s="66" t="s">
        <v>89</v>
      </c>
      <c r="M586" s="67" t="s">
        <v>155</v>
      </c>
      <c r="N586" s="66" t="s">
        <v>2301</v>
      </c>
      <c r="O586" s="66" t="s">
        <v>7</v>
      </c>
      <c r="P586" s="66" t="s">
        <v>89</v>
      </c>
      <c r="Q586" s="66" t="s">
        <v>5002</v>
      </c>
      <c r="R586" s="67" cm="1">
        <f t="array" aca="1" ref="R586" ca="1">_xlfn.CHOOSECOLS(_xlfn.CHOOSEROWS(_xlfn._xlws.FILTER(표2[],표2[DWG No.]=C586,""),1),6)</f>
        <v>42954</v>
      </c>
      <c r="S586" s="67" cm="1">
        <f t="array" aca="1" ref="S586" ca="1">_xlfn.CHOOSECOLS(_xlfn.CHOOSEROWS(_xlfn._xlws.FILTER(표2[],(표2[DWG No.]=C586)*(ISNUMBER(표2[Rev.])),""),1),6)</f>
        <v>43040</v>
      </c>
    </row>
    <row r="587" spans="1:19" ht="18" customHeight="1" x14ac:dyDescent="0.45">
      <c r="A587" s="64">
        <v>582</v>
      </c>
      <c r="B587" s="49" t="s">
        <v>57</v>
      </c>
      <c r="C587" s="65" t="s">
        <v>2302</v>
      </c>
      <c r="D587" s="66" t="s">
        <v>2303</v>
      </c>
      <c r="E587" s="65" t="s">
        <v>2304</v>
      </c>
      <c r="F587" s="66" t="s">
        <v>5</v>
      </c>
      <c r="G587" s="67">
        <v>42923</v>
      </c>
      <c r="H587" s="67">
        <v>42986</v>
      </c>
      <c r="I587" s="67">
        <v>43007</v>
      </c>
      <c r="J587" s="66" t="s">
        <v>2200</v>
      </c>
      <c r="K587" s="66" t="s">
        <v>7</v>
      </c>
      <c r="L587" s="66" t="s">
        <v>62</v>
      </c>
      <c r="M587" s="67" t="s">
        <v>143</v>
      </c>
      <c r="N587" s="66" t="s">
        <v>2305</v>
      </c>
      <c r="O587" s="66" t="s">
        <v>7</v>
      </c>
      <c r="P587" s="66" t="s">
        <v>62</v>
      </c>
      <c r="Q587" s="66" t="s">
        <v>5002</v>
      </c>
      <c r="R587" s="67" cm="1">
        <f t="array" aca="1" ref="R587" ca="1">_xlfn.CHOOSECOLS(_xlfn.CHOOSEROWS(_xlfn._xlws.FILTER(표2[],표2[DWG No.]=C587,""),1),6)</f>
        <v>42954</v>
      </c>
      <c r="S587" s="67" cm="1">
        <f t="array" aca="1" ref="S587" ca="1">_xlfn.CHOOSECOLS(_xlfn.CHOOSEROWS(_xlfn._xlws.FILTER(표2[],(표2[DWG No.]=C587)*(ISNUMBER(표2[Rev.])),""),1),6)</f>
        <v>43007</v>
      </c>
    </row>
    <row r="588" spans="1:19" ht="18" customHeight="1" x14ac:dyDescent="0.45">
      <c r="A588" s="64">
        <v>583</v>
      </c>
      <c r="B588" s="49" t="s">
        <v>57</v>
      </c>
      <c r="C588" s="65" t="s">
        <v>2306</v>
      </c>
      <c r="D588" s="66" t="s">
        <v>2307</v>
      </c>
      <c r="E588" s="65" t="s">
        <v>2308</v>
      </c>
      <c r="F588" s="66" t="s">
        <v>6</v>
      </c>
      <c r="G588" s="67">
        <v>42923</v>
      </c>
      <c r="H588" s="67">
        <v>42986</v>
      </c>
      <c r="I588" s="67">
        <v>43034</v>
      </c>
      <c r="J588" s="66" t="s">
        <v>2213</v>
      </c>
      <c r="K588" s="66" t="s">
        <v>7</v>
      </c>
      <c r="L588" s="66" t="s">
        <v>62</v>
      </c>
      <c r="M588" s="67" t="s">
        <v>90</v>
      </c>
      <c r="N588" s="66" t="s">
        <v>2309</v>
      </c>
      <c r="O588" s="66" t="s">
        <v>7</v>
      </c>
      <c r="P588" s="66" t="s">
        <v>62</v>
      </c>
      <c r="Q588" s="66" t="s">
        <v>5002</v>
      </c>
      <c r="R588" s="67" cm="1">
        <f t="array" aca="1" ref="R588" ca="1">_xlfn.CHOOSECOLS(_xlfn.CHOOSEROWS(_xlfn._xlws.FILTER(표2[],표2[DWG No.]=C588,""),1),6)</f>
        <v>42977</v>
      </c>
      <c r="S588" s="67" cm="1">
        <f t="array" aca="1" ref="S588" ca="1">_xlfn.CHOOSECOLS(_xlfn.CHOOSEROWS(_xlfn._xlws.FILTER(표2[],(표2[DWG No.]=C588)*(ISNUMBER(표2[Rev.])),""),1),6)</f>
        <v>43034</v>
      </c>
    </row>
    <row r="589" spans="1:19" ht="18" customHeight="1" x14ac:dyDescent="0.45">
      <c r="A589" s="64">
        <v>584</v>
      </c>
      <c r="B589" s="49" t="s">
        <v>57</v>
      </c>
      <c r="C589" s="65" t="s">
        <v>2310</v>
      </c>
      <c r="D589" s="66" t="s">
        <v>2311</v>
      </c>
      <c r="E589" s="65" t="s">
        <v>2312</v>
      </c>
      <c r="F589" s="66" t="s">
        <v>5</v>
      </c>
      <c r="G589" s="67">
        <v>42923</v>
      </c>
      <c r="H589" s="67">
        <v>42986</v>
      </c>
      <c r="I589" s="67">
        <v>43066</v>
      </c>
      <c r="J589" s="66" t="s">
        <v>2284</v>
      </c>
      <c r="K589" s="66" t="s">
        <v>7</v>
      </c>
      <c r="L589" s="66" t="s">
        <v>89</v>
      </c>
      <c r="M589" s="67" t="s">
        <v>155</v>
      </c>
      <c r="N589" s="66" t="s">
        <v>2313</v>
      </c>
      <c r="O589" s="66" t="s">
        <v>7</v>
      </c>
      <c r="P589" s="66" t="s">
        <v>89</v>
      </c>
      <c r="Q589" s="66" t="s">
        <v>5002</v>
      </c>
      <c r="R589" s="67" cm="1">
        <f t="array" aca="1" ref="R589" ca="1">_xlfn.CHOOSECOLS(_xlfn.CHOOSEROWS(_xlfn._xlws.FILTER(표2[],표2[DWG No.]=C589,""),1),6)</f>
        <v>42968</v>
      </c>
      <c r="S589" s="67" cm="1">
        <f t="array" aca="1" ref="S589" ca="1">_xlfn.CHOOSECOLS(_xlfn.CHOOSEROWS(_xlfn._xlws.FILTER(표2[],(표2[DWG No.]=C589)*(ISNUMBER(표2[Rev.])),""),1),6)</f>
        <v>43007</v>
      </c>
    </row>
    <row r="590" spans="1:19" ht="18" customHeight="1" x14ac:dyDescent="0.45">
      <c r="A590" s="64">
        <v>585</v>
      </c>
      <c r="B590" s="49" t="s">
        <v>57</v>
      </c>
      <c r="C590" s="65" t="s">
        <v>2314</v>
      </c>
      <c r="D590" s="66" t="s">
        <v>2315</v>
      </c>
      <c r="E590" s="65" t="s">
        <v>2316</v>
      </c>
      <c r="F590" s="66" t="s">
        <v>6</v>
      </c>
      <c r="G590" s="67">
        <v>42916</v>
      </c>
      <c r="H590" s="67">
        <v>42986</v>
      </c>
      <c r="I590" s="67">
        <v>43007</v>
      </c>
      <c r="J590" s="66" t="s">
        <v>2200</v>
      </c>
      <c r="K590" s="66" t="s">
        <v>7</v>
      </c>
      <c r="L590" s="66" t="s">
        <v>62</v>
      </c>
      <c r="M590" s="67" t="s">
        <v>143</v>
      </c>
      <c r="N590" s="66" t="s">
        <v>2317</v>
      </c>
      <c r="O590" s="66" t="s">
        <v>7</v>
      </c>
      <c r="P590" s="66" t="s">
        <v>62</v>
      </c>
      <c r="Q590" s="66" t="s">
        <v>5002</v>
      </c>
      <c r="R590" s="67" cm="1">
        <f t="array" aca="1" ref="R590" ca="1">_xlfn.CHOOSECOLS(_xlfn.CHOOSEROWS(_xlfn._xlws.FILTER(표2[],표2[DWG No.]=C590,""),1),6)</f>
        <v>42929</v>
      </c>
      <c r="S590" s="67" cm="1">
        <f t="array" aca="1" ref="S590" ca="1">_xlfn.CHOOSECOLS(_xlfn.CHOOSEROWS(_xlfn._xlws.FILTER(표2[],(표2[DWG No.]=C590)*(ISNUMBER(표2[Rev.])),""),1),6)</f>
        <v>43007</v>
      </c>
    </row>
    <row r="591" spans="1:19" ht="18" customHeight="1" x14ac:dyDescent="0.45">
      <c r="A591" s="64">
        <v>586</v>
      </c>
      <c r="B591" s="49" t="s">
        <v>57</v>
      </c>
      <c r="C591" s="65" t="s">
        <v>2318</v>
      </c>
      <c r="D591" s="66" t="s">
        <v>2319</v>
      </c>
      <c r="E591" s="65" t="s">
        <v>2320</v>
      </c>
      <c r="F591" s="66" t="s">
        <v>5</v>
      </c>
      <c r="G591" s="67">
        <v>42951</v>
      </c>
      <c r="H591" s="67">
        <v>42986</v>
      </c>
      <c r="I591" s="67">
        <v>43089</v>
      </c>
      <c r="J591" s="66" t="s">
        <v>2234</v>
      </c>
      <c r="K591" s="66" t="s">
        <v>7</v>
      </c>
      <c r="L591" s="66" t="s">
        <v>89</v>
      </c>
      <c r="M591" s="67" t="s">
        <v>155</v>
      </c>
      <c r="N591" s="66" t="s">
        <v>2321</v>
      </c>
      <c r="O591" s="66" t="s">
        <v>7</v>
      </c>
      <c r="P591" s="66" t="s">
        <v>89</v>
      </c>
      <c r="Q591" s="66" t="s">
        <v>5002</v>
      </c>
      <c r="R591" s="67" cm="1">
        <f t="array" aca="1" ref="R591" ca="1">_xlfn.CHOOSECOLS(_xlfn.CHOOSEROWS(_xlfn._xlws.FILTER(표2[],표2[DWG No.]=C591,""),1),6)</f>
        <v>42998</v>
      </c>
      <c r="S591" s="67" cm="1">
        <f t="array" aca="1" ref="S591" ca="1">_xlfn.CHOOSECOLS(_xlfn.CHOOSEROWS(_xlfn._xlws.FILTER(표2[],(표2[DWG No.]=C591)*(ISNUMBER(표2[Rev.])),""),1),6)</f>
        <v>43040</v>
      </c>
    </row>
    <row r="592" spans="1:19" ht="18" customHeight="1" x14ac:dyDescent="0.45">
      <c r="A592" s="64">
        <v>587</v>
      </c>
      <c r="B592" s="49" t="s">
        <v>57</v>
      </c>
      <c r="C592" s="65" t="s">
        <v>2322</v>
      </c>
      <c r="D592" s="66" t="s">
        <v>2323</v>
      </c>
      <c r="E592" s="65" t="s">
        <v>2324</v>
      </c>
      <c r="F592" s="66" t="s">
        <v>5</v>
      </c>
      <c r="G592" s="67">
        <v>42951</v>
      </c>
      <c r="H592" s="67">
        <v>42986</v>
      </c>
      <c r="I592" s="67">
        <v>43066</v>
      </c>
      <c r="J592" s="66" t="s">
        <v>2284</v>
      </c>
      <c r="K592" s="66" t="s">
        <v>7</v>
      </c>
      <c r="L592" s="66" t="s">
        <v>89</v>
      </c>
      <c r="M592" s="67" t="s">
        <v>155</v>
      </c>
      <c r="N592" s="66" t="s">
        <v>2325</v>
      </c>
      <c r="O592" s="66" t="s">
        <v>7</v>
      </c>
      <c r="P592" s="66" t="s">
        <v>89</v>
      </c>
      <c r="Q592" s="66" t="s">
        <v>5002</v>
      </c>
      <c r="R592" s="67" cm="1">
        <f t="array" aca="1" ref="R592" ca="1">_xlfn.CHOOSECOLS(_xlfn.CHOOSEROWS(_xlfn._xlws.FILTER(표2[],표2[DWG No.]=C592,""),1),6)</f>
        <v>42998</v>
      </c>
      <c r="S592" s="67" cm="1">
        <f t="array" aca="1" ref="S592" ca="1">_xlfn.CHOOSECOLS(_xlfn.CHOOSEROWS(_xlfn._xlws.FILTER(표2[],(표2[DWG No.]=C592)*(ISNUMBER(표2[Rev.])),""),1),6)</f>
        <v>43040</v>
      </c>
    </row>
    <row r="593" spans="1:19" ht="18" customHeight="1" x14ac:dyDescent="0.45">
      <c r="A593" s="64">
        <v>588</v>
      </c>
      <c r="B593" s="49" t="s">
        <v>57</v>
      </c>
      <c r="C593" s="65" t="s">
        <v>2326</v>
      </c>
      <c r="D593" s="66" t="s">
        <v>2327</v>
      </c>
      <c r="E593" s="65" t="s">
        <v>2328</v>
      </c>
      <c r="F593" s="66" t="s">
        <v>5</v>
      </c>
      <c r="G593" s="67">
        <v>42923</v>
      </c>
      <c r="H593" s="67">
        <v>42986</v>
      </c>
      <c r="I593" s="67">
        <v>43040</v>
      </c>
      <c r="J593" s="66" t="s">
        <v>2205</v>
      </c>
      <c r="K593" s="66" t="s">
        <v>7</v>
      </c>
      <c r="L593" s="66" t="s">
        <v>62</v>
      </c>
      <c r="M593" s="67" t="s">
        <v>2870</v>
      </c>
      <c r="N593" s="66" t="s">
        <v>2894</v>
      </c>
      <c r="O593" s="66" t="s">
        <v>5</v>
      </c>
      <c r="P593" s="66" t="s">
        <v>160</v>
      </c>
      <c r="Q593" s="66" t="s">
        <v>2702</v>
      </c>
      <c r="R593" s="67" cm="1">
        <f t="array" aca="1" ref="R593" ca="1">_xlfn.CHOOSECOLS(_xlfn.CHOOSEROWS(_xlfn._xlws.FILTER(표2[],표2[DWG No.]=C593,""),1),6)</f>
        <v>42954</v>
      </c>
      <c r="S593" s="67" cm="1">
        <f t="array" aca="1" ref="S593" ca="1">_xlfn.CHOOSECOLS(_xlfn.CHOOSEROWS(_xlfn._xlws.FILTER(표2[],(표2[DWG No.]=C593)*(ISNUMBER(표2[Rev.])),""),1),6)</f>
        <v>43040</v>
      </c>
    </row>
    <row r="594" spans="1:19" ht="18" customHeight="1" x14ac:dyDescent="0.45">
      <c r="A594" s="64">
        <v>589</v>
      </c>
      <c r="B594" s="49" t="s">
        <v>57</v>
      </c>
      <c r="C594" s="65" t="s">
        <v>2329</v>
      </c>
      <c r="D594" s="66" t="s">
        <v>2330</v>
      </c>
      <c r="E594" s="65" t="s">
        <v>2331</v>
      </c>
      <c r="F594" s="66" t="s">
        <v>6</v>
      </c>
      <c r="G594" s="67">
        <v>42958</v>
      </c>
      <c r="H594" s="67">
        <v>42986</v>
      </c>
      <c r="I594" s="67">
        <v>43040</v>
      </c>
      <c r="J594" s="66" t="s">
        <v>2239</v>
      </c>
      <c r="K594" s="66" t="s">
        <v>7</v>
      </c>
      <c r="L594" s="66" t="s">
        <v>62</v>
      </c>
      <c r="M594" s="67" t="s">
        <v>90</v>
      </c>
      <c r="N594" s="66" t="s">
        <v>2893</v>
      </c>
      <c r="O594" s="66" t="s">
        <v>6</v>
      </c>
      <c r="P594" s="66" t="s">
        <v>65</v>
      </c>
      <c r="Q594" s="66" t="s">
        <v>65</v>
      </c>
      <c r="R594" s="67" cm="1">
        <f t="array" aca="1" ref="R594" ca="1">_xlfn.CHOOSECOLS(_xlfn.CHOOSEROWS(_xlfn._xlws.FILTER(표2[],표2[DWG No.]=C594,""),1),6)</f>
        <v>43021</v>
      </c>
      <c r="S594" s="67" cm="1">
        <f t="array" aca="1" ref="S594" ca="1">_xlfn.CHOOSECOLS(_xlfn.CHOOSEROWS(_xlfn._xlws.FILTER(표2[],(표2[DWG No.]=C594)*(ISNUMBER(표2[Rev.])),""),1),6)</f>
        <v>43040</v>
      </c>
    </row>
    <row r="595" spans="1:19" ht="18" customHeight="1" x14ac:dyDescent="0.45">
      <c r="A595" s="64">
        <v>590</v>
      </c>
      <c r="B595" s="49" t="s">
        <v>57</v>
      </c>
      <c r="C595" s="65" t="s">
        <v>2332</v>
      </c>
      <c r="D595" s="66" t="s">
        <v>2333</v>
      </c>
      <c r="E595" s="65" t="s">
        <v>2334</v>
      </c>
      <c r="F595" s="66" t="s">
        <v>5</v>
      </c>
      <c r="G595" s="67">
        <v>42937</v>
      </c>
      <c r="H595" s="67">
        <v>42986</v>
      </c>
      <c r="I595" s="67">
        <v>43040</v>
      </c>
      <c r="J595" s="66" t="s">
        <v>2239</v>
      </c>
      <c r="K595" s="66" t="s">
        <v>7</v>
      </c>
      <c r="L595" s="66" t="s">
        <v>62</v>
      </c>
      <c r="M595" s="67" t="s">
        <v>90</v>
      </c>
      <c r="N595" s="66" t="s">
        <v>2893</v>
      </c>
      <c r="O595" s="66" t="s">
        <v>5</v>
      </c>
      <c r="P595" s="66" t="s">
        <v>65</v>
      </c>
      <c r="Q595" s="66" t="s">
        <v>2702</v>
      </c>
      <c r="R595" s="67" cm="1">
        <f t="array" aca="1" ref="R595" ca="1">_xlfn.CHOOSECOLS(_xlfn.CHOOSEROWS(_xlfn._xlws.FILTER(표2[],표2[DWG No.]=C595,""),1),6)</f>
        <v>43021</v>
      </c>
      <c r="S595" s="67" cm="1">
        <f t="array" aca="1" ref="S595" ca="1">_xlfn.CHOOSECOLS(_xlfn.CHOOSEROWS(_xlfn._xlws.FILTER(표2[],(표2[DWG No.]=C595)*(ISNUMBER(표2[Rev.])),""),1),6)</f>
        <v>43040</v>
      </c>
    </row>
    <row r="596" spans="1:19" ht="18" customHeight="1" x14ac:dyDescent="0.45">
      <c r="A596" s="64">
        <v>591</v>
      </c>
      <c r="B596" s="49" t="s">
        <v>57</v>
      </c>
      <c r="C596" s="65" t="s">
        <v>2335</v>
      </c>
      <c r="D596" s="66" t="s">
        <v>2336</v>
      </c>
      <c r="E596" s="65" t="s">
        <v>2337</v>
      </c>
      <c r="F596" s="66" t="s">
        <v>6</v>
      </c>
      <c r="G596" s="67">
        <v>42916</v>
      </c>
      <c r="H596" s="67">
        <v>42986</v>
      </c>
      <c r="I596" s="67">
        <v>43007</v>
      </c>
      <c r="J596" s="66" t="s">
        <v>2225</v>
      </c>
      <c r="K596" s="66" t="s">
        <v>7</v>
      </c>
      <c r="L596" s="66" t="s">
        <v>62</v>
      </c>
      <c r="M596" s="67" t="s">
        <v>143</v>
      </c>
      <c r="N596" s="66" t="s">
        <v>2338</v>
      </c>
      <c r="O596" s="66" t="s">
        <v>7</v>
      </c>
      <c r="P596" s="66" t="s">
        <v>62</v>
      </c>
      <c r="Q596" s="66" t="s">
        <v>5003</v>
      </c>
      <c r="R596" s="67" cm="1">
        <f t="array" aca="1" ref="R596" ca="1">_xlfn.CHOOSECOLS(_xlfn.CHOOSEROWS(_xlfn._xlws.FILTER(표2[],표2[DWG No.]=C596,""),1),6)</f>
        <v>42968</v>
      </c>
      <c r="S596" s="67" cm="1">
        <f t="array" aca="1" ref="S596" ca="1">_xlfn.CHOOSECOLS(_xlfn.CHOOSEROWS(_xlfn._xlws.FILTER(표2[],(표2[DWG No.]=C596)*(ISNUMBER(표2[Rev.])),""),1),6)</f>
        <v>43007</v>
      </c>
    </row>
    <row r="597" spans="1:19" ht="18" customHeight="1" x14ac:dyDescent="0.45">
      <c r="A597" s="64">
        <v>592</v>
      </c>
      <c r="B597" s="49" t="s">
        <v>57</v>
      </c>
      <c r="C597" s="65" t="s">
        <v>2339</v>
      </c>
      <c r="D597" s="66" t="s">
        <v>2340</v>
      </c>
      <c r="E597" s="65" t="s">
        <v>2341</v>
      </c>
      <c r="F597" s="66" t="s">
        <v>5</v>
      </c>
      <c r="G597" s="67">
        <v>42937</v>
      </c>
      <c r="H597" s="67">
        <v>42986</v>
      </c>
      <c r="I597" s="67">
        <v>43007</v>
      </c>
      <c r="J597" s="66" t="s">
        <v>2200</v>
      </c>
      <c r="K597" s="66" t="s">
        <v>7</v>
      </c>
      <c r="L597" s="66" t="s">
        <v>62</v>
      </c>
      <c r="M597" s="67" t="s">
        <v>143</v>
      </c>
      <c r="N597" s="66" t="s">
        <v>2342</v>
      </c>
      <c r="O597" s="66" t="s">
        <v>7</v>
      </c>
      <c r="P597" s="66" t="s">
        <v>62</v>
      </c>
      <c r="Q597" s="66" t="s">
        <v>5002</v>
      </c>
      <c r="R597" s="67" cm="1">
        <f t="array" aca="1" ref="R597" ca="1">_xlfn.CHOOSECOLS(_xlfn.CHOOSEROWS(_xlfn._xlws.FILTER(표2[],표2[DWG No.]=C597,""),1),6)</f>
        <v>42977</v>
      </c>
      <c r="S597" s="67" cm="1">
        <f t="array" aca="1" ref="S597" ca="1">_xlfn.CHOOSECOLS(_xlfn.CHOOSEROWS(_xlfn._xlws.FILTER(표2[],(표2[DWG No.]=C597)*(ISNUMBER(표2[Rev.])),""),1),6)</f>
        <v>43007</v>
      </c>
    </row>
    <row r="598" spans="1:19" ht="18" customHeight="1" x14ac:dyDescent="0.45">
      <c r="A598" s="64">
        <v>593</v>
      </c>
      <c r="B598" s="49" t="s">
        <v>57</v>
      </c>
      <c r="C598" s="65" t="s">
        <v>2343</v>
      </c>
      <c r="D598" s="66" t="s">
        <v>2344</v>
      </c>
      <c r="E598" s="65" t="s">
        <v>2345</v>
      </c>
      <c r="F598" s="66" t="s">
        <v>6</v>
      </c>
      <c r="G598" s="67">
        <v>42923</v>
      </c>
      <c r="H598" s="67">
        <v>42986</v>
      </c>
      <c r="I598" s="67">
        <v>43007</v>
      </c>
      <c r="J598" s="66" t="s">
        <v>2200</v>
      </c>
      <c r="K598" s="66" t="s">
        <v>7</v>
      </c>
      <c r="L598" s="66" t="s">
        <v>62</v>
      </c>
      <c r="M598" s="67" t="s">
        <v>143</v>
      </c>
      <c r="N598" s="66" t="s">
        <v>2346</v>
      </c>
      <c r="O598" s="66" t="s">
        <v>7</v>
      </c>
      <c r="P598" s="66" t="s">
        <v>62</v>
      </c>
      <c r="Q598" s="66" t="s">
        <v>5003</v>
      </c>
      <c r="R598" s="67" cm="1">
        <f t="array" aca="1" ref="R598" ca="1">_xlfn.CHOOSECOLS(_xlfn.CHOOSEROWS(_xlfn._xlws.FILTER(표2[],표2[DWG No.]=C598,""),1),6)</f>
        <v>42954</v>
      </c>
      <c r="S598" s="67" cm="1">
        <f t="array" aca="1" ref="S598" ca="1">_xlfn.CHOOSECOLS(_xlfn.CHOOSEROWS(_xlfn._xlws.FILTER(표2[],(표2[DWG No.]=C598)*(ISNUMBER(표2[Rev.])),""),1),6)</f>
        <v>43007</v>
      </c>
    </row>
    <row r="599" spans="1:19" ht="18" customHeight="1" x14ac:dyDescent="0.45">
      <c r="A599" s="64">
        <v>594</v>
      </c>
      <c r="B599" s="49" t="s">
        <v>57</v>
      </c>
      <c r="C599" s="65" t="s">
        <v>2347</v>
      </c>
      <c r="D599" s="66" t="s">
        <v>2348</v>
      </c>
      <c r="E599" s="65" t="s">
        <v>2349</v>
      </c>
      <c r="F599" s="66" t="s">
        <v>5</v>
      </c>
      <c r="G599" s="67">
        <v>42930</v>
      </c>
      <c r="H599" s="67">
        <v>42986</v>
      </c>
      <c r="I599" s="67">
        <v>42984</v>
      </c>
      <c r="J599" s="66" t="s">
        <v>2266</v>
      </c>
      <c r="K599" s="66" t="s">
        <v>7</v>
      </c>
      <c r="L599" s="66" t="s">
        <v>62</v>
      </c>
      <c r="M599" s="67" t="s">
        <v>246</v>
      </c>
      <c r="N599" s="66" t="s">
        <v>2350</v>
      </c>
      <c r="O599" s="66" t="s">
        <v>7</v>
      </c>
      <c r="P599" s="66" t="s">
        <v>62</v>
      </c>
      <c r="Q599" s="66" t="s">
        <v>5002</v>
      </c>
      <c r="R599" s="67" cm="1">
        <f t="array" aca="1" ref="R599" ca="1">_xlfn.CHOOSECOLS(_xlfn.CHOOSEROWS(_xlfn._xlws.FILTER(표2[],표2[DWG No.]=C599,""),1),6)</f>
        <v>42954</v>
      </c>
      <c r="S599" s="67" cm="1">
        <f t="array" aca="1" ref="S599" ca="1">_xlfn.CHOOSECOLS(_xlfn.CHOOSEROWS(_xlfn._xlws.FILTER(표2[],(표2[DWG No.]=C599)*(ISNUMBER(표2[Rev.])),""),1),6)</f>
        <v>42984</v>
      </c>
    </row>
    <row r="600" spans="1:19" ht="18" customHeight="1" x14ac:dyDescent="0.45">
      <c r="A600" s="64">
        <v>595</v>
      </c>
      <c r="B600" s="49" t="s">
        <v>57</v>
      </c>
      <c r="C600" s="65" t="s">
        <v>2351</v>
      </c>
      <c r="D600" s="66" t="s">
        <v>2352</v>
      </c>
      <c r="E600" s="65" t="s">
        <v>2353</v>
      </c>
      <c r="F600" s="66" t="s">
        <v>6</v>
      </c>
      <c r="G600" s="67">
        <v>42955</v>
      </c>
      <c r="H600" s="67">
        <v>43047</v>
      </c>
      <c r="I600" s="67">
        <v>42984</v>
      </c>
      <c r="J600" s="66" t="s">
        <v>2266</v>
      </c>
      <c r="K600" s="66" t="s">
        <v>7</v>
      </c>
      <c r="L600" s="66" t="s">
        <v>62</v>
      </c>
      <c r="M600" s="67" t="s">
        <v>246</v>
      </c>
      <c r="N600" s="66" t="s">
        <v>2354</v>
      </c>
      <c r="O600" s="66" t="s">
        <v>7</v>
      </c>
      <c r="P600" s="66" t="s">
        <v>62</v>
      </c>
      <c r="Q600" s="66" t="s">
        <v>5002</v>
      </c>
      <c r="R600" s="67" cm="1">
        <f t="array" aca="1" ref="R600" ca="1">_xlfn.CHOOSECOLS(_xlfn.CHOOSEROWS(_xlfn._xlws.FILTER(표2[],표2[DWG No.]=C600,""),1),6)</f>
        <v>42954</v>
      </c>
      <c r="S600" s="67" cm="1">
        <f t="array" aca="1" ref="S600" ca="1">_xlfn.CHOOSECOLS(_xlfn.CHOOSEROWS(_xlfn._xlws.FILTER(표2[],(표2[DWG No.]=C600)*(ISNUMBER(표2[Rev.])),""),1),6)</f>
        <v>42984</v>
      </c>
    </row>
    <row r="601" spans="1:19" ht="18" customHeight="1" x14ac:dyDescent="0.45">
      <c r="A601" s="64">
        <v>596</v>
      </c>
      <c r="B601" s="49" t="s">
        <v>57</v>
      </c>
      <c r="C601" s="65" t="s">
        <v>2355</v>
      </c>
      <c r="D601" s="66" t="s">
        <v>2356</v>
      </c>
      <c r="E601" s="65" t="s">
        <v>2357</v>
      </c>
      <c r="F601" s="66" t="s">
        <v>5</v>
      </c>
      <c r="G601" s="67">
        <v>42930</v>
      </c>
      <c r="H601" s="67">
        <v>42986</v>
      </c>
      <c r="I601" s="67">
        <v>42984</v>
      </c>
      <c r="J601" s="66" t="s">
        <v>2266</v>
      </c>
      <c r="K601" s="66" t="s">
        <v>7</v>
      </c>
      <c r="L601" s="66" t="s">
        <v>62</v>
      </c>
      <c r="M601" s="67" t="s">
        <v>246</v>
      </c>
      <c r="N601" s="66" t="s">
        <v>2358</v>
      </c>
      <c r="O601" s="66" t="s">
        <v>7</v>
      </c>
      <c r="P601" s="66" t="s">
        <v>62</v>
      </c>
      <c r="Q601" s="66" t="s">
        <v>5002</v>
      </c>
      <c r="R601" s="67" cm="1">
        <f t="array" aca="1" ref="R601" ca="1">_xlfn.CHOOSECOLS(_xlfn.CHOOSEROWS(_xlfn._xlws.FILTER(표2[],표2[DWG No.]=C601,""),1),6)</f>
        <v>42954</v>
      </c>
      <c r="S601" s="67" cm="1">
        <f t="array" aca="1" ref="S601" ca="1">_xlfn.CHOOSECOLS(_xlfn.CHOOSEROWS(_xlfn._xlws.FILTER(표2[],(표2[DWG No.]=C601)*(ISNUMBER(표2[Rev.])),""),1),6)</f>
        <v>42984</v>
      </c>
    </row>
    <row r="602" spans="1:19" ht="18" customHeight="1" x14ac:dyDescent="0.45">
      <c r="A602" s="64">
        <v>597</v>
      </c>
      <c r="B602" s="49" t="s">
        <v>57</v>
      </c>
      <c r="C602" s="65" t="s">
        <v>2359</v>
      </c>
      <c r="D602" s="66" t="s">
        <v>2360</v>
      </c>
      <c r="E602" s="65" t="s">
        <v>2361</v>
      </c>
      <c r="F602" s="66" t="s">
        <v>5</v>
      </c>
      <c r="G602" s="67">
        <v>42930</v>
      </c>
      <c r="H602" s="67">
        <v>42986</v>
      </c>
      <c r="I602" s="67">
        <v>42998</v>
      </c>
      <c r="J602" s="66" t="s">
        <v>2279</v>
      </c>
      <c r="K602" s="66" t="s">
        <v>7</v>
      </c>
      <c r="L602" s="66" t="s">
        <v>62</v>
      </c>
      <c r="M602" s="67" t="s">
        <v>74</v>
      </c>
      <c r="N602" s="66" t="s">
        <v>2362</v>
      </c>
      <c r="O602" s="66" t="s">
        <v>7</v>
      </c>
      <c r="P602" s="66" t="s">
        <v>62</v>
      </c>
      <c r="Q602" s="66" t="s">
        <v>5002</v>
      </c>
      <c r="R602" s="67" cm="1">
        <f t="array" aca="1" ref="R602" ca="1">_xlfn.CHOOSECOLS(_xlfn.CHOOSEROWS(_xlfn._xlws.FILTER(표2[],표2[DWG No.]=C602,""),1),6)</f>
        <v>42954</v>
      </c>
      <c r="S602" s="67" cm="1">
        <f t="array" aca="1" ref="S602" ca="1">_xlfn.CHOOSECOLS(_xlfn.CHOOSEROWS(_xlfn._xlws.FILTER(표2[],(표2[DWG No.]=C602)*(ISNUMBER(표2[Rev.])),""),1),6)</f>
        <v>42998</v>
      </c>
    </row>
    <row r="603" spans="1:19" ht="18" customHeight="1" x14ac:dyDescent="0.45">
      <c r="A603" s="64">
        <v>598</v>
      </c>
      <c r="B603" s="49" t="s">
        <v>57</v>
      </c>
      <c r="C603" s="65" t="s">
        <v>2911</v>
      </c>
      <c r="D603" s="66" t="s">
        <v>2722</v>
      </c>
      <c r="E603" s="65" t="s">
        <v>2723</v>
      </c>
      <c r="F603" s="66" t="s">
        <v>5006</v>
      </c>
      <c r="G603" s="67">
        <v>43802</v>
      </c>
      <c r="H603" s="67">
        <v>43910</v>
      </c>
      <c r="I603" s="67">
        <v>43803</v>
      </c>
      <c r="J603" s="66" t="s">
        <v>2735</v>
      </c>
      <c r="K603" s="66" t="s">
        <v>5006</v>
      </c>
      <c r="L603" s="66" t="s">
        <v>65</v>
      </c>
      <c r="M603" s="67">
        <v>43827</v>
      </c>
      <c r="N603" s="66" t="s">
        <v>5005</v>
      </c>
      <c r="O603" s="66" t="s">
        <v>5006</v>
      </c>
      <c r="P603" s="66" t="s">
        <v>5002</v>
      </c>
      <c r="Q603" s="66" t="s">
        <v>5004</v>
      </c>
      <c r="R603" s="67" t="e" cm="1">
        <f t="array" ref="R603">_xlfn.CHOOSECOLS(_xlfn.CHOOSEROWS(_xlfn._xlws.FILTER(표2[],표2[DWG No.]=C603,""),1),6)</f>
        <v>#VALUE!</v>
      </c>
      <c r="S603" s="67" t="e" cm="1">
        <f t="array" ref="S603">_xlfn.CHOOSECOLS(_xlfn.CHOOSEROWS(_xlfn._xlws.FILTER(표2[],(표2[DWG No.]=C603)*(ISNUMBER(표2[Rev.])),""),1),6)</f>
        <v>#VALUE!</v>
      </c>
    </row>
    <row r="604" spans="1:19" ht="18" customHeight="1" x14ac:dyDescent="0.45">
      <c r="A604" s="64">
        <v>599</v>
      </c>
      <c r="B604" s="49" t="s">
        <v>57</v>
      </c>
      <c r="C604" s="65" t="s">
        <v>2621</v>
      </c>
      <c r="D604" s="66" t="s">
        <v>2622</v>
      </c>
      <c r="E604" s="65" t="s">
        <v>2623</v>
      </c>
      <c r="F604" s="66" t="s">
        <v>5</v>
      </c>
      <c r="G604" s="67">
        <v>43304</v>
      </c>
      <c r="H604" s="67">
        <v>43368</v>
      </c>
      <c r="I604" s="67">
        <v>43733</v>
      </c>
      <c r="J604" s="66" t="s">
        <v>2719</v>
      </c>
      <c r="K604" s="66" t="s">
        <v>7</v>
      </c>
      <c r="L604" s="66" t="s">
        <v>62</v>
      </c>
      <c r="M604" s="67" t="s">
        <v>2720</v>
      </c>
      <c r="N604" s="66" t="s">
        <v>2721</v>
      </c>
      <c r="O604" s="66" t="s">
        <v>7</v>
      </c>
      <c r="P604" s="66" t="s">
        <v>62</v>
      </c>
      <c r="Q604" s="66" t="s">
        <v>65</v>
      </c>
      <c r="R604" s="67" t="e" cm="1">
        <f t="array" ref="R604">_xlfn.CHOOSECOLS(_xlfn.CHOOSEROWS(_xlfn._xlws.FILTER(표2[],표2[DWG No.]=C604,""),1),6)</f>
        <v>#VALUE!</v>
      </c>
      <c r="S604" s="67" t="e" cm="1">
        <f t="array" ref="S604">_xlfn.CHOOSECOLS(_xlfn.CHOOSEROWS(_xlfn._xlws.FILTER(표2[],(표2[DWG No.]=C604)*(ISNUMBER(표2[Rev.])),""),1),6)</f>
        <v>#VALUE!</v>
      </c>
    </row>
    <row r="605" spans="1:19" ht="18" customHeight="1" x14ac:dyDescent="0.45">
      <c r="A605" s="64">
        <v>600</v>
      </c>
      <c r="B605" s="49" t="s">
        <v>57</v>
      </c>
      <c r="C605" s="65" t="s">
        <v>2363</v>
      </c>
      <c r="D605" s="66" t="s">
        <v>2364</v>
      </c>
      <c r="E605" s="65" t="s">
        <v>2365</v>
      </c>
      <c r="F605" s="66" t="s">
        <v>6</v>
      </c>
      <c r="G605" s="67">
        <v>43159</v>
      </c>
      <c r="H605" s="67">
        <v>43220</v>
      </c>
      <c r="I605" s="67">
        <v>43802</v>
      </c>
      <c r="J605" s="66" t="s">
        <v>2736</v>
      </c>
      <c r="K605" s="66" t="s">
        <v>7</v>
      </c>
      <c r="L605" s="66" t="s">
        <v>89</v>
      </c>
      <c r="M605" s="67" t="s">
        <v>2737</v>
      </c>
      <c r="N605" s="66" t="s">
        <v>2738</v>
      </c>
      <c r="O605" s="66" t="s">
        <v>7</v>
      </c>
      <c r="P605" s="66" t="s">
        <v>89</v>
      </c>
      <c r="Q605" s="66" t="s">
        <v>65</v>
      </c>
      <c r="R605" s="67" cm="1">
        <f t="array" aca="1" ref="R605" ca="1">_xlfn.CHOOSECOLS(_xlfn.CHOOSEROWS(_xlfn._xlws.FILTER(표2[],표2[DWG No.]=C605,""),1),6)</f>
        <v>43160</v>
      </c>
      <c r="S605" s="67" t="e" cm="1">
        <f t="array" ref="S605">_xlfn.CHOOSECOLS(_xlfn.CHOOSEROWS(_xlfn._xlws.FILTER(표2[],(표2[DWG No.]=C605)*(ISNUMBER(표2[Rev.])),""),1),6)</f>
        <v>#VALUE!</v>
      </c>
    </row>
    <row r="606" spans="1:19" ht="18" customHeight="1" x14ac:dyDescent="0.45">
      <c r="A606" s="64">
        <v>601</v>
      </c>
      <c r="B606" s="49" t="s">
        <v>57</v>
      </c>
      <c r="C606" s="65" t="s">
        <v>2366</v>
      </c>
      <c r="D606" s="66" t="s">
        <v>2367</v>
      </c>
      <c r="E606" s="65" t="s">
        <v>2368</v>
      </c>
      <c r="F606" s="66" t="s">
        <v>6</v>
      </c>
      <c r="G606" s="67">
        <v>43130</v>
      </c>
      <c r="H606" s="67">
        <v>43189</v>
      </c>
      <c r="I606" s="67">
        <v>43789</v>
      </c>
      <c r="J606" s="66" t="s">
        <v>2739</v>
      </c>
      <c r="K606" s="66" t="s">
        <v>7</v>
      </c>
      <c r="L606" s="66" t="s">
        <v>89</v>
      </c>
      <c r="M606" s="67" t="s">
        <v>2724</v>
      </c>
      <c r="N606" s="66" t="s">
        <v>2740</v>
      </c>
      <c r="O606" s="66" t="s">
        <v>7</v>
      </c>
      <c r="P606" s="66" t="s">
        <v>89</v>
      </c>
      <c r="Q606" s="66" t="s">
        <v>65</v>
      </c>
      <c r="R606" s="67" cm="1">
        <f t="array" aca="1" ref="R606" ca="1">_xlfn.CHOOSECOLS(_xlfn.CHOOSEROWS(_xlfn._xlws.FILTER(표2[],표2[DWG No.]=C606,""),1),6)</f>
        <v>43132</v>
      </c>
      <c r="S606" s="67" t="e" cm="1">
        <f t="array" ref="S606">_xlfn.CHOOSECOLS(_xlfn.CHOOSEROWS(_xlfn._xlws.FILTER(표2[],(표2[DWG No.]=C606)*(ISNUMBER(표2[Rev.])),""),1),6)</f>
        <v>#VALUE!</v>
      </c>
    </row>
    <row r="607" spans="1:19" ht="18" customHeight="1" x14ac:dyDescent="0.45">
      <c r="A607" s="64">
        <v>602</v>
      </c>
      <c r="B607" s="49" t="s">
        <v>57</v>
      </c>
      <c r="C607" s="65" t="s">
        <v>2369</v>
      </c>
      <c r="D607" s="66" t="s">
        <v>2370</v>
      </c>
      <c r="E607" s="65" t="s">
        <v>2371</v>
      </c>
      <c r="F607" s="66" t="s">
        <v>6</v>
      </c>
      <c r="G607" s="67">
        <v>43130</v>
      </c>
      <c r="H607" s="67">
        <v>43189</v>
      </c>
      <c r="I607" s="67">
        <v>43789</v>
      </c>
      <c r="J607" s="66" t="s">
        <v>2741</v>
      </c>
      <c r="K607" s="66" t="s">
        <v>7</v>
      </c>
      <c r="L607" s="66" t="s">
        <v>89</v>
      </c>
      <c r="M607" s="67" t="s">
        <v>2724</v>
      </c>
      <c r="N607" s="66" t="s">
        <v>2742</v>
      </c>
      <c r="O607" s="66" t="s">
        <v>7</v>
      </c>
      <c r="P607" s="66" t="s">
        <v>89</v>
      </c>
      <c r="Q607" s="66" t="s">
        <v>65</v>
      </c>
      <c r="R607" s="67" cm="1">
        <f t="array" aca="1" ref="R607" ca="1">_xlfn.CHOOSECOLS(_xlfn.CHOOSEROWS(_xlfn._xlws.FILTER(표2[],표2[DWG No.]=C607,""),1),6)</f>
        <v>43125</v>
      </c>
      <c r="S607" s="67" t="e" cm="1">
        <f t="array" ref="S607">_xlfn.CHOOSECOLS(_xlfn.CHOOSEROWS(_xlfn._xlws.FILTER(표2[],(표2[DWG No.]=C607)*(ISNUMBER(표2[Rev.])),""),1),6)</f>
        <v>#VALUE!</v>
      </c>
    </row>
    <row r="608" spans="1:19" ht="18" customHeight="1" x14ac:dyDescent="0.45">
      <c r="A608" s="64">
        <v>603</v>
      </c>
      <c r="B608" s="49" t="s">
        <v>57</v>
      </c>
      <c r="C608" s="65" t="s">
        <v>2372</v>
      </c>
      <c r="D608" s="66" t="s">
        <v>2373</v>
      </c>
      <c r="E608" s="65" t="s">
        <v>2374</v>
      </c>
      <c r="F608" s="66" t="s">
        <v>6</v>
      </c>
      <c r="G608" s="67">
        <v>43130</v>
      </c>
      <c r="H608" s="67">
        <v>43189</v>
      </c>
      <c r="I608" s="67">
        <v>43789</v>
      </c>
      <c r="J608" s="66" t="s">
        <v>2743</v>
      </c>
      <c r="K608" s="66" t="s">
        <v>7</v>
      </c>
      <c r="L608" s="66" t="s">
        <v>89</v>
      </c>
      <c r="M608" s="67" t="s">
        <v>2724</v>
      </c>
      <c r="N608" s="66" t="s">
        <v>2744</v>
      </c>
      <c r="O608" s="66" t="s">
        <v>7</v>
      </c>
      <c r="P608" s="66" t="s">
        <v>89</v>
      </c>
      <c r="Q608" s="66" t="s">
        <v>65</v>
      </c>
      <c r="R608" s="67" cm="1">
        <f t="array" aca="1" ref="R608" ca="1">_xlfn.CHOOSECOLS(_xlfn.CHOOSEROWS(_xlfn._xlws.FILTER(표2[],표2[DWG No.]=C608,""),1),6)</f>
        <v>43125</v>
      </c>
      <c r="S608" s="67" t="e" cm="1">
        <f t="array" ref="S608">_xlfn.CHOOSECOLS(_xlfn.CHOOSEROWS(_xlfn._xlws.FILTER(표2[],(표2[DWG No.]=C608)*(ISNUMBER(표2[Rev.])),""),1),6)</f>
        <v>#VALUE!</v>
      </c>
    </row>
    <row r="609" spans="1:19" ht="18" customHeight="1" x14ac:dyDescent="0.45">
      <c r="A609" s="64">
        <v>604</v>
      </c>
      <c r="B609" s="49" t="s">
        <v>57</v>
      </c>
      <c r="C609" s="65" t="s">
        <v>2375</v>
      </c>
      <c r="D609" s="66" t="s">
        <v>2376</v>
      </c>
      <c r="E609" s="65" t="s">
        <v>2377</v>
      </c>
      <c r="F609" s="66" t="s">
        <v>6</v>
      </c>
      <c r="G609" s="67">
        <v>43130</v>
      </c>
      <c r="H609" s="67">
        <v>43189</v>
      </c>
      <c r="I609" s="67">
        <v>43802</v>
      </c>
      <c r="J609" s="66" t="s">
        <v>2745</v>
      </c>
      <c r="K609" s="66" t="s">
        <v>7</v>
      </c>
      <c r="L609" s="66" t="s">
        <v>89</v>
      </c>
      <c r="M609" s="67" t="s">
        <v>2737</v>
      </c>
      <c r="N609" s="66" t="s">
        <v>2746</v>
      </c>
      <c r="O609" s="66" t="s">
        <v>7</v>
      </c>
      <c r="P609" s="66" t="s">
        <v>89</v>
      </c>
      <c r="Q609" s="66" t="s">
        <v>65</v>
      </c>
      <c r="R609" s="67" cm="1">
        <f t="array" aca="1" ref="R609" ca="1">_xlfn.CHOOSECOLS(_xlfn.CHOOSEROWS(_xlfn._xlws.FILTER(표2[],표2[DWG No.]=C609,""),1),6)</f>
        <v>43125</v>
      </c>
      <c r="S609" s="67" t="e" cm="1">
        <f t="array" ref="S609">_xlfn.CHOOSECOLS(_xlfn.CHOOSEROWS(_xlfn._xlws.FILTER(표2[],(표2[DWG No.]=C609)*(ISNUMBER(표2[Rev.])),""),1),6)</f>
        <v>#VALUE!</v>
      </c>
    </row>
    <row r="610" spans="1:19" ht="18" customHeight="1" x14ac:dyDescent="0.45">
      <c r="A610" s="64">
        <v>605</v>
      </c>
      <c r="B610" s="49" t="s">
        <v>57</v>
      </c>
      <c r="C610" s="65" t="s">
        <v>2378</v>
      </c>
      <c r="D610" s="66" t="s">
        <v>2379</v>
      </c>
      <c r="E610" s="65" t="s">
        <v>2380</v>
      </c>
      <c r="F610" s="66" t="s">
        <v>6</v>
      </c>
      <c r="G610" s="67">
        <v>43130</v>
      </c>
      <c r="H610" s="67">
        <v>43189</v>
      </c>
      <c r="I610" s="67">
        <v>43794</v>
      </c>
      <c r="J610" s="66" t="s">
        <v>2747</v>
      </c>
      <c r="K610" s="66" t="s">
        <v>7</v>
      </c>
      <c r="L610" s="66" t="s">
        <v>89</v>
      </c>
      <c r="M610" s="67" t="s">
        <v>2748</v>
      </c>
      <c r="N610" s="66" t="s">
        <v>2749</v>
      </c>
      <c r="O610" s="66" t="s">
        <v>7</v>
      </c>
      <c r="P610" s="66" t="s">
        <v>89</v>
      </c>
      <c r="Q610" s="66" t="s">
        <v>65</v>
      </c>
      <c r="R610" s="67" cm="1">
        <f t="array" aca="1" ref="R610" ca="1">_xlfn.CHOOSECOLS(_xlfn.CHOOSEROWS(_xlfn._xlws.FILTER(표2[],표2[DWG No.]=C610,""),1),6)</f>
        <v>43129</v>
      </c>
      <c r="S610" s="67" t="e" cm="1">
        <f t="array" ref="S610">_xlfn.CHOOSECOLS(_xlfn.CHOOSEROWS(_xlfn._xlws.FILTER(표2[],(표2[DWG No.]=C610)*(ISNUMBER(표2[Rev.])),""),1),6)</f>
        <v>#VALUE!</v>
      </c>
    </row>
    <row r="611" spans="1:19" ht="18" customHeight="1" x14ac:dyDescent="0.45">
      <c r="A611" s="64">
        <v>606</v>
      </c>
      <c r="B611" s="49" t="s">
        <v>57</v>
      </c>
      <c r="C611" s="65" t="s">
        <v>2381</v>
      </c>
      <c r="D611" s="66" t="s">
        <v>2382</v>
      </c>
      <c r="E611" s="65" t="s">
        <v>2383</v>
      </c>
      <c r="F611" s="66" t="s">
        <v>6</v>
      </c>
      <c r="G611" s="67">
        <v>43159</v>
      </c>
      <c r="H611" s="67">
        <v>43220</v>
      </c>
      <c r="I611" s="67">
        <v>43790</v>
      </c>
      <c r="J611" s="66" t="s">
        <v>2750</v>
      </c>
      <c r="K611" s="66" t="s">
        <v>7</v>
      </c>
      <c r="L611" s="66" t="s">
        <v>89</v>
      </c>
      <c r="M611" s="67" t="s">
        <v>2751</v>
      </c>
      <c r="N611" s="66" t="s">
        <v>2752</v>
      </c>
      <c r="O611" s="66" t="s">
        <v>7</v>
      </c>
      <c r="P611" s="66" t="s">
        <v>89</v>
      </c>
      <c r="Q611" s="66" t="s">
        <v>65</v>
      </c>
      <c r="R611" s="67" cm="1">
        <f t="array" aca="1" ref="R611" ca="1">_xlfn.CHOOSECOLS(_xlfn.CHOOSEROWS(_xlfn._xlws.FILTER(표2[],표2[DWG No.]=C611,""),1),6)</f>
        <v>43129</v>
      </c>
      <c r="S611" s="67" t="e" cm="1">
        <f t="array" ref="S611">_xlfn.CHOOSECOLS(_xlfn.CHOOSEROWS(_xlfn._xlws.FILTER(표2[],(표2[DWG No.]=C611)*(ISNUMBER(표2[Rev.])),""),1),6)</f>
        <v>#VALUE!</v>
      </c>
    </row>
    <row r="612" spans="1:19" ht="18" customHeight="1" x14ac:dyDescent="0.45">
      <c r="A612" s="64">
        <v>607</v>
      </c>
      <c r="B612" s="49" t="s">
        <v>57</v>
      </c>
      <c r="C612" s="65" t="s">
        <v>2384</v>
      </c>
      <c r="D612" s="66" t="s">
        <v>2385</v>
      </c>
      <c r="E612" s="65" t="s">
        <v>2386</v>
      </c>
      <c r="F612" s="66" t="s">
        <v>6</v>
      </c>
      <c r="G612" s="67">
        <v>43189</v>
      </c>
      <c r="H612" s="67">
        <v>43250</v>
      </c>
      <c r="I612" s="67">
        <v>43794</v>
      </c>
      <c r="J612" s="66" t="s">
        <v>2753</v>
      </c>
      <c r="K612" s="66" t="s">
        <v>7</v>
      </c>
      <c r="L612" s="66" t="s">
        <v>89</v>
      </c>
      <c r="M612" s="67" t="s">
        <v>2748</v>
      </c>
      <c r="N612" s="66" t="s">
        <v>2754</v>
      </c>
      <c r="O612" s="66" t="s">
        <v>7</v>
      </c>
      <c r="P612" s="66" t="s">
        <v>89</v>
      </c>
      <c r="Q612" s="66" t="s">
        <v>65</v>
      </c>
      <c r="R612" s="67" cm="1">
        <f t="array" aca="1" ref="R612" ca="1">_xlfn.CHOOSECOLS(_xlfn.CHOOSEROWS(_xlfn._xlws.FILTER(표2[],표2[DWG No.]=C612,""),1),6)</f>
        <v>43160</v>
      </c>
      <c r="S612" s="67" t="e" cm="1">
        <f t="array" ref="S612">_xlfn.CHOOSECOLS(_xlfn.CHOOSEROWS(_xlfn._xlws.FILTER(표2[],(표2[DWG No.]=C612)*(ISNUMBER(표2[Rev.])),""),1),6)</f>
        <v>#VALUE!</v>
      </c>
    </row>
    <row r="613" spans="1:19" ht="18" customHeight="1" x14ac:dyDescent="0.45">
      <c r="A613" s="64">
        <v>608</v>
      </c>
      <c r="B613" s="49" t="s">
        <v>57</v>
      </c>
      <c r="C613" s="65" t="s">
        <v>2387</v>
      </c>
      <c r="D613" s="66" t="s">
        <v>2388</v>
      </c>
      <c r="E613" s="65" t="s">
        <v>2389</v>
      </c>
      <c r="F613" s="66" t="s">
        <v>6</v>
      </c>
      <c r="G613" s="67">
        <v>43189</v>
      </c>
      <c r="H613" s="67">
        <v>43250</v>
      </c>
      <c r="I613" s="67">
        <v>43794</v>
      </c>
      <c r="J613" s="66" t="s">
        <v>2755</v>
      </c>
      <c r="K613" s="66" t="s">
        <v>7</v>
      </c>
      <c r="L613" s="66" t="s">
        <v>89</v>
      </c>
      <c r="M613" s="67" t="s">
        <v>2748</v>
      </c>
      <c r="N613" s="66" t="s">
        <v>2756</v>
      </c>
      <c r="O613" s="66" t="s">
        <v>7</v>
      </c>
      <c r="P613" s="66" t="s">
        <v>89</v>
      </c>
      <c r="Q613" s="66" t="s">
        <v>65</v>
      </c>
      <c r="R613" s="67" cm="1">
        <f t="array" aca="1" ref="R613" ca="1">_xlfn.CHOOSECOLS(_xlfn.CHOOSEROWS(_xlfn._xlws.FILTER(표2[],표2[DWG No.]=C613,""),1),6)</f>
        <v>43160</v>
      </c>
      <c r="S613" s="67" t="e" cm="1">
        <f t="array" ref="S613">_xlfn.CHOOSECOLS(_xlfn.CHOOSEROWS(_xlfn._xlws.FILTER(표2[],(표2[DWG No.]=C613)*(ISNUMBER(표2[Rev.])),""),1),6)</f>
        <v>#VALUE!</v>
      </c>
    </row>
    <row r="614" spans="1:19" ht="18" customHeight="1" x14ac:dyDescent="0.45">
      <c r="A614" s="64">
        <v>609</v>
      </c>
      <c r="B614" s="49" t="s">
        <v>57</v>
      </c>
      <c r="C614" s="65" t="s">
        <v>2390</v>
      </c>
      <c r="D614" s="66" t="s">
        <v>2391</v>
      </c>
      <c r="E614" s="65" t="s">
        <v>2392</v>
      </c>
      <c r="F614" s="66" t="s">
        <v>6</v>
      </c>
      <c r="G614" s="67">
        <v>43159</v>
      </c>
      <c r="H614" s="67">
        <v>43220</v>
      </c>
      <c r="I614" s="67">
        <v>43790</v>
      </c>
      <c r="J614" s="66" t="s">
        <v>2757</v>
      </c>
      <c r="K614" s="66" t="s">
        <v>7</v>
      </c>
      <c r="L614" s="66" t="s">
        <v>89</v>
      </c>
      <c r="M614" s="67" t="s">
        <v>2751</v>
      </c>
      <c r="N614" s="66" t="s">
        <v>2758</v>
      </c>
      <c r="O614" s="66" t="s">
        <v>7</v>
      </c>
      <c r="P614" s="66" t="s">
        <v>89</v>
      </c>
      <c r="Q614" s="66" t="s">
        <v>65</v>
      </c>
      <c r="R614" s="67" cm="1">
        <f t="array" aca="1" ref="R614" ca="1">_xlfn.CHOOSECOLS(_xlfn.CHOOSEROWS(_xlfn._xlws.FILTER(표2[],표2[DWG No.]=C614,""),1),6)</f>
        <v>43160</v>
      </c>
      <c r="S614" s="67" t="e" cm="1">
        <f t="array" ref="S614">_xlfn.CHOOSECOLS(_xlfn.CHOOSEROWS(_xlfn._xlws.FILTER(표2[],(표2[DWG No.]=C614)*(ISNUMBER(표2[Rev.])),""),1),6)</f>
        <v>#VALUE!</v>
      </c>
    </row>
    <row r="615" spans="1:19" ht="18" customHeight="1" x14ac:dyDescent="0.45">
      <c r="A615" s="64">
        <v>610</v>
      </c>
      <c r="B615" s="49" t="s">
        <v>57</v>
      </c>
      <c r="C615" s="65" t="s">
        <v>2393</v>
      </c>
      <c r="D615" s="66" t="s">
        <v>2394</v>
      </c>
      <c r="E615" s="65" t="s">
        <v>2395</v>
      </c>
      <c r="F615" s="66" t="s">
        <v>6</v>
      </c>
      <c r="G615" s="67">
        <v>43159</v>
      </c>
      <c r="H615" s="67">
        <v>43220</v>
      </c>
      <c r="I615" s="67">
        <v>43791</v>
      </c>
      <c r="J615" s="66" t="s">
        <v>2759</v>
      </c>
      <c r="K615" s="66" t="s">
        <v>7</v>
      </c>
      <c r="L615" s="66" t="s">
        <v>89</v>
      </c>
      <c r="M615" s="67" t="s">
        <v>2760</v>
      </c>
      <c r="N615" s="66" t="s">
        <v>2761</v>
      </c>
      <c r="O615" s="66" t="s">
        <v>7</v>
      </c>
      <c r="P615" s="66" t="s">
        <v>89</v>
      </c>
      <c r="Q615" s="66" t="s">
        <v>65</v>
      </c>
      <c r="R615" s="67" cm="1">
        <f t="array" aca="1" ref="R615" ca="1">_xlfn.CHOOSECOLS(_xlfn.CHOOSEROWS(_xlfn._xlws.FILTER(표2[],표2[DWG No.]=C615,""),1),6)</f>
        <v>43160</v>
      </c>
      <c r="S615" s="67" t="e" cm="1">
        <f t="array" ref="S615">_xlfn.CHOOSECOLS(_xlfn.CHOOSEROWS(_xlfn._xlws.FILTER(표2[],(표2[DWG No.]=C615)*(ISNUMBER(표2[Rev.])),""),1),6)</f>
        <v>#VALUE!</v>
      </c>
    </row>
    <row r="616" spans="1:19" ht="18" customHeight="1" x14ac:dyDescent="0.45">
      <c r="A616" s="64">
        <v>611</v>
      </c>
      <c r="B616" s="49" t="s">
        <v>57</v>
      </c>
      <c r="C616" s="65" t="s">
        <v>2396</v>
      </c>
      <c r="D616" s="66" t="s">
        <v>2397</v>
      </c>
      <c r="E616" s="65" t="s">
        <v>2398</v>
      </c>
      <c r="F616" s="66" t="s">
        <v>6</v>
      </c>
      <c r="G616" s="67">
        <v>43189</v>
      </c>
      <c r="H616" s="67">
        <v>43250</v>
      </c>
      <c r="I616" s="67">
        <v>43802</v>
      </c>
      <c r="J616" s="66" t="s">
        <v>2762</v>
      </c>
      <c r="K616" s="66" t="s">
        <v>7</v>
      </c>
      <c r="L616" s="66" t="s">
        <v>89</v>
      </c>
      <c r="M616" s="67" t="s">
        <v>2737</v>
      </c>
      <c r="N616" s="66" t="s">
        <v>2763</v>
      </c>
      <c r="O616" s="66" t="s">
        <v>7</v>
      </c>
      <c r="P616" s="66" t="s">
        <v>89</v>
      </c>
      <c r="Q616" s="66" t="s">
        <v>65</v>
      </c>
      <c r="R616" s="67" cm="1">
        <f t="array" aca="1" ref="R616" ca="1">_xlfn.CHOOSECOLS(_xlfn.CHOOSEROWS(_xlfn._xlws.FILTER(표2[],표2[DWG No.]=C616,""),1),6)</f>
        <v>43196</v>
      </c>
      <c r="S616" s="67" t="e" cm="1">
        <f t="array" ref="S616">_xlfn.CHOOSECOLS(_xlfn.CHOOSEROWS(_xlfn._xlws.FILTER(표2[],(표2[DWG No.]=C616)*(ISNUMBER(표2[Rev.])),""),1),6)</f>
        <v>#VALUE!</v>
      </c>
    </row>
    <row r="617" spans="1:19" ht="18" customHeight="1" x14ac:dyDescent="0.45">
      <c r="A617" s="64">
        <v>612</v>
      </c>
      <c r="B617" s="49" t="s">
        <v>57</v>
      </c>
      <c r="C617" s="65" t="s">
        <v>2399</v>
      </c>
      <c r="D617" s="66" t="s">
        <v>2400</v>
      </c>
      <c r="E617" s="65" t="s">
        <v>2401</v>
      </c>
      <c r="F617" s="66" t="s">
        <v>6</v>
      </c>
      <c r="G617" s="67">
        <v>43189</v>
      </c>
      <c r="H617" s="67">
        <v>43250</v>
      </c>
      <c r="I617" s="67">
        <v>43834</v>
      </c>
      <c r="J617" s="66" t="s">
        <v>2782</v>
      </c>
      <c r="K617" s="66" t="s">
        <v>7</v>
      </c>
      <c r="L617" s="66" t="s">
        <v>230</v>
      </c>
      <c r="M617" s="67" t="s">
        <v>2783</v>
      </c>
      <c r="N617" s="66" t="s">
        <v>2784</v>
      </c>
      <c r="O617" s="66" t="s">
        <v>7</v>
      </c>
      <c r="P617" s="66" t="s">
        <v>230</v>
      </c>
      <c r="Q617" s="66" t="s">
        <v>65</v>
      </c>
      <c r="R617" s="67" cm="1">
        <f t="array" aca="1" ref="R617" ca="1">_xlfn.CHOOSECOLS(_xlfn.CHOOSEROWS(_xlfn._xlws.FILTER(표2[],표2[DWG No.]=C617,""),1),6)</f>
        <v>43160</v>
      </c>
      <c r="S617" s="67" t="e" cm="1">
        <f t="array" ref="S617">_xlfn.CHOOSECOLS(_xlfn.CHOOSEROWS(_xlfn._xlws.FILTER(표2[],(표2[DWG No.]=C617)*(ISNUMBER(표2[Rev.])),""),1),6)</f>
        <v>#VALUE!</v>
      </c>
    </row>
    <row r="618" spans="1:19" ht="18" customHeight="1" x14ac:dyDescent="0.45">
      <c r="A618" s="64">
        <v>613</v>
      </c>
      <c r="B618" s="49" t="s">
        <v>57</v>
      </c>
      <c r="C618" s="65" t="s">
        <v>2402</v>
      </c>
      <c r="D618" s="66" t="s">
        <v>2403</v>
      </c>
      <c r="E618" s="65" t="s">
        <v>2404</v>
      </c>
      <c r="F618" s="66" t="s">
        <v>6</v>
      </c>
      <c r="G618" s="67">
        <v>43159</v>
      </c>
      <c r="H618" s="67">
        <v>43220</v>
      </c>
      <c r="I618" s="67">
        <v>43794</v>
      </c>
      <c r="J618" s="66" t="s">
        <v>2764</v>
      </c>
      <c r="K618" s="66" t="s">
        <v>7</v>
      </c>
      <c r="L618" s="66" t="s">
        <v>89</v>
      </c>
      <c r="M618" s="67" t="s">
        <v>2748</v>
      </c>
      <c r="N618" s="66" t="s">
        <v>2765</v>
      </c>
      <c r="O618" s="66" t="s">
        <v>7</v>
      </c>
      <c r="P618" s="66" t="s">
        <v>89</v>
      </c>
      <c r="Q618" s="66" t="s">
        <v>65</v>
      </c>
      <c r="R618" s="67" cm="1">
        <f t="array" aca="1" ref="R618" ca="1">_xlfn.CHOOSECOLS(_xlfn.CHOOSEROWS(_xlfn._xlws.FILTER(표2[],표2[DWG No.]=C618,""),1),6)</f>
        <v>43160</v>
      </c>
      <c r="S618" s="67" t="e" cm="1">
        <f t="array" ref="S618">_xlfn.CHOOSECOLS(_xlfn.CHOOSEROWS(_xlfn._xlws.FILTER(표2[],(표2[DWG No.]=C618)*(ISNUMBER(표2[Rev.])),""),1),6)</f>
        <v>#VALUE!</v>
      </c>
    </row>
    <row r="619" spans="1:19" ht="18" customHeight="1" x14ac:dyDescent="0.45">
      <c r="A619" s="64">
        <v>614</v>
      </c>
      <c r="B619" s="49" t="s">
        <v>57</v>
      </c>
      <c r="C619" s="65" t="s">
        <v>2405</v>
      </c>
      <c r="D619" s="66" t="s">
        <v>2406</v>
      </c>
      <c r="E619" s="65" t="s">
        <v>2407</v>
      </c>
      <c r="F619" s="66" t="s">
        <v>6</v>
      </c>
      <c r="G619" s="67">
        <v>43159</v>
      </c>
      <c r="H619" s="67">
        <v>43220</v>
      </c>
      <c r="I619" s="67">
        <v>43794</v>
      </c>
      <c r="J619" s="66" t="s">
        <v>2766</v>
      </c>
      <c r="K619" s="66" t="s">
        <v>7</v>
      </c>
      <c r="L619" s="66" t="s">
        <v>89</v>
      </c>
      <c r="M619" s="67" t="s">
        <v>2748</v>
      </c>
      <c r="N619" s="66" t="s">
        <v>2767</v>
      </c>
      <c r="O619" s="66" t="s">
        <v>7</v>
      </c>
      <c r="P619" s="66" t="s">
        <v>89</v>
      </c>
      <c r="Q619" s="66" t="s">
        <v>65</v>
      </c>
      <c r="R619" s="67" cm="1">
        <f t="array" aca="1" ref="R619" ca="1">_xlfn.CHOOSECOLS(_xlfn.CHOOSEROWS(_xlfn._xlws.FILTER(표2[],표2[DWG No.]=C619,""),1),6)</f>
        <v>43160</v>
      </c>
      <c r="S619" s="67" t="e" cm="1">
        <f t="array" ref="S619">_xlfn.CHOOSECOLS(_xlfn.CHOOSEROWS(_xlfn._xlws.FILTER(표2[],(표2[DWG No.]=C619)*(ISNUMBER(표2[Rev.])),""),1),6)</f>
        <v>#VALUE!</v>
      </c>
    </row>
    <row r="620" spans="1:19" ht="18" customHeight="1" x14ac:dyDescent="0.45">
      <c r="A620" s="64">
        <v>615</v>
      </c>
      <c r="B620" s="49" t="s">
        <v>57</v>
      </c>
      <c r="C620" s="65" t="s">
        <v>5017</v>
      </c>
      <c r="D620" s="66" t="s">
        <v>2408</v>
      </c>
      <c r="E620" s="65" t="s">
        <v>2409</v>
      </c>
      <c r="F620" s="66" t="s">
        <v>6</v>
      </c>
      <c r="G620" s="67">
        <v>43189</v>
      </c>
      <c r="H620" s="67">
        <v>43250</v>
      </c>
      <c r="I620" s="67">
        <v>43965</v>
      </c>
      <c r="J620" s="66" t="s">
        <v>5018</v>
      </c>
      <c r="K620" s="66" t="s">
        <v>7</v>
      </c>
      <c r="L620" s="66">
        <v>3</v>
      </c>
      <c r="M620" s="67"/>
      <c r="N620" s="66"/>
      <c r="O620" s="66"/>
      <c r="P620" s="66"/>
      <c r="Q620" s="66"/>
      <c r="R620" s="67" cm="1">
        <f t="array" aca="1" ref="R620" ca="1">_xlfn.CHOOSECOLS(_xlfn.CHOOSEROWS(_xlfn._xlws.FILTER(표2[],표2[DWG No.]=C620,""),1),6)</f>
        <v>43196</v>
      </c>
      <c r="S620" s="67" t="e" cm="1">
        <f t="array" ref="S620">_xlfn.CHOOSECOLS(_xlfn.CHOOSEROWS(_xlfn._xlws.FILTER(표2[],(표2[DWG No.]=C620)*(ISNUMBER(표2[Rev.])),""),1),6)</f>
        <v>#VALUE!</v>
      </c>
    </row>
    <row r="621" spans="1:19" ht="18" customHeight="1" x14ac:dyDescent="0.45">
      <c r="A621" s="64">
        <v>616</v>
      </c>
      <c r="B621" s="49" t="s">
        <v>57</v>
      </c>
      <c r="C621" s="65" t="s">
        <v>2691</v>
      </c>
      <c r="D621" s="66" t="s">
        <v>2692</v>
      </c>
      <c r="E621" s="65" t="s">
        <v>2693</v>
      </c>
      <c r="F621" s="66" t="s">
        <v>6</v>
      </c>
      <c r="G621" s="67">
        <v>43661</v>
      </c>
      <c r="H621" s="67">
        <v>43723</v>
      </c>
      <c r="I621" s="67">
        <v>43699</v>
      </c>
      <c r="J621" s="66" t="s">
        <v>2707</v>
      </c>
      <c r="K621" s="66" t="s">
        <v>7</v>
      </c>
      <c r="L621" s="66" t="s">
        <v>62</v>
      </c>
      <c r="M621" s="67" t="s">
        <v>2708</v>
      </c>
      <c r="N621" s="66" t="s">
        <v>2709</v>
      </c>
      <c r="O621" s="66" t="s">
        <v>7</v>
      </c>
      <c r="P621" s="66" t="s">
        <v>62</v>
      </c>
      <c r="Q621" s="66" t="s">
        <v>65</v>
      </c>
      <c r="R621" s="67" t="e" cm="1">
        <f t="array" ref="R621">_xlfn.CHOOSECOLS(_xlfn.CHOOSEROWS(_xlfn._xlws.FILTER(표2[],표2[DWG No.]=C621,""),1),6)</f>
        <v>#VALUE!</v>
      </c>
      <c r="S621" s="67" t="e" cm="1">
        <f t="array" ref="S621">_xlfn.CHOOSECOLS(_xlfn.CHOOSEROWS(_xlfn._xlws.FILTER(표2[],(표2[DWG No.]=C621)*(ISNUMBER(표2[Rev.])),""),1),6)</f>
        <v>#VALUE!</v>
      </c>
    </row>
    <row r="622" spans="1:19" ht="18" customHeight="1" x14ac:dyDescent="0.45">
      <c r="A622" s="64">
        <v>617</v>
      </c>
      <c r="B622" s="49" t="s">
        <v>57</v>
      </c>
      <c r="C622" s="65" t="s">
        <v>2410</v>
      </c>
      <c r="D622" s="66" t="s">
        <v>2411</v>
      </c>
      <c r="E622" s="65" t="s">
        <v>2412</v>
      </c>
      <c r="F622" s="66" t="s">
        <v>6</v>
      </c>
      <c r="G622" s="67">
        <v>43189</v>
      </c>
      <c r="H622" s="67">
        <v>43250</v>
      </c>
      <c r="I622" s="67">
        <v>43861</v>
      </c>
      <c r="J622" s="66" t="s">
        <v>2812</v>
      </c>
      <c r="K622" s="66" t="s">
        <v>7</v>
      </c>
      <c r="L622" s="66" t="s">
        <v>230</v>
      </c>
      <c r="M622" s="67" t="s">
        <v>2768</v>
      </c>
      <c r="N622" s="66" t="s">
        <v>2769</v>
      </c>
      <c r="O622" s="66" t="s">
        <v>7</v>
      </c>
      <c r="P622" s="66" t="s">
        <v>89</v>
      </c>
      <c r="Q622" s="66" t="s">
        <v>65</v>
      </c>
      <c r="R622" s="67" cm="1">
        <f t="array" aca="1" ref="R622" ca="1">_xlfn.CHOOSECOLS(_xlfn.CHOOSEROWS(_xlfn._xlws.FILTER(표2[],표2[DWG No.]=C622,""),1),6)</f>
        <v>43215</v>
      </c>
      <c r="S622" s="67" t="e" cm="1">
        <f t="array" ref="S622">_xlfn.CHOOSECOLS(_xlfn.CHOOSEROWS(_xlfn._xlws.FILTER(표2[],(표2[DWG No.]=C622)*(ISNUMBER(표2[Rev.])),""),1),6)</f>
        <v>#VALUE!</v>
      </c>
    </row>
    <row r="623" spans="1:19" ht="18" customHeight="1" x14ac:dyDescent="0.45">
      <c r="A623" s="64">
        <v>618</v>
      </c>
      <c r="B623" s="49" t="s">
        <v>57</v>
      </c>
      <c r="C623" s="65" t="s">
        <v>5019</v>
      </c>
      <c r="D623" s="66" t="s">
        <v>2413</v>
      </c>
      <c r="E623" s="65" t="s">
        <v>2414</v>
      </c>
      <c r="F623" s="66" t="s">
        <v>6</v>
      </c>
      <c r="G623" s="67">
        <v>43220</v>
      </c>
      <c r="H623" s="67">
        <v>43281</v>
      </c>
      <c r="I623" s="67">
        <v>43994</v>
      </c>
      <c r="J623" s="66" t="s">
        <v>5023</v>
      </c>
      <c r="K623" s="66" t="s">
        <v>7</v>
      </c>
      <c r="L623" s="66">
        <v>3</v>
      </c>
      <c r="M623" s="67">
        <v>43999</v>
      </c>
      <c r="N623" s="66" t="s">
        <v>5024</v>
      </c>
      <c r="O623" s="66" t="s">
        <v>7</v>
      </c>
      <c r="P623" s="66">
        <v>3</v>
      </c>
      <c r="Q623" s="66" t="s">
        <v>65</v>
      </c>
      <c r="R623" s="67" t="e" cm="1">
        <f t="array" ref="R623">_xlfn.CHOOSECOLS(_xlfn.CHOOSEROWS(_xlfn._xlws.FILTER(표2[],표2[DWG No.]=C623,""),1),6)</f>
        <v>#VALUE!</v>
      </c>
      <c r="S623" s="67" t="e" cm="1">
        <f t="array" ref="S623">_xlfn.CHOOSECOLS(_xlfn.CHOOSEROWS(_xlfn._xlws.FILTER(표2[],(표2[DWG No.]=C623)*(ISNUMBER(표2[Rev.])),""),1),6)</f>
        <v>#VALUE!</v>
      </c>
    </row>
    <row r="624" spans="1:19" ht="18" customHeight="1" x14ac:dyDescent="0.45">
      <c r="A624" s="64">
        <v>619</v>
      </c>
      <c r="B624" s="49" t="s">
        <v>57</v>
      </c>
      <c r="C624" s="65" t="s">
        <v>2415</v>
      </c>
      <c r="D624" s="66" t="s">
        <v>2416</v>
      </c>
      <c r="E624" s="65" t="s">
        <v>2657</v>
      </c>
      <c r="F624" s="66" t="s">
        <v>6</v>
      </c>
      <c r="G624" s="67">
        <v>43220</v>
      </c>
      <c r="H624" s="67">
        <v>43281</v>
      </c>
      <c r="I624" s="67">
        <v>44022</v>
      </c>
      <c r="J624" s="66" t="s">
        <v>5025</v>
      </c>
      <c r="K624" s="66" t="s">
        <v>7</v>
      </c>
      <c r="L624" s="66">
        <v>2</v>
      </c>
      <c r="M624" s="67"/>
      <c r="N624" s="66"/>
      <c r="O624" s="66"/>
      <c r="P624" s="66"/>
      <c r="Q624" s="66"/>
      <c r="R624" s="67" t="e" cm="1">
        <f t="array" ref="R624">_xlfn.CHOOSECOLS(_xlfn.CHOOSEROWS(_xlfn._xlws.FILTER(표2[],표2[DWG No.]=C624,""),1),6)</f>
        <v>#VALUE!</v>
      </c>
      <c r="S624" s="67" t="e" cm="1">
        <f t="array" ref="S624">_xlfn.CHOOSECOLS(_xlfn.CHOOSEROWS(_xlfn._xlws.FILTER(표2[],(표2[DWG No.]=C624)*(ISNUMBER(표2[Rev.])),""),1),6)</f>
        <v>#VALUE!</v>
      </c>
    </row>
    <row r="625" spans="1:19" ht="18" customHeight="1" x14ac:dyDescent="0.45">
      <c r="A625" s="64">
        <v>620</v>
      </c>
      <c r="B625" s="49" t="s">
        <v>57</v>
      </c>
      <c r="C625" s="65" t="s">
        <v>2417</v>
      </c>
      <c r="D625" s="66" t="s">
        <v>2418</v>
      </c>
      <c r="E625" s="65" t="s">
        <v>2419</v>
      </c>
      <c r="F625" s="66" t="s">
        <v>6</v>
      </c>
      <c r="G625" s="67">
        <v>43220</v>
      </c>
      <c r="H625" s="67">
        <v>43281</v>
      </c>
      <c r="I625" s="67">
        <v>43997</v>
      </c>
      <c r="J625" s="66" t="s">
        <v>5026</v>
      </c>
      <c r="K625" s="66" t="s">
        <v>7</v>
      </c>
      <c r="L625" s="66">
        <v>4</v>
      </c>
      <c r="M625" s="67">
        <v>43999</v>
      </c>
      <c r="N625" s="66" t="s">
        <v>5027</v>
      </c>
      <c r="O625" s="66" t="s">
        <v>7</v>
      </c>
      <c r="P625" s="66">
        <v>4</v>
      </c>
      <c r="Q625" s="66" t="s">
        <v>65</v>
      </c>
      <c r="R625" s="67" t="e" cm="1">
        <f t="array" ref="R625">_xlfn.CHOOSECOLS(_xlfn.CHOOSEROWS(_xlfn._xlws.FILTER(표2[],표2[DWG No.]=C625,""),1),6)</f>
        <v>#VALUE!</v>
      </c>
      <c r="S625" s="67" t="e" cm="1">
        <f t="array" ref="S625">_xlfn.CHOOSECOLS(_xlfn.CHOOSEROWS(_xlfn._xlws.FILTER(표2[],(표2[DWG No.]=C625)*(ISNUMBER(표2[Rev.])),""),1),6)</f>
        <v>#VALUE!</v>
      </c>
    </row>
    <row r="626" spans="1:19" ht="18" customHeight="1" x14ac:dyDescent="0.45">
      <c r="A626" s="64">
        <v>621</v>
      </c>
      <c r="B626" s="49" t="s">
        <v>57</v>
      </c>
      <c r="C626" s="65" t="s">
        <v>2420</v>
      </c>
      <c r="D626" s="66" t="s">
        <v>2421</v>
      </c>
      <c r="E626" s="65" t="s">
        <v>2422</v>
      </c>
      <c r="F626" s="66" t="s">
        <v>6</v>
      </c>
      <c r="G626" s="67">
        <v>43220</v>
      </c>
      <c r="H626" s="67">
        <v>43281</v>
      </c>
      <c r="I626" s="67">
        <v>43794</v>
      </c>
      <c r="J626" s="66" t="s">
        <v>2770</v>
      </c>
      <c r="K626" s="66" t="s">
        <v>7</v>
      </c>
      <c r="L626" s="66" t="s">
        <v>89</v>
      </c>
      <c r="M626" s="67" t="s">
        <v>2748</v>
      </c>
      <c r="N626" s="66" t="s">
        <v>2771</v>
      </c>
      <c r="O626" s="66" t="s">
        <v>7</v>
      </c>
      <c r="P626" s="66" t="s">
        <v>89</v>
      </c>
      <c r="Q626" s="66" t="s">
        <v>65</v>
      </c>
      <c r="R626" s="67" t="e" cm="1">
        <f t="array" ref="R626">_xlfn.CHOOSECOLS(_xlfn.CHOOSEROWS(_xlfn._xlws.FILTER(표2[],표2[DWG No.]=C626,""),1),6)</f>
        <v>#VALUE!</v>
      </c>
      <c r="S626" s="67" t="e" cm="1">
        <f t="array" ref="S626">_xlfn.CHOOSECOLS(_xlfn.CHOOSEROWS(_xlfn._xlws.FILTER(표2[],(표2[DWG No.]=C626)*(ISNUMBER(표2[Rev.])),""),1),6)</f>
        <v>#VALUE!</v>
      </c>
    </row>
    <row r="627" spans="1:19" ht="18" customHeight="1" x14ac:dyDescent="0.45">
      <c r="A627" s="64">
        <v>622</v>
      </c>
      <c r="B627" s="49" t="s">
        <v>57</v>
      </c>
      <c r="C627" s="65" t="s">
        <v>2895</v>
      </c>
      <c r="D627" s="66" t="s">
        <v>2896</v>
      </c>
      <c r="E627" s="65" t="s">
        <v>2897</v>
      </c>
      <c r="F627" s="66" t="s">
        <v>6</v>
      </c>
      <c r="G627" s="67">
        <v>43907</v>
      </c>
      <c r="H627" s="67">
        <v>43938</v>
      </c>
      <c r="I627" s="67">
        <v>43959</v>
      </c>
      <c r="J627" s="66" t="s">
        <v>5007</v>
      </c>
      <c r="K627" s="66" t="s">
        <v>4991</v>
      </c>
      <c r="L627" s="66">
        <v>0</v>
      </c>
      <c r="M627" s="67">
        <v>43959</v>
      </c>
      <c r="N627" s="66" t="s">
        <v>5008</v>
      </c>
      <c r="O627" s="66" t="s">
        <v>4991</v>
      </c>
      <c r="P627" s="66">
        <v>0</v>
      </c>
      <c r="Q627" s="66" t="s">
        <v>65</v>
      </c>
      <c r="R627" s="67" t="e" cm="1">
        <f t="array" ref="R627">_xlfn.CHOOSECOLS(_xlfn.CHOOSEROWS(_xlfn._xlws.FILTER(표2[],표2[DWG No.]=C627,""),1),6)</f>
        <v>#VALUE!</v>
      </c>
      <c r="S627" s="67" t="e" cm="1">
        <f t="array" ref="S627">_xlfn.CHOOSECOLS(_xlfn.CHOOSEROWS(_xlfn._xlws.FILTER(표2[],(표2[DWG No.]=C627)*(ISNUMBER(표2[Rev.])),""),1),6)</f>
        <v>#VALUE!</v>
      </c>
    </row>
    <row r="628" spans="1:19" ht="18" customHeight="1" x14ac:dyDescent="0.45">
      <c r="A628" s="64">
        <v>623</v>
      </c>
      <c r="B628" s="49" t="s">
        <v>2694</v>
      </c>
      <c r="C628" s="65" t="s">
        <v>2423</v>
      </c>
      <c r="D628" s="66" t="s">
        <v>2424</v>
      </c>
      <c r="E628" s="65" t="s">
        <v>2425</v>
      </c>
      <c r="F628" s="66" t="s">
        <v>6</v>
      </c>
      <c r="G628" s="67">
        <v>43220</v>
      </c>
      <c r="H628" s="67">
        <v>43281</v>
      </c>
      <c r="I628" s="67">
        <v>43819</v>
      </c>
      <c r="J628" s="66" t="s">
        <v>2786</v>
      </c>
      <c r="K628" s="66" t="s">
        <v>7</v>
      </c>
      <c r="L628" s="66" t="s">
        <v>89</v>
      </c>
      <c r="M628" s="67" t="s">
        <v>2785</v>
      </c>
      <c r="N628" s="66" t="s">
        <v>2787</v>
      </c>
      <c r="O628" s="66" t="s">
        <v>7</v>
      </c>
      <c r="P628" s="66" t="s">
        <v>89</v>
      </c>
      <c r="Q628" s="66" t="s">
        <v>65</v>
      </c>
      <c r="R628" s="67" t="e" cm="1">
        <f t="array" ref="R628">_xlfn.CHOOSECOLS(_xlfn.CHOOSEROWS(_xlfn._xlws.FILTER(표2[],표2[DWG No.]=C628,""),1),6)</f>
        <v>#VALUE!</v>
      </c>
      <c r="S628" s="67" t="e" cm="1">
        <f t="array" ref="S628">_xlfn.CHOOSECOLS(_xlfn.CHOOSEROWS(_xlfn._xlws.FILTER(표2[],(표2[DWG No.]=C628)*(ISNUMBER(표2[Rev.])),""),1),6)</f>
        <v>#VALUE!</v>
      </c>
    </row>
    <row r="629" spans="1:19" ht="18" customHeight="1" x14ac:dyDescent="0.45">
      <c r="A629" s="64">
        <v>624</v>
      </c>
      <c r="B629" s="68" t="s">
        <v>2694</v>
      </c>
      <c r="C629" s="65" t="s">
        <v>2426</v>
      </c>
      <c r="D629" s="66" t="s">
        <v>2427</v>
      </c>
      <c r="E629" s="65" t="s">
        <v>2428</v>
      </c>
      <c r="F629" s="66" t="s">
        <v>6</v>
      </c>
      <c r="G629" s="67">
        <v>43311</v>
      </c>
      <c r="H629" s="67">
        <v>43403</v>
      </c>
      <c r="I629" s="67">
        <v>43809</v>
      </c>
      <c r="J629" s="66" t="s">
        <v>2772</v>
      </c>
      <c r="K629" s="66" t="s">
        <v>7</v>
      </c>
      <c r="L629" s="66" t="s">
        <v>89</v>
      </c>
      <c r="M629" s="67" t="s">
        <v>2773</v>
      </c>
      <c r="N629" s="66" t="s">
        <v>2774</v>
      </c>
      <c r="O629" s="66" t="s">
        <v>7</v>
      </c>
      <c r="P629" s="66" t="s">
        <v>89</v>
      </c>
      <c r="Q629" s="66" t="s">
        <v>65</v>
      </c>
      <c r="R629" s="67" t="e" cm="1">
        <f t="array" ref="R629">_xlfn.CHOOSECOLS(_xlfn.CHOOSEROWS(_xlfn._xlws.FILTER(표2[],표2[DWG No.]=C629,""),1),6)</f>
        <v>#VALUE!</v>
      </c>
      <c r="S629" s="67" t="e" cm="1">
        <f t="array" ref="S629">_xlfn.CHOOSECOLS(_xlfn.CHOOSEROWS(_xlfn._xlws.FILTER(표2[],(표2[DWG No.]=C629)*(ISNUMBER(표2[Rev.])),""),1),6)</f>
        <v>#VALUE!</v>
      </c>
    </row>
    <row r="630" spans="1:19" ht="18" customHeight="1" x14ac:dyDescent="0.45">
      <c r="A630" s="64">
        <v>625</v>
      </c>
      <c r="B630" s="68" t="s">
        <v>2694</v>
      </c>
      <c r="C630" s="65" t="s">
        <v>2429</v>
      </c>
      <c r="D630" s="66" t="s">
        <v>2430</v>
      </c>
      <c r="E630" s="65" t="s">
        <v>2431</v>
      </c>
      <c r="F630" s="66" t="s">
        <v>6</v>
      </c>
      <c r="G630" s="67">
        <v>43311</v>
      </c>
      <c r="H630" s="67">
        <v>43403</v>
      </c>
      <c r="I630" s="67">
        <v>43809</v>
      </c>
      <c r="J630" s="66" t="s">
        <v>2775</v>
      </c>
      <c r="K630" s="66" t="s">
        <v>7</v>
      </c>
      <c r="L630" s="66" t="s">
        <v>89</v>
      </c>
      <c r="M630" s="67" t="s">
        <v>2773</v>
      </c>
      <c r="N630" s="66" t="s">
        <v>2776</v>
      </c>
      <c r="O630" s="66" t="s">
        <v>7</v>
      </c>
      <c r="P630" s="66" t="s">
        <v>89</v>
      </c>
      <c r="Q630" s="66" t="s">
        <v>65</v>
      </c>
      <c r="R630" s="67" t="e" cm="1">
        <f t="array" ref="R630">_xlfn.CHOOSECOLS(_xlfn.CHOOSEROWS(_xlfn._xlws.FILTER(표2[],표2[DWG No.]=C630,""),1),6)</f>
        <v>#VALUE!</v>
      </c>
      <c r="S630" s="67" t="e" cm="1">
        <f t="array" ref="S630">_xlfn.CHOOSECOLS(_xlfn.CHOOSEROWS(_xlfn._xlws.FILTER(표2[],(표2[DWG No.]=C630)*(ISNUMBER(표2[Rev.])),""),1),6)</f>
        <v>#VALUE!</v>
      </c>
    </row>
    <row r="631" spans="1:19" ht="18" customHeight="1" x14ac:dyDescent="0.45">
      <c r="A631" s="64">
        <v>626</v>
      </c>
      <c r="B631" s="68" t="s">
        <v>2694</v>
      </c>
      <c r="C631" s="65" t="s">
        <v>2902</v>
      </c>
      <c r="D631" s="66">
        <v>830024</v>
      </c>
      <c r="E631" s="65" t="s">
        <v>2904</v>
      </c>
      <c r="F631" s="66" t="s">
        <v>6</v>
      </c>
      <c r="G631" s="67">
        <v>43910</v>
      </c>
      <c r="H631" s="67">
        <v>43941</v>
      </c>
      <c r="I631" s="67">
        <v>43957</v>
      </c>
      <c r="J631" s="66" t="s">
        <v>2906</v>
      </c>
      <c r="K631" s="66" t="s">
        <v>7</v>
      </c>
      <c r="L631" s="66" t="s">
        <v>62</v>
      </c>
      <c r="M631" s="67" t="s">
        <v>2908</v>
      </c>
      <c r="N631" s="66" t="s">
        <v>2909</v>
      </c>
      <c r="O631" s="66" t="s">
        <v>7</v>
      </c>
      <c r="P631" s="66" t="s">
        <v>62</v>
      </c>
      <c r="Q631" s="66" t="s">
        <v>65</v>
      </c>
      <c r="R631" s="67" t="e" cm="1">
        <f t="array" ref="R631">_xlfn.CHOOSECOLS(_xlfn.CHOOSEROWS(_xlfn._xlws.FILTER(표2[],표2[DWG No.]=C631,""),1),6)</f>
        <v>#VALUE!</v>
      </c>
      <c r="S631" s="67" t="e" cm="1">
        <f t="array" ref="S631">_xlfn.CHOOSECOLS(_xlfn.CHOOSEROWS(_xlfn._xlws.FILTER(표2[],(표2[DWG No.]=C631)*(ISNUMBER(표2[Rev.])),""),1),6)</f>
        <v>#VALUE!</v>
      </c>
    </row>
    <row r="632" spans="1:19" ht="18" customHeight="1" x14ac:dyDescent="0.45">
      <c r="A632" s="64">
        <v>627</v>
      </c>
      <c r="B632" s="68" t="s">
        <v>2694</v>
      </c>
      <c r="C632" s="65" t="s">
        <v>2903</v>
      </c>
      <c r="D632" s="66">
        <v>830025</v>
      </c>
      <c r="E632" s="65" t="s">
        <v>2905</v>
      </c>
      <c r="F632" s="66" t="s">
        <v>6</v>
      </c>
      <c r="G632" s="67">
        <v>43945</v>
      </c>
      <c r="H632" s="67">
        <v>43973</v>
      </c>
      <c r="I632" s="67">
        <v>43957</v>
      </c>
      <c r="J632" s="66" t="s">
        <v>2907</v>
      </c>
      <c r="K632" s="66" t="s">
        <v>7</v>
      </c>
      <c r="L632" s="66" t="s">
        <v>62</v>
      </c>
      <c r="M632" s="67" t="s">
        <v>2908</v>
      </c>
      <c r="N632" s="66" t="s">
        <v>2910</v>
      </c>
      <c r="O632" s="66" t="s">
        <v>7</v>
      </c>
      <c r="P632" s="66" t="s">
        <v>62</v>
      </c>
      <c r="Q632" s="66" t="s">
        <v>65</v>
      </c>
      <c r="R632" s="67" t="e" cm="1">
        <f t="array" ref="R632">_xlfn.CHOOSECOLS(_xlfn.CHOOSEROWS(_xlfn._xlws.FILTER(표2[],표2[DWG No.]=C632,""),1),6)</f>
        <v>#VALUE!</v>
      </c>
      <c r="S632" s="67" t="e" cm="1">
        <f t="array" ref="S632">_xlfn.CHOOSECOLS(_xlfn.CHOOSEROWS(_xlfn._xlws.FILTER(표2[],(표2[DWG No.]=C632)*(ISNUMBER(표2[Rev.])),""),1),6)</f>
        <v>#VALUE!</v>
      </c>
    </row>
    <row r="633" spans="1:19" ht="18" customHeight="1" x14ac:dyDescent="0.45">
      <c r="A633" s="64">
        <v>628</v>
      </c>
      <c r="B633" s="68" t="s">
        <v>2912</v>
      </c>
      <c r="C633" s="69" t="s">
        <v>4992</v>
      </c>
      <c r="D633" s="58" t="s">
        <v>4993</v>
      </c>
      <c r="E633" s="60" t="s">
        <v>4994</v>
      </c>
      <c r="F633" s="58" t="s">
        <v>6</v>
      </c>
      <c r="G633" s="70">
        <f>H633-30</f>
        <v>43752</v>
      </c>
      <c r="H633" s="70">
        <f>I633</f>
        <v>43782</v>
      </c>
      <c r="I633" s="70">
        <v>43782</v>
      </c>
      <c r="J633" s="58" t="s">
        <v>3783</v>
      </c>
      <c r="K633" s="58" t="s">
        <v>7</v>
      </c>
      <c r="L633" s="58">
        <v>1</v>
      </c>
      <c r="M633" s="70">
        <v>43798</v>
      </c>
      <c r="N633" s="58" t="s">
        <v>3784</v>
      </c>
      <c r="O633" s="58"/>
      <c r="P633" s="58">
        <v>1</v>
      </c>
      <c r="Q633" s="51" t="s">
        <v>5002</v>
      </c>
      <c r="R633" s="67" cm="1">
        <f t="array" aca="1" ref="R633" ca="1">_xlfn.CHOOSECOLS(_xlfn.CHOOSEROWS(_xlfn._xlws.FILTER(표2[],표2[DWG No.]=C633,""),1),6)</f>
        <v>42984</v>
      </c>
      <c r="S633" s="67" cm="1">
        <f t="array" aca="1" ref="S633" ca="1">_xlfn.CHOOSECOLS(_xlfn.CHOOSEROWS(_xlfn._xlws.FILTER(표2[],(표2[DWG No.]=C633)*(ISNUMBER(표2[Rev.])),""),1),6)</f>
        <v>43034</v>
      </c>
    </row>
    <row r="634" spans="1:19" ht="18" customHeight="1" x14ac:dyDescent="0.45">
      <c r="A634" s="64">
        <v>629</v>
      </c>
      <c r="B634" s="68" t="s">
        <v>2912</v>
      </c>
      <c r="C634" s="69" t="s">
        <v>4995</v>
      </c>
      <c r="D634" s="58" t="s">
        <v>4996</v>
      </c>
      <c r="E634" s="60" t="s">
        <v>4997</v>
      </c>
      <c r="F634" s="58" t="s">
        <v>6</v>
      </c>
      <c r="G634" s="70">
        <f>H634-30</f>
        <v>43752</v>
      </c>
      <c r="H634" s="70">
        <f>I634</f>
        <v>43782</v>
      </c>
      <c r="I634" s="70">
        <v>43782</v>
      </c>
      <c r="J634" s="58" t="s">
        <v>3783</v>
      </c>
      <c r="K634" s="58" t="s">
        <v>7</v>
      </c>
      <c r="L634" s="58">
        <v>1</v>
      </c>
      <c r="M634" s="70">
        <v>43798</v>
      </c>
      <c r="N634" s="58" t="s">
        <v>3784</v>
      </c>
      <c r="O634" s="58"/>
      <c r="P634" s="58">
        <v>1</v>
      </c>
      <c r="Q634" s="51" t="s">
        <v>5002</v>
      </c>
      <c r="R634" s="67" cm="1">
        <f t="array" aca="1" ref="R634" ca="1">_xlfn.CHOOSECOLS(_xlfn.CHOOSEROWS(_xlfn._xlws.FILTER(표2[],표2[DWG No.]=C634,""),1),6)</f>
        <v>42984</v>
      </c>
      <c r="S634" s="67" cm="1">
        <f t="array" aca="1" ref="S634" ca="1">_xlfn.CHOOSECOLS(_xlfn.CHOOSEROWS(_xlfn._xlws.FILTER(표2[],(표2[DWG No.]=C634)*(ISNUMBER(표2[Rev.])),""),1),6)</f>
        <v>43034</v>
      </c>
    </row>
    <row r="635" spans="1:19" ht="18" customHeight="1" x14ac:dyDescent="0.45">
      <c r="A635" s="64">
        <v>630</v>
      </c>
      <c r="B635" s="49" t="s">
        <v>2912</v>
      </c>
      <c r="C635" s="50" t="s">
        <v>2913</v>
      </c>
      <c r="D635" s="49" t="s">
        <v>2914</v>
      </c>
      <c r="E635" s="50" t="s">
        <v>2915</v>
      </c>
      <c r="F635" s="49" t="s">
        <v>6</v>
      </c>
      <c r="G635" s="48">
        <v>42850</v>
      </c>
      <c r="H635" s="48">
        <v>42880</v>
      </c>
      <c r="I635" s="48">
        <v>42983</v>
      </c>
      <c r="J635" s="49" t="s">
        <v>2916</v>
      </c>
      <c r="K635" s="58" t="s">
        <v>7</v>
      </c>
      <c r="L635" s="49">
        <v>0</v>
      </c>
      <c r="M635" s="48">
        <v>42984</v>
      </c>
      <c r="N635" s="49" t="s">
        <v>2917</v>
      </c>
      <c r="O635" s="49" t="s">
        <v>7</v>
      </c>
      <c r="P635" s="49">
        <v>0</v>
      </c>
      <c r="Q635" s="51" t="s">
        <v>5002</v>
      </c>
      <c r="R635" s="67" t="e" cm="1">
        <f t="array" ref="R635">_xlfn.CHOOSECOLS(_xlfn.CHOOSEROWS(_xlfn._xlws.FILTER(표2[],표2[DWG No.]=C635,""),1),6)</f>
        <v>#VALUE!</v>
      </c>
      <c r="S635" s="67" t="e" cm="1">
        <f t="array" ref="S635">_xlfn.CHOOSECOLS(_xlfn.CHOOSEROWS(_xlfn._xlws.FILTER(표2[],(표2[DWG No.]=C635)*(ISNUMBER(표2[Rev.])),""),1),6)</f>
        <v>#VALUE!</v>
      </c>
    </row>
    <row r="636" spans="1:19" ht="18" customHeight="1" x14ac:dyDescent="0.45">
      <c r="A636" s="64">
        <v>631</v>
      </c>
      <c r="B636" s="49" t="s">
        <v>2912</v>
      </c>
      <c r="C636" s="50" t="s">
        <v>2918</v>
      </c>
      <c r="D636" s="49" t="s">
        <v>2919</v>
      </c>
      <c r="E636" s="50" t="s">
        <v>2920</v>
      </c>
      <c r="F636" s="49" t="s">
        <v>6</v>
      </c>
      <c r="G636" s="48">
        <v>42852</v>
      </c>
      <c r="H636" s="48">
        <v>42882</v>
      </c>
      <c r="I636" s="48">
        <v>42983</v>
      </c>
      <c r="J636" s="49" t="s">
        <v>2916</v>
      </c>
      <c r="K636" s="58" t="s">
        <v>7</v>
      </c>
      <c r="L636" s="49">
        <v>0</v>
      </c>
      <c r="M636" s="48">
        <v>42984</v>
      </c>
      <c r="N636" s="49" t="s">
        <v>2917</v>
      </c>
      <c r="O636" s="49" t="s">
        <v>7</v>
      </c>
      <c r="P636" s="49">
        <v>0</v>
      </c>
      <c r="Q636" s="51" t="s">
        <v>5002</v>
      </c>
      <c r="R636" s="67" t="e" cm="1">
        <f t="array" ref="R636">_xlfn.CHOOSECOLS(_xlfn.CHOOSEROWS(_xlfn._xlws.FILTER(표2[],표2[DWG No.]=C636,""),1),6)</f>
        <v>#VALUE!</v>
      </c>
      <c r="S636" s="67" t="e" cm="1">
        <f t="array" ref="S636">_xlfn.CHOOSECOLS(_xlfn.CHOOSEROWS(_xlfn._xlws.FILTER(표2[],(표2[DWG No.]=C636)*(ISNUMBER(표2[Rev.])),""),1),6)</f>
        <v>#VALUE!</v>
      </c>
    </row>
    <row r="637" spans="1:19" ht="18" customHeight="1" x14ac:dyDescent="0.45">
      <c r="A637" s="64">
        <v>632</v>
      </c>
      <c r="B637" s="49" t="s">
        <v>2912</v>
      </c>
      <c r="C637" s="50" t="s">
        <v>2921</v>
      </c>
      <c r="D637" s="49" t="s">
        <v>2922</v>
      </c>
      <c r="E637" s="50" t="s">
        <v>2923</v>
      </c>
      <c r="F637" s="49" t="s">
        <v>6</v>
      </c>
      <c r="G637" s="48">
        <v>42857</v>
      </c>
      <c r="H637" s="48">
        <v>42887</v>
      </c>
      <c r="I637" s="48">
        <v>42857</v>
      </c>
      <c r="J637" s="49" t="s">
        <v>2924</v>
      </c>
      <c r="K637" s="58" t="s">
        <v>5</v>
      </c>
      <c r="L637" s="49" t="s">
        <v>65</v>
      </c>
      <c r="M637" s="48">
        <v>42857</v>
      </c>
      <c r="N637" s="49" t="s">
        <v>2925</v>
      </c>
      <c r="O637" s="49" t="s">
        <v>6</v>
      </c>
      <c r="P637" s="49" t="s">
        <v>65</v>
      </c>
      <c r="Q637" s="49" t="s">
        <v>2702</v>
      </c>
      <c r="R637" s="67" t="e" cm="1">
        <f t="array" ref="R637">_xlfn.CHOOSECOLS(_xlfn.CHOOSEROWS(_xlfn._xlws.FILTER(표2[],표2[DWG No.]=C637,""),1),6)</f>
        <v>#VALUE!</v>
      </c>
      <c r="S637" s="67" t="e" cm="1">
        <f t="array" ref="S637">_xlfn.CHOOSECOLS(_xlfn.CHOOSEROWS(_xlfn._xlws.FILTER(표2[],(표2[DWG No.]=C637)*(ISNUMBER(표2[Rev.])),""),1),6)</f>
        <v>#VALUE!</v>
      </c>
    </row>
    <row r="638" spans="1:19" ht="18" customHeight="1" x14ac:dyDescent="0.45">
      <c r="A638" s="64">
        <v>633</v>
      </c>
      <c r="B638" s="49" t="s">
        <v>2912</v>
      </c>
      <c r="C638" s="50" t="s">
        <v>2926</v>
      </c>
      <c r="D638" s="49" t="s">
        <v>2927</v>
      </c>
      <c r="E638" s="50" t="s">
        <v>2928</v>
      </c>
      <c r="F638" s="49" t="s">
        <v>6</v>
      </c>
      <c r="G638" s="48">
        <v>42783</v>
      </c>
      <c r="H638" s="48">
        <v>42813</v>
      </c>
      <c r="I638" s="48">
        <v>42779</v>
      </c>
      <c r="J638" s="49" t="s">
        <v>2929</v>
      </c>
      <c r="K638" s="58" t="s">
        <v>5</v>
      </c>
      <c r="L638" s="49" t="s">
        <v>65</v>
      </c>
      <c r="M638" s="48">
        <v>42769</v>
      </c>
      <c r="N638" s="49" t="s">
        <v>2930</v>
      </c>
      <c r="O638" s="49" t="s">
        <v>6</v>
      </c>
      <c r="P638" s="49" t="s">
        <v>65</v>
      </c>
      <c r="Q638" s="49" t="s">
        <v>2702</v>
      </c>
      <c r="R638" s="67" t="e" cm="1">
        <f t="array" ref="R638">_xlfn.CHOOSECOLS(_xlfn.CHOOSEROWS(_xlfn._xlws.FILTER(표2[],표2[DWG No.]=C638,""),1),6)</f>
        <v>#VALUE!</v>
      </c>
      <c r="S638" s="67" t="e" cm="1">
        <f t="array" ref="S638">_xlfn.CHOOSECOLS(_xlfn.CHOOSEROWS(_xlfn._xlws.FILTER(표2[],(표2[DWG No.]=C638)*(ISNUMBER(표2[Rev.])),""),1),6)</f>
        <v>#VALUE!</v>
      </c>
    </row>
    <row r="639" spans="1:19" ht="18" customHeight="1" x14ac:dyDescent="0.45">
      <c r="A639" s="64">
        <v>634</v>
      </c>
      <c r="B639" s="49" t="s">
        <v>2912</v>
      </c>
      <c r="C639" s="50" t="s">
        <v>2931</v>
      </c>
      <c r="D639" s="49" t="s">
        <v>2932</v>
      </c>
      <c r="E639" s="50" t="s">
        <v>2933</v>
      </c>
      <c r="F639" s="49" t="s">
        <v>6</v>
      </c>
      <c r="G639" s="48">
        <v>42826</v>
      </c>
      <c r="H639" s="48">
        <v>42856</v>
      </c>
      <c r="I639" s="48">
        <v>43005</v>
      </c>
      <c r="J639" s="49" t="s">
        <v>2934</v>
      </c>
      <c r="K639" s="58" t="s">
        <v>7</v>
      </c>
      <c r="L639" s="49">
        <v>0</v>
      </c>
      <c r="M639" s="48">
        <v>43005</v>
      </c>
      <c r="N639" s="49" t="s">
        <v>2917</v>
      </c>
      <c r="O639" s="49" t="s">
        <v>7</v>
      </c>
      <c r="P639" s="49">
        <v>0</v>
      </c>
      <c r="Q639" s="51" t="s">
        <v>5002</v>
      </c>
      <c r="R639" s="67" t="e" cm="1">
        <f t="array" ref="R639">_xlfn.CHOOSECOLS(_xlfn.CHOOSEROWS(_xlfn._xlws.FILTER(표2[],표2[DWG No.]=C639,""),1),6)</f>
        <v>#VALUE!</v>
      </c>
      <c r="S639" s="67" t="e" cm="1">
        <f t="array" ref="S639">_xlfn.CHOOSECOLS(_xlfn.CHOOSEROWS(_xlfn._xlws.FILTER(표2[],(표2[DWG No.]=C639)*(ISNUMBER(표2[Rev.])),""),1),6)</f>
        <v>#VALUE!</v>
      </c>
    </row>
    <row r="640" spans="1:19" ht="18" customHeight="1" x14ac:dyDescent="0.45">
      <c r="A640" s="64">
        <v>635</v>
      </c>
      <c r="B640" s="49" t="s">
        <v>2912</v>
      </c>
      <c r="C640" s="50" t="s">
        <v>2935</v>
      </c>
      <c r="D640" s="49" t="s">
        <v>2936</v>
      </c>
      <c r="E640" s="50" t="s">
        <v>2937</v>
      </c>
      <c r="F640" s="49" t="s">
        <v>6</v>
      </c>
      <c r="G640" s="48">
        <v>42824</v>
      </c>
      <c r="H640" s="48">
        <v>42854</v>
      </c>
      <c r="I640" s="48">
        <v>43005</v>
      </c>
      <c r="J640" s="49" t="s">
        <v>2934</v>
      </c>
      <c r="K640" s="58" t="s">
        <v>7</v>
      </c>
      <c r="L640" s="49">
        <v>0</v>
      </c>
      <c r="M640" s="48">
        <v>43005</v>
      </c>
      <c r="N640" s="49" t="s">
        <v>2917</v>
      </c>
      <c r="O640" s="49" t="s">
        <v>7</v>
      </c>
      <c r="P640" s="49">
        <v>0</v>
      </c>
      <c r="Q640" s="51" t="s">
        <v>5002</v>
      </c>
      <c r="R640" s="67" t="e" cm="1">
        <f t="array" ref="R640">_xlfn.CHOOSECOLS(_xlfn.CHOOSEROWS(_xlfn._xlws.FILTER(표2[],표2[DWG No.]=C640,""),1),6)</f>
        <v>#VALUE!</v>
      </c>
      <c r="S640" s="67" t="e" cm="1">
        <f t="array" ref="S640">_xlfn.CHOOSECOLS(_xlfn.CHOOSEROWS(_xlfn._xlws.FILTER(표2[],(표2[DWG No.]=C640)*(ISNUMBER(표2[Rev.])),""),1),6)</f>
        <v>#VALUE!</v>
      </c>
    </row>
    <row r="641" spans="1:19" ht="18" customHeight="1" x14ac:dyDescent="0.45">
      <c r="A641" s="64">
        <v>636</v>
      </c>
      <c r="B641" s="49" t="s">
        <v>2912</v>
      </c>
      <c r="C641" s="50" t="s">
        <v>2938</v>
      </c>
      <c r="D641" s="49" t="s">
        <v>2939</v>
      </c>
      <c r="E641" s="50" t="s">
        <v>2940</v>
      </c>
      <c r="F641" s="49" t="s">
        <v>6</v>
      </c>
      <c r="G641" s="48">
        <v>42822</v>
      </c>
      <c r="H641" s="48">
        <v>42852</v>
      </c>
      <c r="I641" s="48">
        <v>42983</v>
      </c>
      <c r="J641" s="49" t="s">
        <v>2916</v>
      </c>
      <c r="K641" s="58" t="s">
        <v>7</v>
      </c>
      <c r="L641" s="49">
        <v>0</v>
      </c>
      <c r="M641" s="48">
        <v>42984</v>
      </c>
      <c r="N641" s="49" t="s">
        <v>2917</v>
      </c>
      <c r="O641" s="49" t="s">
        <v>7</v>
      </c>
      <c r="P641" s="49">
        <v>0</v>
      </c>
      <c r="Q641" s="51" t="s">
        <v>5002</v>
      </c>
      <c r="R641" s="67" t="e" cm="1">
        <f t="array" ref="R641">_xlfn.CHOOSECOLS(_xlfn.CHOOSEROWS(_xlfn._xlws.FILTER(표2[],표2[DWG No.]=C641,""),1),6)</f>
        <v>#VALUE!</v>
      </c>
      <c r="S641" s="67" t="e" cm="1">
        <f t="array" ref="S641">_xlfn.CHOOSECOLS(_xlfn.CHOOSEROWS(_xlfn._xlws.FILTER(표2[],(표2[DWG No.]=C641)*(ISNUMBER(표2[Rev.])),""),1),6)</f>
        <v>#VALUE!</v>
      </c>
    </row>
    <row r="642" spans="1:19" ht="18" customHeight="1" x14ac:dyDescent="0.45">
      <c r="A642" s="64">
        <v>637</v>
      </c>
      <c r="B642" s="49" t="s">
        <v>2912</v>
      </c>
      <c r="C642" s="50" t="s">
        <v>2941</v>
      </c>
      <c r="D642" s="49" t="s">
        <v>2942</v>
      </c>
      <c r="E642" s="50" t="s">
        <v>2943</v>
      </c>
      <c r="F642" s="49" t="s">
        <v>6</v>
      </c>
      <c r="G642" s="48">
        <v>42815</v>
      </c>
      <c r="H642" s="48">
        <v>42845</v>
      </c>
      <c r="I642" s="48">
        <v>42983</v>
      </c>
      <c r="J642" s="49" t="s">
        <v>2916</v>
      </c>
      <c r="K642" s="58" t="s">
        <v>7</v>
      </c>
      <c r="L642" s="49">
        <v>0</v>
      </c>
      <c r="M642" s="48">
        <v>42984</v>
      </c>
      <c r="N642" s="49" t="s">
        <v>2917</v>
      </c>
      <c r="O642" s="49" t="s">
        <v>7</v>
      </c>
      <c r="P642" s="49">
        <v>0</v>
      </c>
      <c r="Q642" s="51" t="s">
        <v>5002</v>
      </c>
      <c r="R642" s="67" t="e" cm="1">
        <f t="array" ref="R642">_xlfn.CHOOSECOLS(_xlfn.CHOOSEROWS(_xlfn._xlws.FILTER(표2[],표2[DWG No.]=C642,""),1),6)</f>
        <v>#VALUE!</v>
      </c>
      <c r="S642" s="67" t="e" cm="1">
        <f t="array" ref="S642">_xlfn.CHOOSECOLS(_xlfn.CHOOSEROWS(_xlfn._xlws.FILTER(표2[],(표2[DWG No.]=C642)*(ISNUMBER(표2[Rev.])),""),1),6)</f>
        <v>#VALUE!</v>
      </c>
    </row>
    <row r="643" spans="1:19" ht="18" customHeight="1" x14ac:dyDescent="0.45">
      <c r="A643" s="64">
        <v>638</v>
      </c>
      <c r="B643" s="49" t="s">
        <v>2912</v>
      </c>
      <c r="C643" s="50" t="s">
        <v>2944</v>
      </c>
      <c r="D643" s="49" t="s">
        <v>2945</v>
      </c>
      <c r="E643" s="50" t="s">
        <v>2946</v>
      </c>
      <c r="F643" s="49" t="s">
        <v>6</v>
      </c>
      <c r="G643" s="48">
        <v>42898</v>
      </c>
      <c r="H643" s="48">
        <v>42928</v>
      </c>
      <c r="I643" s="48">
        <v>42983</v>
      </c>
      <c r="J643" s="49" t="s">
        <v>2916</v>
      </c>
      <c r="K643" s="58" t="s">
        <v>7</v>
      </c>
      <c r="L643" s="49">
        <v>0</v>
      </c>
      <c r="M643" s="48">
        <v>42984</v>
      </c>
      <c r="N643" s="49" t="s">
        <v>2917</v>
      </c>
      <c r="O643" s="49" t="s">
        <v>7</v>
      </c>
      <c r="P643" s="49">
        <v>0</v>
      </c>
      <c r="Q643" s="51" t="s">
        <v>5002</v>
      </c>
      <c r="R643" s="67" t="e" cm="1">
        <f t="array" ref="R643">_xlfn.CHOOSECOLS(_xlfn.CHOOSEROWS(_xlfn._xlws.FILTER(표2[],표2[DWG No.]=C643,""),1),6)</f>
        <v>#VALUE!</v>
      </c>
      <c r="S643" s="67" t="e" cm="1">
        <f t="array" ref="S643">_xlfn.CHOOSECOLS(_xlfn.CHOOSEROWS(_xlfn._xlws.FILTER(표2[],(표2[DWG No.]=C643)*(ISNUMBER(표2[Rev.])),""),1),6)</f>
        <v>#VALUE!</v>
      </c>
    </row>
    <row r="644" spans="1:19" ht="18" customHeight="1" x14ac:dyDescent="0.45">
      <c r="A644" s="64">
        <v>639</v>
      </c>
      <c r="B644" s="49" t="s">
        <v>2912</v>
      </c>
      <c r="C644" s="50" t="s">
        <v>2947</v>
      </c>
      <c r="D644" s="49" t="s">
        <v>2948</v>
      </c>
      <c r="E644" s="50" t="s">
        <v>2949</v>
      </c>
      <c r="F644" s="49" t="s">
        <v>6</v>
      </c>
      <c r="G644" s="48">
        <v>42784</v>
      </c>
      <c r="H644" s="48">
        <v>42814</v>
      </c>
      <c r="I644" s="48">
        <v>42983</v>
      </c>
      <c r="J644" s="49" t="s">
        <v>2916</v>
      </c>
      <c r="K644" s="58" t="s">
        <v>7</v>
      </c>
      <c r="L644" s="49">
        <v>0</v>
      </c>
      <c r="M644" s="48">
        <v>42984</v>
      </c>
      <c r="N644" s="49" t="s">
        <v>2917</v>
      </c>
      <c r="O644" s="49" t="s">
        <v>7</v>
      </c>
      <c r="P644" s="49">
        <v>0</v>
      </c>
      <c r="Q644" s="51" t="s">
        <v>5002</v>
      </c>
      <c r="R644" s="67" t="e" cm="1">
        <f t="array" ref="R644">_xlfn.CHOOSECOLS(_xlfn.CHOOSEROWS(_xlfn._xlws.FILTER(표2[],표2[DWG No.]=C644,""),1),6)</f>
        <v>#VALUE!</v>
      </c>
      <c r="S644" s="67" t="e" cm="1">
        <f t="array" ref="S644">_xlfn.CHOOSECOLS(_xlfn.CHOOSEROWS(_xlfn._xlws.FILTER(표2[],(표2[DWG No.]=C644)*(ISNUMBER(표2[Rev.])),""),1),6)</f>
        <v>#VALUE!</v>
      </c>
    </row>
    <row r="645" spans="1:19" ht="18" customHeight="1" x14ac:dyDescent="0.45">
      <c r="A645" s="64">
        <v>640</v>
      </c>
      <c r="B645" s="49" t="s">
        <v>2912</v>
      </c>
      <c r="C645" s="50" t="s">
        <v>2950</v>
      </c>
      <c r="D645" s="49" t="s">
        <v>2951</v>
      </c>
      <c r="E645" s="50" t="s">
        <v>2952</v>
      </c>
      <c r="F645" s="49" t="s">
        <v>6</v>
      </c>
      <c r="G645" s="48">
        <v>42784</v>
      </c>
      <c r="H645" s="48">
        <v>42814</v>
      </c>
      <c r="I645" s="48">
        <v>43003</v>
      </c>
      <c r="J645" s="49" t="s">
        <v>2953</v>
      </c>
      <c r="K645" s="58" t="s">
        <v>7</v>
      </c>
      <c r="L645" s="49">
        <v>0</v>
      </c>
      <c r="M645" s="48">
        <v>43003</v>
      </c>
      <c r="N645" s="49" t="s">
        <v>2917</v>
      </c>
      <c r="O645" s="49" t="s">
        <v>7</v>
      </c>
      <c r="P645" s="49">
        <v>0</v>
      </c>
      <c r="Q645" s="51" t="s">
        <v>5002</v>
      </c>
      <c r="R645" s="67" t="e" cm="1">
        <f t="array" ref="R645">_xlfn.CHOOSECOLS(_xlfn.CHOOSEROWS(_xlfn._xlws.FILTER(표2[],표2[DWG No.]=C645,""),1),6)</f>
        <v>#VALUE!</v>
      </c>
      <c r="S645" s="67" t="e" cm="1">
        <f t="array" ref="S645">_xlfn.CHOOSECOLS(_xlfn.CHOOSEROWS(_xlfn._xlws.FILTER(표2[],(표2[DWG No.]=C645)*(ISNUMBER(표2[Rev.])),""),1),6)</f>
        <v>#VALUE!</v>
      </c>
    </row>
    <row r="646" spans="1:19" ht="18" customHeight="1" x14ac:dyDescent="0.45">
      <c r="A646" s="64">
        <v>641</v>
      </c>
      <c r="B646" s="49" t="s">
        <v>2912</v>
      </c>
      <c r="C646" s="50" t="s">
        <v>2954</v>
      </c>
      <c r="D646" s="49" t="s">
        <v>2955</v>
      </c>
      <c r="E646" s="50" t="s">
        <v>2956</v>
      </c>
      <c r="F646" s="49" t="s">
        <v>6</v>
      </c>
      <c r="G646" s="48">
        <v>42901</v>
      </c>
      <c r="H646" s="48">
        <v>42931</v>
      </c>
      <c r="I646" s="48">
        <v>42983</v>
      </c>
      <c r="J646" s="49" t="s">
        <v>2916</v>
      </c>
      <c r="K646" s="58" t="s">
        <v>7</v>
      </c>
      <c r="L646" s="49">
        <v>0</v>
      </c>
      <c r="M646" s="48">
        <v>42984</v>
      </c>
      <c r="N646" s="49" t="s">
        <v>2917</v>
      </c>
      <c r="O646" s="49" t="s">
        <v>7</v>
      </c>
      <c r="P646" s="49">
        <v>0</v>
      </c>
      <c r="Q646" s="51" t="s">
        <v>5002</v>
      </c>
      <c r="R646" s="67" t="e" cm="1">
        <f t="array" ref="R646">_xlfn.CHOOSECOLS(_xlfn.CHOOSEROWS(_xlfn._xlws.FILTER(표2[],표2[DWG No.]=C646,""),1),6)</f>
        <v>#VALUE!</v>
      </c>
      <c r="S646" s="67" t="e" cm="1">
        <f t="array" ref="S646">_xlfn.CHOOSECOLS(_xlfn.CHOOSEROWS(_xlfn._xlws.FILTER(표2[],(표2[DWG No.]=C646)*(ISNUMBER(표2[Rev.])),""),1),6)</f>
        <v>#VALUE!</v>
      </c>
    </row>
    <row r="647" spans="1:19" ht="18" customHeight="1" x14ac:dyDescent="0.45">
      <c r="A647" s="64">
        <v>642</v>
      </c>
      <c r="B647" s="49" t="s">
        <v>2912</v>
      </c>
      <c r="C647" s="50" t="s">
        <v>2957</v>
      </c>
      <c r="D647" s="49" t="s">
        <v>2958</v>
      </c>
      <c r="E647" s="50" t="s">
        <v>2959</v>
      </c>
      <c r="F647" s="49" t="s">
        <v>6</v>
      </c>
      <c r="G647" s="48">
        <v>42824</v>
      </c>
      <c r="H647" s="48">
        <v>42854</v>
      </c>
      <c r="I647" s="48">
        <v>42983</v>
      </c>
      <c r="J647" s="49" t="s">
        <v>2916</v>
      </c>
      <c r="K647" s="58" t="s">
        <v>7</v>
      </c>
      <c r="L647" s="49">
        <v>0</v>
      </c>
      <c r="M647" s="48">
        <v>42984</v>
      </c>
      <c r="N647" s="49" t="s">
        <v>2917</v>
      </c>
      <c r="O647" s="49" t="s">
        <v>7</v>
      </c>
      <c r="P647" s="49">
        <v>0</v>
      </c>
      <c r="Q647" s="51" t="s">
        <v>5002</v>
      </c>
      <c r="R647" s="67" t="e" cm="1">
        <f t="array" ref="R647">_xlfn.CHOOSECOLS(_xlfn.CHOOSEROWS(_xlfn._xlws.FILTER(표2[],표2[DWG No.]=C647,""),1),6)</f>
        <v>#VALUE!</v>
      </c>
      <c r="S647" s="67" t="e" cm="1">
        <f t="array" ref="S647">_xlfn.CHOOSECOLS(_xlfn.CHOOSEROWS(_xlfn._xlws.FILTER(표2[],(표2[DWG No.]=C647)*(ISNUMBER(표2[Rev.])),""),1),6)</f>
        <v>#VALUE!</v>
      </c>
    </row>
    <row r="648" spans="1:19" ht="18" customHeight="1" x14ac:dyDescent="0.45">
      <c r="A648" s="64">
        <v>643</v>
      </c>
      <c r="B648" s="49" t="s">
        <v>2912</v>
      </c>
      <c r="C648" s="50" t="s">
        <v>2960</v>
      </c>
      <c r="D648" s="49" t="s">
        <v>2961</v>
      </c>
      <c r="E648" s="50" t="s">
        <v>2962</v>
      </c>
      <c r="F648" s="49" t="s">
        <v>6</v>
      </c>
      <c r="G648" s="48">
        <v>42901</v>
      </c>
      <c r="H648" s="48">
        <v>42931</v>
      </c>
      <c r="I648" s="48">
        <v>43066</v>
      </c>
      <c r="J648" s="49" t="s">
        <v>2963</v>
      </c>
      <c r="K648" s="58" t="s">
        <v>7</v>
      </c>
      <c r="L648" s="49">
        <v>0</v>
      </c>
      <c r="M648" s="48">
        <v>43066</v>
      </c>
      <c r="N648" s="49" t="s">
        <v>2917</v>
      </c>
      <c r="O648" s="49" t="s">
        <v>7</v>
      </c>
      <c r="P648" s="49">
        <v>0</v>
      </c>
      <c r="Q648" s="51" t="s">
        <v>5002</v>
      </c>
      <c r="R648" s="67" t="e" cm="1">
        <f t="array" ref="R648">_xlfn.CHOOSECOLS(_xlfn.CHOOSEROWS(_xlfn._xlws.FILTER(표2[],표2[DWG No.]=C648,""),1),6)</f>
        <v>#VALUE!</v>
      </c>
      <c r="S648" s="67" t="e" cm="1">
        <f t="array" ref="S648">_xlfn.CHOOSECOLS(_xlfn.CHOOSEROWS(_xlfn._xlws.FILTER(표2[],(표2[DWG No.]=C648)*(ISNUMBER(표2[Rev.])),""),1),6)</f>
        <v>#VALUE!</v>
      </c>
    </row>
    <row r="649" spans="1:19" ht="18" customHeight="1" x14ac:dyDescent="0.45">
      <c r="A649" s="64">
        <v>644</v>
      </c>
      <c r="B649" s="49" t="s">
        <v>2912</v>
      </c>
      <c r="C649" s="50" t="s">
        <v>2964</v>
      </c>
      <c r="D649" s="49" t="s">
        <v>2965</v>
      </c>
      <c r="E649" s="50" t="s">
        <v>2966</v>
      </c>
      <c r="F649" s="49" t="s">
        <v>6</v>
      </c>
      <c r="G649" s="48">
        <v>42839</v>
      </c>
      <c r="H649" s="48">
        <v>42869</v>
      </c>
      <c r="I649" s="48">
        <v>43003</v>
      </c>
      <c r="J649" s="49" t="s">
        <v>2953</v>
      </c>
      <c r="K649" s="58" t="s">
        <v>7</v>
      </c>
      <c r="L649" s="49">
        <v>0</v>
      </c>
      <c r="M649" s="48">
        <v>43003</v>
      </c>
      <c r="N649" s="49" t="s">
        <v>2917</v>
      </c>
      <c r="O649" s="49" t="s">
        <v>7</v>
      </c>
      <c r="P649" s="49">
        <v>0</v>
      </c>
      <c r="Q649" s="51" t="s">
        <v>5002</v>
      </c>
      <c r="R649" s="67" t="e" cm="1">
        <f t="array" ref="R649">_xlfn.CHOOSECOLS(_xlfn.CHOOSEROWS(_xlfn._xlws.FILTER(표2[],표2[DWG No.]=C649,""),1),6)</f>
        <v>#VALUE!</v>
      </c>
      <c r="S649" s="67" t="e" cm="1">
        <f t="array" ref="S649">_xlfn.CHOOSECOLS(_xlfn.CHOOSEROWS(_xlfn._xlws.FILTER(표2[],(표2[DWG No.]=C649)*(ISNUMBER(표2[Rev.])),""),1),6)</f>
        <v>#VALUE!</v>
      </c>
    </row>
    <row r="650" spans="1:19" ht="18" customHeight="1" x14ac:dyDescent="0.45">
      <c r="A650" s="64">
        <v>645</v>
      </c>
      <c r="B650" s="49" t="s">
        <v>2912</v>
      </c>
      <c r="C650" s="50" t="s">
        <v>2967</v>
      </c>
      <c r="D650" s="49" t="s">
        <v>2968</v>
      </c>
      <c r="E650" s="50" t="s">
        <v>2969</v>
      </c>
      <c r="F650" s="49" t="s">
        <v>6</v>
      </c>
      <c r="G650" s="48">
        <v>42868</v>
      </c>
      <c r="H650" s="48">
        <v>42898</v>
      </c>
      <c r="I650" s="48">
        <v>43003</v>
      </c>
      <c r="J650" s="49" t="s">
        <v>2953</v>
      </c>
      <c r="K650" s="58" t="s">
        <v>7</v>
      </c>
      <c r="L650" s="49">
        <v>0</v>
      </c>
      <c r="M650" s="48">
        <v>43003</v>
      </c>
      <c r="N650" s="49" t="s">
        <v>2917</v>
      </c>
      <c r="O650" s="49" t="s">
        <v>7</v>
      </c>
      <c r="P650" s="49">
        <v>0</v>
      </c>
      <c r="Q650" s="51" t="s">
        <v>5002</v>
      </c>
      <c r="R650" s="67" t="e" cm="1">
        <f t="array" ref="R650">_xlfn.CHOOSECOLS(_xlfn.CHOOSEROWS(_xlfn._xlws.FILTER(표2[],표2[DWG No.]=C650,""),1),6)</f>
        <v>#VALUE!</v>
      </c>
      <c r="S650" s="67" t="e" cm="1">
        <f t="array" ref="S650">_xlfn.CHOOSECOLS(_xlfn.CHOOSEROWS(_xlfn._xlws.FILTER(표2[],(표2[DWG No.]=C650)*(ISNUMBER(표2[Rev.])),""),1),6)</f>
        <v>#VALUE!</v>
      </c>
    </row>
    <row r="651" spans="1:19" ht="18" customHeight="1" x14ac:dyDescent="0.45">
      <c r="A651" s="64">
        <v>646</v>
      </c>
      <c r="B651" s="49" t="s">
        <v>2912</v>
      </c>
      <c r="C651" s="50" t="s">
        <v>2970</v>
      </c>
      <c r="D651" s="49" t="s">
        <v>2971</v>
      </c>
      <c r="E651" s="50" t="s">
        <v>2972</v>
      </c>
      <c r="F651" s="49" t="s">
        <v>6</v>
      </c>
      <c r="G651" s="48">
        <v>42791</v>
      </c>
      <c r="H651" s="48">
        <v>42821</v>
      </c>
      <c r="I651" s="48">
        <v>42864</v>
      </c>
      <c r="J651" s="49" t="s">
        <v>2973</v>
      </c>
      <c r="K651" s="58" t="s">
        <v>7</v>
      </c>
      <c r="L651" s="49">
        <v>0</v>
      </c>
      <c r="M651" s="48">
        <v>42870</v>
      </c>
      <c r="N651" s="49" t="s">
        <v>2917</v>
      </c>
      <c r="O651" s="49" t="s">
        <v>7</v>
      </c>
      <c r="P651" s="49">
        <v>0</v>
      </c>
      <c r="Q651" s="51" t="s">
        <v>5002</v>
      </c>
      <c r="R651" s="67" t="e" cm="1">
        <f t="array" ref="R651">_xlfn.CHOOSECOLS(_xlfn.CHOOSEROWS(_xlfn._xlws.FILTER(표2[],표2[DWG No.]=C651,""),1),6)</f>
        <v>#VALUE!</v>
      </c>
      <c r="S651" s="67" t="e" cm="1">
        <f t="array" ref="S651">_xlfn.CHOOSECOLS(_xlfn.CHOOSEROWS(_xlfn._xlws.FILTER(표2[],(표2[DWG No.]=C651)*(ISNUMBER(표2[Rev.])),""),1),6)</f>
        <v>#VALUE!</v>
      </c>
    </row>
    <row r="652" spans="1:19" ht="18" customHeight="1" x14ac:dyDescent="0.45">
      <c r="A652" s="64">
        <v>647</v>
      </c>
      <c r="B652" s="49" t="s">
        <v>2912</v>
      </c>
      <c r="C652" s="50" t="s">
        <v>2974</v>
      </c>
      <c r="D652" s="49" t="s">
        <v>2975</v>
      </c>
      <c r="E652" s="50" t="s">
        <v>2976</v>
      </c>
      <c r="F652" s="49" t="s">
        <v>6</v>
      </c>
      <c r="G652" s="48">
        <v>42791</v>
      </c>
      <c r="H652" s="48">
        <v>42821</v>
      </c>
      <c r="I652" s="48">
        <v>42984</v>
      </c>
      <c r="J652" s="49" t="s">
        <v>2977</v>
      </c>
      <c r="K652" s="58" t="s">
        <v>7</v>
      </c>
      <c r="L652" s="49">
        <v>0</v>
      </c>
      <c r="M652" s="48">
        <v>42984</v>
      </c>
      <c r="N652" s="49" t="s">
        <v>2917</v>
      </c>
      <c r="O652" s="49" t="s">
        <v>7</v>
      </c>
      <c r="P652" s="49">
        <v>0</v>
      </c>
      <c r="Q652" s="51" t="s">
        <v>5002</v>
      </c>
      <c r="R652" s="67" t="e" cm="1">
        <f t="array" ref="R652">_xlfn.CHOOSECOLS(_xlfn.CHOOSEROWS(_xlfn._xlws.FILTER(표2[],표2[DWG No.]=C652,""),1),6)</f>
        <v>#VALUE!</v>
      </c>
      <c r="S652" s="67" t="e" cm="1">
        <f t="array" ref="S652">_xlfn.CHOOSECOLS(_xlfn.CHOOSEROWS(_xlfn._xlws.FILTER(표2[],(표2[DWG No.]=C652)*(ISNUMBER(표2[Rev.])),""),1),6)</f>
        <v>#VALUE!</v>
      </c>
    </row>
    <row r="653" spans="1:19" ht="18" customHeight="1" x14ac:dyDescent="0.45">
      <c r="A653" s="64">
        <v>648</v>
      </c>
      <c r="B653" s="49" t="s">
        <v>2912</v>
      </c>
      <c r="C653" s="50" t="s">
        <v>2978</v>
      </c>
      <c r="D653" s="49" t="s">
        <v>2979</v>
      </c>
      <c r="E653" s="50" t="s">
        <v>2980</v>
      </c>
      <c r="F653" s="49" t="s">
        <v>6</v>
      </c>
      <c r="G653" s="48">
        <v>42791</v>
      </c>
      <c r="H653" s="48">
        <v>42821</v>
      </c>
      <c r="I653" s="48">
        <v>42954</v>
      </c>
      <c r="J653" s="49" t="s">
        <v>2981</v>
      </c>
      <c r="K653" s="58" t="s">
        <v>7</v>
      </c>
      <c r="L653" s="49">
        <v>0</v>
      </c>
      <c r="M653" s="48">
        <v>42954</v>
      </c>
      <c r="N653" s="49" t="s">
        <v>2917</v>
      </c>
      <c r="O653" s="49" t="s">
        <v>7</v>
      </c>
      <c r="P653" s="49">
        <v>0</v>
      </c>
      <c r="Q653" s="51" t="s">
        <v>5002</v>
      </c>
      <c r="R653" s="67" t="e" cm="1">
        <f t="array" ref="R653">_xlfn.CHOOSECOLS(_xlfn.CHOOSEROWS(_xlfn._xlws.FILTER(표2[],표2[DWG No.]=C653,""),1),6)</f>
        <v>#VALUE!</v>
      </c>
      <c r="S653" s="67" t="e" cm="1">
        <f t="array" ref="S653">_xlfn.CHOOSECOLS(_xlfn.CHOOSEROWS(_xlfn._xlws.FILTER(표2[],(표2[DWG No.]=C653)*(ISNUMBER(표2[Rev.])),""),1),6)</f>
        <v>#VALUE!</v>
      </c>
    </row>
    <row r="654" spans="1:19" ht="18" customHeight="1" x14ac:dyDescent="0.45">
      <c r="A654" s="64">
        <v>649</v>
      </c>
      <c r="B654" s="49" t="s">
        <v>2912</v>
      </c>
      <c r="C654" s="50" t="s">
        <v>2982</v>
      </c>
      <c r="D654" s="49" t="s">
        <v>2983</v>
      </c>
      <c r="E654" s="50" t="s">
        <v>2984</v>
      </c>
      <c r="F654" s="49" t="s">
        <v>6</v>
      </c>
      <c r="G654" s="48">
        <v>42926</v>
      </c>
      <c r="H654" s="48">
        <v>42956</v>
      </c>
      <c r="I654" s="48">
        <v>43027</v>
      </c>
      <c r="J654" s="49" t="s">
        <v>2985</v>
      </c>
      <c r="K654" s="58" t="s">
        <v>5</v>
      </c>
      <c r="L654" s="49" t="s">
        <v>160</v>
      </c>
      <c r="M654" s="48">
        <v>43032</v>
      </c>
      <c r="N654" s="49" t="s">
        <v>2986</v>
      </c>
      <c r="O654" s="49" t="s">
        <v>6</v>
      </c>
      <c r="P654" s="49" t="s">
        <v>160</v>
      </c>
      <c r="Q654" s="49" t="s">
        <v>2702</v>
      </c>
      <c r="R654" s="67" t="e" cm="1">
        <f t="array" ref="R654">_xlfn.CHOOSECOLS(_xlfn.CHOOSEROWS(_xlfn._xlws.FILTER(표2[],표2[DWG No.]=C654,""),1),6)</f>
        <v>#VALUE!</v>
      </c>
      <c r="S654" s="67" t="e" cm="1">
        <f t="array" ref="S654">_xlfn.CHOOSECOLS(_xlfn.CHOOSEROWS(_xlfn._xlws.FILTER(표2[],(표2[DWG No.]=C654)*(ISNUMBER(표2[Rev.])),""),1),6)</f>
        <v>#VALUE!</v>
      </c>
    </row>
    <row r="655" spans="1:19" ht="18" customHeight="1" x14ac:dyDescent="0.45">
      <c r="A655" s="64">
        <v>650</v>
      </c>
      <c r="B655" s="49" t="s">
        <v>2912</v>
      </c>
      <c r="C655" s="50" t="s">
        <v>2987</v>
      </c>
      <c r="D655" s="49" t="s">
        <v>2988</v>
      </c>
      <c r="E655" s="50" t="s">
        <v>2989</v>
      </c>
      <c r="F655" s="49" t="s">
        <v>6</v>
      </c>
      <c r="G655" s="48">
        <v>42770</v>
      </c>
      <c r="H655" s="48">
        <v>42800</v>
      </c>
      <c r="I655" s="48">
        <v>43066</v>
      </c>
      <c r="J655" s="49" t="s">
        <v>2963</v>
      </c>
      <c r="K655" s="58" t="s">
        <v>7</v>
      </c>
      <c r="L655" s="49">
        <v>0</v>
      </c>
      <c r="M655" s="48">
        <v>43066</v>
      </c>
      <c r="N655" s="49" t="s">
        <v>2917</v>
      </c>
      <c r="O655" s="49" t="s">
        <v>7</v>
      </c>
      <c r="P655" s="49">
        <v>0</v>
      </c>
      <c r="Q655" s="51" t="s">
        <v>5002</v>
      </c>
      <c r="R655" s="67" t="e" cm="1">
        <f t="array" ref="R655">_xlfn.CHOOSECOLS(_xlfn.CHOOSEROWS(_xlfn._xlws.FILTER(표2[],표2[DWG No.]=C655,""),1),6)</f>
        <v>#VALUE!</v>
      </c>
      <c r="S655" s="67" t="e" cm="1">
        <f t="array" ref="S655">_xlfn.CHOOSECOLS(_xlfn.CHOOSEROWS(_xlfn._xlws.FILTER(표2[],(표2[DWG No.]=C655)*(ISNUMBER(표2[Rev.])),""),1),6)</f>
        <v>#VALUE!</v>
      </c>
    </row>
    <row r="656" spans="1:19" ht="18" customHeight="1" x14ac:dyDescent="0.45">
      <c r="A656" s="64">
        <v>651</v>
      </c>
      <c r="B656" s="49" t="s">
        <v>2912</v>
      </c>
      <c r="C656" s="50" t="s">
        <v>2990</v>
      </c>
      <c r="D656" s="49" t="s">
        <v>2991</v>
      </c>
      <c r="E656" s="50" t="s">
        <v>2992</v>
      </c>
      <c r="F656" s="49" t="s">
        <v>6</v>
      </c>
      <c r="G656" s="48">
        <v>42893</v>
      </c>
      <c r="H656" s="48">
        <v>42923</v>
      </c>
      <c r="I656" s="48">
        <v>42888</v>
      </c>
      <c r="J656" s="49" t="s">
        <v>2993</v>
      </c>
      <c r="K656" s="58" t="s">
        <v>5</v>
      </c>
      <c r="L656" s="49" t="s">
        <v>65</v>
      </c>
      <c r="M656" s="48">
        <v>42898</v>
      </c>
      <c r="N656" s="49" t="s">
        <v>2994</v>
      </c>
      <c r="O656" s="49" t="s">
        <v>6</v>
      </c>
      <c r="P656" s="49" t="s">
        <v>65</v>
      </c>
      <c r="Q656" s="49" t="s">
        <v>2702</v>
      </c>
      <c r="R656" s="67" t="e" cm="1">
        <f t="array" ref="R656">_xlfn.CHOOSECOLS(_xlfn.CHOOSEROWS(_xlfn._xlws.FILTER(표2[],표2[DWG No.]=C656,""),1),6)</f>
        <v>#VALUE!</v>
      </c>
      <c r="S656" s="67" t="e" cm="1">
        <f t="array" ref="S656">_xlfn.CHOOSECOLS(_xlfn.CHOOSEROWS(_xlfn._xlws.FILTER(표2[],(표2[DWG No.]=C656)*(ISNUMBER(표2[Rev.])),""),1),6)</f>
        <v>#VALUE!</v>
      </c>
    </row>
    <row r="657" spans="1:19" ht="18" customHeight="1" x14ac:dyDescent="0.45">
      <c r="A657" s="64">
        <v>652</v>
      </c>
      <c r="B657" s="49" t="s">
        <v>2912</v>
      </c>
      <c r="C657" s="50" t="s">
        <v>2995</v>
      </c>
      <c r="D657" s="49" t="s">
        <v>2996</v>
      </c>
      <c r="E657" s="50" t="s">
        <v>2997</v>
      </c>
      <c r="F657" s="49" t="s">
        <v>6</v>
      </c>
      <c r="G657" s="48">
        <v>42790</v>
      </c>
      <c r="H657" s="48">
        <v>42985</v>
      </c>
      <c r="I657" s="48">
        <v>42985</v>
      </c>
      <c r="J657" s="49" t="s">
        <v>2998</v>
      </c>
      <c r="K657" s="58" t="s">
        <v>7</v>
      </c>
      <c r="L657" s="49">
        <v>0</v>
      </c>
      <c r="M657" s="48">
        <v>42985</v>
      </c>
      <c r="N657" s="49" t="s">
        <v>2917</v>
      </c>
      <c r="O657" s="49" t="s">
        <v>7</v>
      </c>
      <c r="P657" s="49">
        <v>0</v>
      </c>
      <c r="Q657" s="51" t="s">
        <v>5002</v>
      </c>
      <c r="R657" s="67" t="e" cm="1">
        <f t="array" ref="R657">_xlfn.CHOOSECOLS(_xlfn.CHOOSEROWS(_xlfn._xlws.FILTER(표2[],표2[DWG No.]=C657,""),1),6)</f>
        <v>#VALUE!</v>
      </c>
      <c r="S657" s="67" t="e" cm="1">
        <f t="array" ref="S657">_xlfn.CHOOSECOLS(_xlfn.CHOOSEROWS(_xlfn._xlws.FILTER(표2[],(표2[DWG No.]=C657)*(ISNUMBER(표2[Rev.])),""),1),6)</f>
        <v>#VALUE!</v>
      </c>
    </row>
    <row r="658" spans="1:19" ht="18" customHeight="1" x14ac:dyDescent="0.45">
      <c r="A658" s="64">
        <v>653</v>
      </c>
      <c r="B658" s="49" t="s">
        <v>2912</v>
      </c>
      <c r="C658" s="50" t="s">
        <v>2999</v>
      </c>
      <c r="D658" s="49" t="s">
        <v>3000</v>
      </c>
      <c r="E658" s="50" t="s">
        <v>3001</v>
      </c>
      <c r="F658" s="49" t="s">
        <v>6</v>
      </c>
      <c r="G658" s="48">
        <v>42790</v>
      </c>
      <c r="H658" s="48">
        <v>42820</v>
      </c>
      <c r="I658" s="48">
        <v>42985</v>
      </c>
      <c r="J658" s="49" t="s">
        <v>2998</v>
      </c>
      <c r="K658" s="58" t="s">
        <v>7</v>
      </c>
      <c r="L658" s="49">
        <v>0</v>
      </c>
      <c r="M658" s="48">
        <v>42985</v>
      </c>
      <c r="N658" s="49" t="s">
        <v>2917</v>
      </c>
      <c r="O658" s="49" t="s">
        <v>7</v>
      </c>
      <c r="P658" s="49">
        <v>0</v>
      </c>
      <c r="Q658" s="51" t="s">
        <v>5002</v>
      </c>
      <c r="R658" s="67" t="e" cm="1">
        <f t="array" ref="R658">_xlfn.CHOOSECOLS(_xlfn.CHOOSEROWS(_xlfn._xlws.FILTER(표2[],표2[DWG No.]=C658,""),1),6)</f>
        <v>#VALUE!</v>
      </c>
      <c r="S658" s="67" t="e" cm="1">
        <f t="array" ref="S658">_xlfn.CHOOSECOLS(_xlfn.CHOOSEROWS(_xlfn._xlws.FILTER(표2[],(표2[DWG No.]=C658)*(ISNUMBER(표2[Rev.])),""),1),6)</f>
        <v>#VALUE!</v>
      </c>
    </row>
    <row r="659" spans="1:19" ht="18" customHeight="1" x14ac:dyDescent="0.45">
      <c r="A659" s="64">
        <v>654</v>
      </c>
      <c r="B659" s="49" t="s">
        <v>2912</v>
      </c>
      <c r="C659" s="50" t="s">
        <v>3002</v>
      </c>
      <c r="D659" s="49" t="s">
        <v>3003</v>
      </c>
      <c r="E659" s="50" t="s">
        <v>3004</v>
      </c>
      <c r="F659" s="49" t="s">
        <v>6</v>
      </c>
      <c r="G659" s="48">
        <v>42770</v>
      </c>
      <c r="H659" s="48">
        <v>42800</v>
      </c>
      <c r="I659" s="48">
        <v>42985</v>
      </c>
      <c r="J659" s="49" t="s">
        <v>2998</v>
      </c>
      <c r="K659" s="58" t="s">
        <v>7</v>
      </c>
      <c r="L659" s="49">
        <v>0</v>
      </c>
      <c r="M659" s="48">
        <v>42985</v>
      </c>
      <c r="N659" s="49" t="s">
        <v>2917</v>
      </c>
      <c r="O659" s="49" t="s">
        <v>7</v>
      </c>
      <c r="P659" s="49">
        <v>0</v>
      </c>
      <c r="Q659" s="51" t="s">
        <v>5002</v>
      </c>
      <c r="R659" s="67" t="e" cm="1">
        <f t="array" ref="R659">_xlfn.CHOOSECOLS(_xlfn.CHOOSEROWS(_xlfn._xlws.FILTER(표2[],표2[DWG No.]=C659,""),1),6)</f>
        <v>#VALUE!</v>
      </c>
      <c r="S659" s="67" t="e" cm="1">
        <f t="array" ref="S659">_xlfn.CHOOSECOLS(_xlfn.CHOOSEROWS(_xlfn._xlws.FILTER(표2[],(표2[DWG No.]=C659)*(ISNUMBER(표2[Rev.])),""),1),6)</f>
        <v>#VALUE!</v>
      </c>
    </row>
    <row r="660" spans="1:19" ht="18" customHeight="1" x14ac:dyDescent="0.45">
      <c r="A660" s="64">
        <v>655</v>
      </c>
      <c r="B660" s="49" t="s">
        <v>2912</v>
      </c>
      <c r="C660" s="50" t="s">
        <v>3005</v>
      </c>
      <c r="D660" s="49" t="s">
        <v>3006</v>
      </c>
      <c r="E660" s="50" t="s">
        <v>3007</v>
      </c>
      <c r="F660" s="49" t="s">
        <v>6</v>
      </c>
      <c r="G660" s="48">
        <v>42812</v>
      </c>
      <c r="H660" s="48">
        <v>42842</v>
      </c>
      <c r="I660" s="48">
        <v>42878</v>
      </c>
      <c r="J660" s="49" t="s">
        <v>3008</v>
      </c>
      <c r="K660" s="58" t="s">
        <v>7</v>
      </c>
      <c r="L660" s="49" t="s">
        <v>2702</v>
      </c>
      <c r="M660" s="48">
        <v>42884</v>
      </c>
      <c r="N660" s="49" t="s">
        <v>3009</v>
      </c>
      <c r="O660" s="49" t="s">
        <v>6</v>
      </c>
      <c r="P660" s="49" t="s">
        <v>2702</v>
      </c>
      <c r="Q660" s="49" t="s">
        <v>2702</v>
      </c>
      <c r="R660" s="67" t="e" cm="1">
        <f t="array" ref="R660">_xlfn.CHOOSECOLS(_xlfn.CHOOSEROWS(_xlfn._xlws.FILTER(표2[],표2[DWG No.]=C660,""),1),6)</f>
        <v>#VALUE!</v>
      </c>
      <c r="S660" s="67" t="e" cm="1">
        <f t="array" ref="S660">_xlfn.CHOOSECOLS(_xlfn.CHOOSEROWS(_xlfn._xlws.FILTER(표2[],(표2[DWG No.]=C660)*(ISNUMBER(표2[Rev.])),""),1),6)</f>
        <v>#VALUE!</v>
      </c>
    </row>
    <row r="661" spans="1:19" ht="18" customHeight="1" x14ac:dyDescent="0.45">
      <c r="A661" s="64">
        <v>656</v>
      </c>
      <c r="B661" s="49" t="s">
        <v>2912</v>
      </c>
      <c r="C661" s="50" t="s">
        <v>3010</v>
      </c>
      <c r="D661" s="49" t="s">
        <v>3011</v>
      </c>
      <c r="E661" s="50" t="s">
        <v>3012</v>
      </c>
      <c r="F661" s="49" t="s">
        <v>6</v>
      </c>
      <c r="G661" s="48">
        <v>42776</v>
      </c>
      <c r="H661" s="48">
        <v>42806</v>
      </c>
      <c r="I661" s="48">
        <v>42877</v>
      </c>
      <c r="J661" s="49" t="s">
        <v>3013</v>
      </c>
      <c r="K661" s="58" t="s">
        <v>7</v>
      </c>
      <c r="L661" s="49">
        <v>0</v>
      </c>
      <c r="M661" s="48">
        <v>42877</v>
      </c>
      <c r="N661" s="49" t="s">
        <v>2917</v>
      </c>
      <c r="O661" s="49" t="s">
        <v>7</v>
      </c>
      <c r="P661" s="49">
        <v>0</v>
      </c>
      <c r="Q661" s="51" t="s">
        <v>5002</v>
      </c>
      <c r="R661" s="67" t="e" cm="1">
        <f t="array" ref="R661">_xlfn.CHOOSECOLS(_xlfn.CHOOSEROWS(_xlfn._xlws.FILTER(표2[],표2[DWG No.]=C661,""),1),6)</f>
        <v>#VALUE!</v>
      </c>
      <c r="S661" s="67" t="e" cm="1">
        <f t="array" ref="S661">_xlfn.CHOOSECOLS(_xlfn.CHOOSEROWS(_xlfn._xlws.FILTER(표2[],(표2[DWG No.]=C661)*(ISNUMBER(표2[Rev.])),""),1),6)</f>
        <v>#VALUE!</v>
      </c>
    </row>
    <row r="662" spans="1:19" ht="18" customHeight="1" x14ac:dyDescent="0.45">
      <c r="A662" s="64">
        <v>657</v>
      </c>
      <c r="B662" s="49" t="s">
        <v>2912</v>
      </c>
      <c r="C662" s="50" t="s">
        <v>3014</v>
      </c>
      <c r="D662" s="49" t="s">
        <v>3015</v>
      </c>
      <c r="E662" s="50" t="s">
        <v>3016</v>
      </c>
      <c r="F662" s="49" t="s">
        <v>6</v>
      </c>
      <c r="G662" s="48">
        <v>42798</v>
      </c>
      <c r="H662" s="48">
        <v>42828</v>
      </c>
      <c r="I662" s="48">
        <v>42954</v>
      </c>
      <c r="J662" s="49" t="s">
        <v>2981</v>
      </c>
      <c r="K662" s="58" t="s">
        <v>7</v>
      </c>
      <c r="L662" s="49">
        <v>0</v>
      </c>
      <c r="M662" s="48">
        <v>42954</v>
      </c>
      <c r="N662" s="49" t="s">
        <v>2917</v>
      </c>
      <c r="O662" s="49" t="s">
        <v>7</v>
      </c>
      <c r="P662" s="49">
        <v>0</v>
      </c>
      <c r="Q662" s="51" t="s">
        <v>5002</v>
      </c>
      <c r="R662" s="67" t="e" cm="1">
        <f t="array" ref="R662">_xlfn.CHOOSECOLS(_xlfn.CHOOSEROWS(_xlfn._xlws.FILTER(표2[],표2[DWG No.]=C662,""),1),6)</f>
        <v>#VALUE!</v>
      </c>
      <c r="S662" s="67" t="e" cm="1">
        <f t="array" ref="S662">_xlfn.CHOOSECOLS(_xlfn.CHOOSEROWS(_xlfn._xlws.FILTER(표2[],(표2[DWG No.]=C662)*(ISNUMBER(표2[Rev.])),""),1),6)</f>
        <v>#VALUE!</v>
      </c>
    </row>
    <row r="663" spans="1:19" ht="18" customHeight="1" x14ac:dyDescent="0.45">
      <c r="A663" s="64">
        <v>658</v>
      </c>
      <c r="B663" s="49" t="s">
        <v>2912</v>
      </c>
      <c r="C663" s="50" t="s">
        <v>3017</v>
      </c>
      <c r="D663" s="49" t="s">
        <v>3018</v>
      </c>
      <c r="E663" s="50" t="s">
        <v>3019</v>
      </c>
      <c r="F663" s="49" t="s">
        <v>6</v>
      </c>
      <c r="G663" s="48">
        <v>42809</v>
      </c>
      <c r="H663" s="48">
        <v>42839</v>
      </c>
      <c r="I663" s="48">
        <v>42983</v>
      </c>
      <c r="J663" s="49" t="s">
        <v>2916</v>
      </c>
      <c r="K663" s="58" t="s">
        <v>7</v>
      </c>
      <c r="L663" s="49">
        <v>0</v>
      </c>
      <c r="M663" s="48">
        <v>42984</v>
      </c>
      <c r="N663" s="49" t="s">
        <v>2917</v>
      </c>
      <c r="O663" s="49" t="s">
        <v>7</v>
      </c>
      <c r="P663" s="49">
        <v>0</v>
      </c>
      <c r="Q663" s="51" t="s">
        <v>5002</v>
      </c>
      <c r="R663" s="67" t="e" cm="1">
        <f t="array" ref="R663">_xlfn.CHOOSECOLS(_xlfn.CHOOSEROWS(_xlfn._xlws.FILTER(표2[],표2[DWG No.]=C663,""),1),6)</f>
        <v>#VALUE!</v>
      </c>
      <c r="S663" s="67" t="e" cm="1">
        <f t="array" ref="S663">_xlfn.CHOOSECOLS(_xlfn.CHOOSEROWS(_xlfn._xlws.FILTER(표2[],(표2[DWG No.]=C663)*(ISNUMBER(표2[Rev.])),""),1),6)</f>
        <v>#VALUE!</v>
      </c>
    </row>
    <row r="664" spans="1:19" ht="18" customHeight="1" x14ac:dyDescent="0.45">
      <c r="A664" s="64">
        <v>659</v>
      </c>
      <c r="B664" s="49" t="s">
        <v>2912</v>
      </c>
      <c r="C664" s="50" t="s">
        <v>3020</v>
      </c>
      <c r="D664" s="49" t="s">
        <v>3021</v>
      </c>
      <c r="E664" s="50" t="s">
        <v>3022</v>
      </c>
      <c r="F664" s="49" t="s">
        <v>6</v>
      </c>
      <c r="G664" s="48">
        <v>42796</v>
      </c>
      <c r="H664" s="48">
        <v>42826</v>
      </c>
      <c r="I664" s="48">
        <v>42983</v>
      </c>
      <c r="J664" s="49" t="s">
        <v>2916</v>
      </c>
      <c r="K664" s="58" t="s">
        <v>7</v>
      </c>
      <c r="L664" s="49">
        <v>0</v>
      </c>
      <c r="M664" s="48">
        <v>42984</v>
      </c>
      <c r="N664" s="49" t="s">
        <v>2917</v>
      </c>
      <c r="O664" s="49" t="s">
        <v>7</v>
      </c>
      <c r="P664" s="49">
        <v>0</v>
      </c>
      <c r="Q664" s="51" t="s">
        <v>5002</v>
      </c>
      <c r="R664" s="67" t="e" cm="1">
        <f t="array" ref="R664">_xlfn.CHOOSECOLS(_xlfn.CHOOSEROWS(_xlfn._xlws.FILTER(표2[],표2[DWG No.]=C664,""),1),6)</f>
        <v>#VALUE!</v>
      </c>
      <c r="S664" s="67" t="e" cm="1">
        <f t="array" ref="S664">_xlfn.CHOOSECOLS(_xlfn.CHOOSEROWS(_xlfn._xlws.FILTER(표2[],(표2[DWG No.]=C664)*(ISNUMBER(표2[Rev.])),""),1),6)</f>
        <v>#VALUE!</v>
      </c>
    </row>
    <row r="665" spans="1:19" ht="18" customHeight="1" x14ac:dyDescent="0.45">
      <c r="A665" s="64">
        <v>660</v>
      </c>
      <c r="B665" s="49" t="s">
        <v>2912</v>
      </c>
      <c r="C665" s="50" t="s">
        <v>3023</v>
      </c>
      <c r="D665" s="49" t="s">
        <v>3024</v>
      </c>
      <c r="E665" s="50" t="s">
        <v>3025</v>
      </c>
      <c r="F665" s="49" t="s">
        <v>6</v>
      </c>
      <c r="G665" s="48">
        <v>42777</v>
      </c>
      <c r="H665" s="48">
        <v>42807</v>
      </c>
      <c r="I665" s="61">
        <v>43089</v>
      </c>
      <c r="J665" s="51" t="s">
        <v>3026</v>
      </c>
      <c r="K665" s="58" t="s">
        <v>7</v>
      </c>
      <c r="L665" s="49">
        <v>1</v>
      </c>
      <c r="M665" s="61">
        <v>43091</v>
      </c>
      <c r="N665" s="51" t="s">
        <v>3027</v>
      </c>
      <c r="O665" s="49" t="s">
        <v>7</v>
      </c>
      <c r="P665" s="51">
        <v>1</v>
      </c>
      <c r="Q665" s="51" t="s">
        <v>5002</v>
      </c>
      <c r="R665" s="67" t="e" cm="1">
        <f t="array" ref="R665">_xlfn.CHOOSECOLS(_xlfn.CHOOSEROWS(_xlfn._xlws.FILTER(표2[],표2[DWG No.]=C665,""),1),6)</f>
        <v>#VALUE!</v>
      </c>
      <c r="S665" s="67" t="e" cm="1">
        <f t="array" ref="S665">_xlfn.CHOOSECOLS(_xlfn.CHOOSEROWS(_xlfn._xlws.FILTER(표2[],(표2[DWG No.]=C665)*(ISNUMBER(표2[Rev.])),""),1),6)</f>
        <v>#VALUE!</v>
      </c>
    </row>
    <row r="666" spans="1:19" ht="18" customHeight="1" x14ac:dyDescent="0.45">
      <c r="A666" s="64">
        <v>661</v>
      </c>
      <c r="B666" s="49" t="s">
        <v>2912</v>
      </c>
      <c r="C666" s="50" t="s">
        <v>3028</v>
      </c>
      <c r="D666" s="49" t="s">
        <v>3029</v>
      </c>
      <c r="E666" s="50" t="s">
        <v>3030</v>
      </c>
      <c r="F666" s="49" t="s">
        <v>6</v>
      </c>
      <c r="G666" s="48">
        <v>42789</v>
      </c>
      <c r="H666" s="48">
        <v>42819</v>
      </c>
      <c r="I666" s="48">
        <v>42983</v>
      </c>
      <c r="J666" s="49" t="s">
        <v>2916</v>
      </c>
      <c r="K666" s="58" t="s">
        <v>7</v>
      </c>
      <c r="L666" s="49">
        <v>0</v>
      </c>
      <c r="M666" s="48">
        <v>42984</v>
      </c>
      <c r="N666" s="49" t="s">
        <v>2917</v>
      </c>
      <c r="O666" s="49" t="s">
        <v>7</v>
      </c>
      <c r="P666" s="49">
        <v>0</v>
      </c>
      <c r="Q666" s="51" t="s">
        <v>5002</v>
      </c>
      <c r="R666" s="67" t="e" cm="1">
        <f t="array" ref="R666">_xlfn.CHOOSECOLS(_xlfn.CHOOSEROWS(_xlfn._xlws.FILTER(표2[],표2[DWG No.]=C666,""),1),6)</f>
        <v>#VALUE!</v>
      </c>
      <c r="S666" s="67" t="e" cm="1">
        <f t="array" ref="S666">_xlfn.CHOOSECOLS(_xlfn.CHOOSEROWS(_xlfn._xlws.FILTER(표2[],(표2[DWG No.]=C666)*(ISNUMBER(표2[Rev.])),""),1),6)</f>
        <v>#VALUE!</v>
      </c>
    </row>
    <row r="667" spans="1:19" ht="18" customHeight="1" x14ac:dyDescent="0.45">
      <c r="A667" s="64">
        <v>662</v>
      </c>
      <c r="B667" s="49" t="s">
        <v>2912</v>
      </c>
      <c r="C667" s="50" t="s">
        <v>3031</v>
      </c>
      <c r="D667" s="49" t="s">
        <v>3032</v>
      </c>
      <c r="E667" s="50" t="s">
        <v>3033</v>
      </c>
      <c r="F667" s="49" t="s">
        <v>6</v>
      </c>
      <c r="G667" s="48">
        <v>42893</v>
      </c>
      <c r="H667" s="48">
        <v>42923</v>
      </c>
      <c r="I667" s="48">
        <v>43965</v>
      </c>
      <c r="J667" s="51" t="s">
        <v>4998</v>
      </c>
      <c r="K667" s="58" t="s">
        <v>7</v>
      </c>
      <c r="L667" s="49" t="s">
        <v>4999</v>
      </c>
      <c r="M667" s="61">
        <v>44000</v>
      </c>
      <c r="N667" s="51" t="s">
        <v>5028</v>
      </c>
      <c r="O667" s="49"/>
      <c r="P667" s="49" t="s">
        <v>4999</v>
      </c>
      <c r="Q667" s="51" t="s">
        <v>65</v>
      </c>
      <c r="R667" s="67" t="e" cm="1">
        <f t="array" ref="R667">_xlfn.CHOOSECOLS(_xlfn.CHOOSEROWS(_xlfn._xlws.FILTER(표2[],표2[DWG No.]=C667,""),1),6)</f>
        <v>#VALUE!</v>
      </c>
      <c r="S667" s="67" t="e" cm="1">
        <f t="array" ref="S667">_xlfn.CHOOSECOLS(_xlfn.CHOOSEROWS(_xlfn._xlws.FILTER(표2[],(표2[DWG No.]=C667)*(ISNUMBER(표2[Rev.])),""),1),6)</f>
        <v>#VALUE!</v>
      </c>
    </row>
    <row r="668" spans="1:19" ht="18" customHeight="1" x14ac:dyDescent="0.45">
      <c r="A668" s="64">
        <v>663</v>
      </c>
      <c r="B668" s="49" t="s">
        <v>2912</v>
      </c>
      <c r="C668" s="50" t="s">
        <v>3036</v>
      </c>
      <c r="D668" s="49" t="s">
        <v>3037</v>
      </c>
      <c r="E668" s="50" t="s">
        <v>3038</v>
      </c>
      <c r="F668" s="49" t="s">
        <v>6</v>
      </c>
      <c r="G668" s="48">
        <v>42893</v>
      </c>
      <c r="H668" s="48">
        <v>42923</v>
      </c>
      <c r="I668" s="48">
        <v>43557</v>
      </c>
      <c r="J668" s="49" t="s">
        <v>3039</v>
      </c>
      <c r="K668" s="58" t="s">
        <v>7</v>
      </c>
      <c r="L668" s="49" t="s">
        <v>209</v>
      </c>
      <c r="M668" s="48">
        <v>43579</v>
      </c>
      <c r="N668" s="49" t="s">
        <v>3040</v>
      </c>
      <c r="O668" s="49" t="s">
        <v>7</v>
      </c>
      <c r="P668" s="49" t="s">
        <v>209</v>
      </c>
      <c r="Q668" s="49" t="s">
        <v>160</v>
      </c>
      <c r="R668" s="67" t="e" cm="1">
        <f t="array" ref="R668">_xlfn.CHOOSECOLS(_xlfn.CHOOSEROWS(_xlfn._xlws.FILTER(표2[],표2[DWG No.]=C668,""),1),6)</f>
        <v>#VALUE!</v>
      </c>
      <c r="S668" s="67" t="e" cm="1">
        <f t="array" ref="S668">_xlfn.CHOOSECOLS(_xlfn.CHOOSEROWS(_xlfn._xlws.FILTER(표2[],(표2[DWG No.]=C668)*(ISNUMBER(표2[Rev.])),""),1),6)</f>
        <v>#VALUE!</v>
      </c>
    </row>
    <row r="669" spans="1:19" ht="18" customHeight="1" x14ac:dyDescent="0.45">
      <c r="A669" s="64">
        <v>664</v>
      </c>
      <c r="B669" s="49" t="s">
        <v>2912</v>
      </c>
      <c r="C669" s="50" t="s">
        <v>3041</v>
      </c>
      <c r="D669" s="49" t="s">
        <v>3042</v>
      </c>
      <c r="E669" s="50" t="s">
        <v>3043</v>
      </c>
      <c r="F669" s="49" t="s">
        <v>6</v>
      </c>
      <c r="G669" s="48">
        <v>42805</v>
      </c>
      <c r="H669" s="48">
        <v>42835</v>
      </c>
      <c r="I669" s="48">
        <v>42951</v>
      </c>
      <c r="J669" s="49" t="s">
        <v>3044</v>
      </c>
      <c r="K669" s="58" t="s">
        <v>7</v>
      </c>
      <c r="L669" s="49">
        <v>0</v>
      </c>
      <c r="M669" s="48">
        <v>42951</v>
      </c>
      <c r="N669" s="49" t="s">
        <v>2917</v>
      </c>
      <c r="O669" s="49" t="s">
        <v>7</v>
      </c>
      <c r="P669" s="49">
        <v>0</v>
      </c>
      <c r="Q669" s="51" t="s">
        <v>5002</v>
      </c>
      <c r="R669" s="67" t="e" cm="1">
        <f t="array" ref="R669">_xlfn.CHOOSECOLS(_xlfn.CHOOSEROWS(_xlfn._xlws.FILTER(표2[],표2[DWG No.]=C669,""),1),6)</f>
        <v>#VALUE!</v>
      </c>
      <c r="S669" s="67" t="e" cm="1">
        <f t="array" ref="S669">_xlfn.CHOOSECOLS(_xlfn.CHOOSEROWS(_xlfn._xlws.FILTER(표2[],(표2[DWG No.]=C669)*(ISNUMBER(표2[Rev.])),""),1),6)</f>
        <v>#VALUE!</v>
      </c>
    </row>
    <row r="670" spans="1:19" ht="18" customHeight="1" x14ac:dyDescent="0.45">
      <c r="A670" s="64">
        <v>665</v>
      </c>
      <c r="B670" s="49" t="s">
        <v>2912</v>
      </c>
      <c r="C670" s="50" t="s">
        <v>3045</v>
      </c>
      <c r="D670" s="49" t="s">
        <v>3046</v>
      </c>
      <c r="E670" s="50" t="s">
        <v>3047</v>
      </c>
      <c r="F670" s="49" t="s">
        <v>6</v>
      </c>
      <c r="G670" s="48">
        <v>42812</v>
      </c>
      <c r="H670" s="48">
        <v>42842</v>
      </c>
      <c r="I670" s="48">
        <v>43020</v>
      </c>
      <c r="J670" s="49" t="s">
        <v>3048</v>
      </c>
      <c r="K670" s="58" t="s">
        <v>7</v>
      </c>
      <c r="L670" s="49">
        <v>0</v>
      </c>
      <c r="M670" s="48">
        <v>43020</v>
      </c>
      <c r="N670" s="49" t="s">
        <v>2917</v>
      </c>
      <c r="O670" s="49" t="s">
        <v>7</v>
      </c>
      <c r="P670" s="49">
        <v>0</v>
      </c>
      <c r="Q670" s="51" t="s">
        <v>5002</v>
      </c>
      <c r="R670" s="67" t="e" cm="1">
        <f t="array" ref="R670">_xlfn.CHOOSECOLS(_xlfn.CHOOSEROWS(_xlfn._xlws.FILTER(표2[],표2[DWG No.]=C670,""),1),6)</f>
        <v>#VALUE!</v>
      </c>
      <c r="S670" s="67" t="e" cm="1">
        <f t="array" ref="S670">_xlfn.CHOOSECOLS(_xlfn.CHOOSEROWS(_xlfn._xlws.FILTER(표2[],(표2[DWG No.]=C670)*(ISNUMBER(표2[Rev.])),""),1),6)</f>
        <v>#VALUE!</v>
      </c>
    </row>
    <row r="671" spans="1:19" ht="18" customHeight="1" x14ac:dyDescent="0.45">
      <c r="A671" s="64">
        <v>666</v>
      </c>
      <c r="B671" s="49" t="s">
        <v>2912</v>
      </c>
      <c r="C671" s="50" t="s">
        <v>3049</v>
      </c>
      <c r="D671" s="49" t="s">
        <v>3050</v>
      </c>
      <c r="E671" s="50" t="s">
        <v>3051</v>
      </c>
      <c r="F671" s="49" t="s">
        <v>6</v>
      </c>
      <c r="G671" s="48">
        <v>42812</v>
      </c>
      <c r="H671" s="48">
        <v>42842</v>
      </c>
      <c r="I671" s="48">
        <v>43017</v>
      </c>
      <c r="J671" s="49" t="s">
        <v>3052</v>
      </c>
      <c r="K671" s="58" t="s">
        <v>7</v>
      </c>
      <c r="L671" s="49">
        <v>0</v>
      </c>
      <c r="M671" s="48">
        <v>43018</v>
      </c>
      <c r="N671" s="49" t="s">
        <v>2917</v>
      </c>
      <c r="O671" s="49" t="s">
        <v>7</v>
      </c>
      <c r="P671" s="49">
        <v>0</v>
      </c>
      <c r="Q671" s="51" t="s">
        <v>5002</v>
      </c>
      <c r="R671" s="67" t="e" cm="1">
        <f t="array" ref="R671">_xlfn.CHOOSECOLS(_xlfn.CHOOSEROWS(_xlfn._xlws.FILTER(표2[],표2[DWG No.]=C671,""),1),6)</f>
        <v>#VALUE!</v>
      </c>
      <c r="S671" s="67" t="e" cm="1">
        <f t="array" ref="S671">_xlfn.CHOOSECOLS(_xlfn.CHOOSEROWS(_xlfn._xlws.FILTER(표2[],(표2[DWG No.]=C671)*(ISNUMBER(표2[Rev.])),""),1),6)</f>
        <v>#VALUE!</v>
      </c>
    </row>
    <row r="672" spans="1:19" ht="18" customHeight="1" x14ac:dyDescent="0.45">
      <c r="A672" s="64">
        <v>667</v>
      </c>
      <c r="B672" s="49" t="s">
        <v>2912</v>
      </c>
      <c r="C672" s="50" t="s">
        <v>3053</v>
      </c>
      <c r="D672" s="49" t="s">
        <v>3054</v>
      </c>
      <c r="E672" s="50" t="s">
        <v>3055</v>
      </c>
      <c r="F672" s="49" t="s">
        <v>5</v>
      </c>
      <c r="G672" s="48">
        <v>42795</v>
      </c>
      <c r="H672" s="48">
        <v>42825</v>
      </c>
      <c r="I672" s="48">
        <v>43031</v>
      </c>
      <c r="J672" s="49" t="s">
        <v>3056</v>
      </c>
      <c r="K672" s="58" t="s">
        <v>5</v>
      </c>
      <c r="L672" s="49" t="s">
        <v>160</v>
      </c>
      <c r="M672" s="48">
        <v>43033</v>
      </c>
      <c r="N672" s="49" t="s">
        <v>3057</v>
      </c>
      <c r="O672" s="49" t="s">
        <v>5</v>
      </c>
      <c r="P672" s="49" t="s">
        <v>160</v>
      </c>
      <c r="Q672" s="49" t="s">
        <v>2702</v>
      </c>
      <c r="R672" s="67" t="e" cm="1">
        <f t="array" ref="R672">_xlfn.CHOOSECOLS(_xlfn.CHOOSEROWS(_xlfn._xlws.FILTER(표2[],표2[DWG No.]=C672,""),1),6)</f>
        <v>#VALUE!</v>
      </c>
      <c r="S672" s="67" t="e" cm="1">
        <f t="array" ref="S672">_xlfn.CHOOSECOLS(_xlfn.CHOOSEROWS(_xlfn._xlws.FILTER(표2[],(표2[DWG No.]=C672)*(ISNUMBER(표2[Rev.])),""),1),6)</f>
        <v>#VALUE!</v>
      </c>
    </row>
    <row r="673" spans="1:19" ht="18" customHeight="1" x14ac:dyDescent="0.45">
      <c r="A673" s="64">
        <v>668</v>
      </c>
      <c r="B673" s="49" t="s">
        <v>2912</v>
      </c>
      <c r="C673" s="50" t="s">
        <v>3058</v>
      </c>
      <c r="D673" s="49" t="s">
        <v>3059</v>
      </c>
      <c r="E673" s="50" t="s">
        <v>3060</v>
      </c>
      <c r="F673" s="49" t="s">
        <v>5</v>
      </c>
      <c r="G673" s="48">
        <v>42795</v>
      </c>
      <c r="H673" s="48">
        <v>42825</v>
      </c>
      <c r="I673" s="48">
        <v>43031</v>
      </c>
      <c r="J673" s="49" t="s">
        <v>3056</v>
      </c>
      <c r="K673" s="58" t="s">
        <v>5</v>
      </c>
      <c r="L673" s="49" t="s">
        <v>160</v>
      </c>
      <c r="M673" s="48">
        <v>43033</v>
      </c>
      <c r="N673" s="49" t="s">
        <v>3057</v>
      </c>
      <c r="O673" s="49" t="s">
        <v>5</v>
      </c>
      <c r="P673" s="49" t="s">
        <v>160</v>
      </c>
      <c r="Q673" s="49" t="s">
        <v>2702</v>
      </c>
      <c r="R673" s="67" t="e" cm="1">
        <f t="array" ref="R673">_xlfn.CHOOSECOLS(_xlfn.CHOOSEROWS(_xlfn._xlws.FILTER(표2[],표2[DWG No.]=C673,""),1),6)</f>
        <v>#VALUE!</v>
      </c>
      <c r="S673" s="67" t="e" cm="1">
        <f t="array" ref="S673">_xlfn.CHOOSECOLS(_xlfn.CHOOSEROWS(_xlfn._xlws.FILTER(표2[],(표2[DWG No.]=C673)*(ISNUMBER(표2[Rev.])),""),1),6)</f>
        <v>#VALUE!</v>
      </c>
    </row>
    <row r="674" spans="1:19" ht="18" customHeight="1" x14ac:dyDescent="0.45">
      <c r="A674" s="64">
        <v>669</v>
      </c>
      <c r="B674" s="49" t="s">
        <v>2912</v>
      </c>
      <c r="C674" s="50" t="s">
        <v>3061</v>
      </c>
      <c r="D674" s="49">
        <v>155042</v>
      </c>
      <c r="E674" s="50" t="s">
        <v>3062</v>
      </c>
      <c r="F674" s="49" t="s">
        <v>6</v>
      </c>
      <c r="G674" s="48">
        <v>42809</v>
      </c>
      <c r="H674" s="48">
        <v>42839</v>
      </c>
      <c r="I674" s="48">
        <v>43059</v>
      </c>
      <c r="J674" s="49" t="s">
        <v>3063</v>
      </c>
      <c r="K674" s="58" t="s">
        <v>7</v>
      </c>
      <c r="L674" s="49">
        <v>0</v>
      </c>
      <c r="M674" s="48">
        <v>43060</v>
      </c>
      <c r="N674" s="49" t="s">
        <v>2917</v>
      </c>
      <c r="O674" s="49" t="s">
        <v>7</v>
      </c>
      <c r="P674" s="49">
        <v>0</v>
      </c>
      <c r="Q674" s="51" t="s">
        <v>5002</v>
      </c>
      <c r="R674" s="67" t="e" cm="1">
        <f t="array" ref="R674">_xlfn.CHOOSECOLS(_xlfn.CHOOSEROWS(_xlfn._xlws.FILTER(표2[],표2[DWG No.]=C674,""),1),6)</f>
        <v>#VALUE!</v>
      </c>
      <c r="S674" s="67" t="e" cm="1">
        <f t="array" ref="S674">_xlfn.CHOOSECOLS(_xlfn.CHOOSEROWS(_xlfn._xlws.FILTER(표2[],(표2[DWG No.]=C674)*(ISNUMBER(표2[Rev.])),""),1),6)</f>
        <v>#VALUE!</v>
      </c>
    </row>
    <row r="675" spans="1:19" ht="18" customHeight="1" x14ac:dyDescent="0.45">
      <c r="A675" s="64">
        <v>670</v>
      </c>
      <c r="B675" s="49" t="s">
        <v>2912</v>
      </c>
      <c r="C675" s="50" t="s">
        <v>3064</v>
      </c>
      <c r="D675" s="49">
        <v>155043</v>
      </c>
      <c r="E675" s="50" t="s">
        <v>3062</v>
      </c>
      <c r="F675" s="49" t="s">
        <v>6</v>
      </c>
      <c r="G675" s="48">
        <v>42809</v>
      </c>
      <c r="H675" s="48">
        <v>42839</v>
      </c>
      <c r="I675" s="48">
        <v>43059</v>
      </c>
      <c r="J675" s="49" t="s">
        <v>3063</v>
      </c>
      <c r="K675" s="58" t="s">
        <v>7</v>
      </c>
      <c r="L675" s="49">
        <v>0</v>
      </c>
      <c r="M675" s="48">
        <v>43060</v>
      </c>
      <c r="N675" s="49" t="s">
        <v>2917</v>
      </c>
      <c r="O675" s="49" t="s">
        <v>7</v>
      </c>
      <c r="P675" s="49">
        <v>0</v>
      </c>
      <c r="Q675" s="51" t="s">
        <v>5002</v>
      </c>
      <c r="R675" s="67" t="e" cm="1">
        <f t="array" ref="R675">_xlfn.CHOOSECOLS(_xlfn.CHOOSEROWS(_xlfn._xlws.FILTER(표2[],표2[DWG No.]=C675,""),1),6)</f>
        <v>#VALUE!</v>
      </c>
      <c r="S675" s="67" t="e" cm="1">
        <f t="array" ref="S675">_xlfn.CHOOSECOLS(_xlfn.CHOOSEROWS(_xlfn._xlws.FILTER(표2[],(표2[DWG No.]=C675)*(ISNUMBER(표2[Rev.])),""),1),6)</f>
        <v>#VALUE!</v>
      </c>
    </row>
    <row r="676" spans="1:19" ht="18" customHeight="1" x14ac:dyDescent="0.45">
      <c r="A676" s="64">
        <v>671</v>
      </c>
      <c r="B676" s="49" t="s">
        <v>2912</v>
      </c>
      <c r="C676" s="50" t="s">
        <v>3065</v>
      </c>
      <c r="D676" s="49">
        <v>155045</v>
      </c>
      <c r="E676" s="50" t="s">
        <v>3066</v>
      </c>
      <c r="F676" s="49" t="s">
        <v>6</v>
      </c>
      <c r="G676" s="48">
        <v>42896</v>
      </c>
      <c r="H676" s="48">
        <v>42926</v>
      </c>
      <c r="I676" s="48">
        <v>42986</v>
      </c>
      <c r="J676" s="49" t="s">
        <v>3067</v>
      </c>
      <c r="K676" s="58" t="s">
        <v>7</v>
      </c>
      <c r="L676" s="49">
        <v>1</v>
      </c>
      <c r="M676" s="48">
        <v>42986</v>
      </c>
      <c r="N676" s="49" t="s">
        <v>2917</v>
      </c>
      <c r="O676" s="49" t="s">
        <v>7</v>
      </c>
      <c r="P676" s="49">
        <v>1</v>
      </c>
      <c r="Q676" s="51" t="s">
        <v>5002</v>
      </c>
      <c r="R676" s="67" t="e" cm="1">
        <f t="array" ref="R676">_xlfn.CHOOSECOLS(_xlfn.CHOOSEROWS(_xlfn._xlws.FILTER(표2[],표2[DWG No.]=C676,""),1),6)</f>
        <v>#VALUE!</v>
      </c>
      <c r="S676" s="67" t="e" cm="1">
        <f t="array" ref="S676">_xlfn.CHOOSECOLS(_xlfn.CHOOSEROWS(_xlfn._xlws.FILTER(표2[],(표2[DWG No.]=C676)*(ISNUMBER(표2[Rev.])),""),1),6)</f>
        <v>#VALUE!</v>
      </c>
    </row>
    <row r="677" spans="1:19" ht="18" customHeight="1" x14ac:dyDescent="0.45">
      <c r="A677" s="64">
        <v>672</v>
      </c>
      <c r="B677" s="49" t="s">
        <v>2912</v>
      </c>
      <c r="C677" s="50" t="s">
        <v>3068</v>
      </c>
      <c r="D677" s="49">
        <v>155046</v>
      </c>
      <c r="E677" s="50" t="s">
        <v>3069</v>
      </c>
      <c r="F677" s="49" t="s">
        <v>6</v>
      </c>
      <c r="G677" s="48">
        <v>42804</v>
      </c>
      <c r="H677" s="48">
        <v>42834</v>
      </c>
      <c r="I677" s="48">
        <v>42965</v>
      </c>
      <c r="J677" s="49" t="s">
        <v>3070</v>
      </c>
      <c r="K677" s="58" t="s">
        <v>7</v>
      </c>
      <c r="L677" s="49">
        <v>1</v>
      </c>
      <c r="M677" s="48">
        <v>42969</v>
      </c>
      <c r="N677" s="49" t="s">
        <v>2917</v>
      </c>
      <c r="O677" s="49" t="s">
        <v>7</v>
      </c>
      <c r="P677" s="49">
        <v>1</v>
      </c>
      <c r="Q677" s="51" t="s">
        <v>5002</v>
      </c>
      <c r="R677" s="67" t="e" cm="1">
        <f t="array" ref="R677">_xlfn.CHOOSECOLS(_xlfn.CHOOSEROWS(_xlfn._xlws.FILTER(표2[],표2[DWG No.]=C677,""),1),6)</f>
        <v>#VALUE!</v>
      </c>
      <c r="S677" s="67" t="e" cm="1">
        <f t="array" ref="S677">_xlfn.CHOOSECOLS(_xlfn.CHOOSEROWS(_xlfn._xlws.FILTER(표2[],(표2[DWG No.]=C677)*(ISNUMBER(표2[Rev.])),""),1),6)</f>
        <v>#VALUE!</v>
      </c>
    </row>
    <row r="678" spans="1:19" ht="18" customHeight="1" x14ac:dyDescent="0.45">
      <c r="A678" s="64">
        <v>673</v>
      </c>
      <c r="B678" s="49" t="s">
        <v>2912</v>
      </c>
      <c r="C678" s="50" t="s">
        <v>3071</v>
      </c>
      <c r="D678" s="49">
        <v>155047</v>
      </c>
      <c r="E678" s="50" t="s">
        <v>3072</v>
      </c>
      <c r="F678" s="49" t="s">
        <v>6</v>
      </c>
      <c r="G678" s="48">
        <v>42817</v>
      </c>
      <c r="H678" s="48">
        <v>42896</v>
      </c>
      <c r="I678" s="48">
        <v>42941</v>
      </c>
      <c r="J678" s="49" t="s">
        <v>3073</v>
      </c>
      <c r="K678" s="58" t="s">
        <v>7</v>
      </c>
      <c r="L678" s="49">
        <v>0</v>
      </c>
      <c r="M678" s="48">
        <v>42941</v>
      </c>
      <c r="N678" s="49" t="s">
        <v>2917</v>
      </c>
      <c r="O678" s="49" t="s">
        <v>7</v>
      </c>
      <c r="P678" s="49">
        <v>0</v>
      </c>
      <c r="Q678" s="51" t="s">
        <v>5002</v>
      </c>
      <c r="R678" s="67" t="e" cm="1">
        <f t="array" ref="R678">_xlfn.CHOOSECOLS(_xlfn.CHOOSEROWS(_xlfn._xlws.FILTER(표2[],표2[DWG No.]=C678,""),1),6)</f>
        <v>#VALUE!</v>
      </c>
      <c r="S678" s="67" t="e" cm="1">
        <f t="array" ref="S678">_xlfn.CHOOSECOLS(_xlfn.CHOOSEROWS(_xlfn._xlws.FILTER(표2[],(표2[DWG No.]=C678)*(ISNUMBER(표2[Rev.])),""),1),6)</f>
        <v>#VALUE!</v>
      </c>
    </row>
    <row r="679" spans="1:19" ht="18" customHeight="1" x14ac:dyDescent="0.45">
      <c r="A679" s="64">
        <v>674</v>
      </c>
      <c r="B679" s="49" t="s">
        <v>2912</v>
      </c>
      <c r="C679" s="50" t="s">
        <v>3074</v>
      </c>
      <c r="D679" s="49">
        <v>155048</v>
      </c>
      <c r="E679" s="50" t="s">
        <v>3075</v>
      </c>
      <c r="F679" s="49" t="s">
        <v>5</v>
      </c>
      <c r="G679" s="48">
        <v>42930</v>
      </c>
      <c r="H679" s="48">
        <v>42960</v>
      </c>
      <c r="I679" s="48">
        <v>43031</v>
      </c>
      <c r="J679" s="49" t="s">
        <v>3056</v>
      </c>
      <c r="K679" s="58" t="s">
        <v>5</v>
      </c>
      <c r="L679" s="49" t="s">
        <v>164</v>
      </c>
      <c r="M679" s="48">
        <v>43033</v>
      </c>
      <c r="N679" s="49" t="s">
        <v>3057</v>
      </c>
      <c r="O679" s="49" t="s">
        <v>5</v>
      </c>
      <c r="P679" s="49" t="s">
        <v>164</v>
      </c>
      <c r="Q679" s="49" t="s">
        <v>2702</v>
      </c>
      <c r="R679" s="67" t="e" cm="1">
        <f t="array" ref="R679">_xlfn.CHOOSECOLS(_xlfn.CHOOSEROWS(_xlfn._xlws.FILTER(표2[],표2[DWG No.]=C679,""),1),6)</f>
        <v>#VALUE!</v>
      </c>
      <c r="S679" s="67" t="e" cm="1">
        <f t="array" ref="S679">_xlfn.CHOOSECOLS(_xlfn.CHOOSEROWS(_xlfn._xlws.FILTER(표2[],(표2[DWG No.]=C679)*(ISNUMBER(표2[Rev.])),""),1),6)</f>
        <v>#VALUE!</v>
      </c>
    </row>
    <row r="680" spans="1:19" ht="18" customHeight="1" x14ac:dyDescent="0.45">
      <c r="A680" s="64">
        <v>675</v>
      </c>
      <c r="B680" s="49" t="s">
        <v>2912</v>
      </c>
      <c r="C680" s="50" t="s">
        <v>3076</v>
      </c>
      <c r="D680" s="49">
        <v>155049</v>
      </c>
      <c r="E680" s="50" t="s">
        <v>3077</v>
      </c>
      <c r="F680" s="49" t="s">
        <v>6</v>
      </c>
      <c r="G680" s="48">
        <v>42930</v>
      </c>
      <c r="H680" s="48">
        <v>42960</v>
      </c>
      <c r="I680" s="48">
        <v>42940</v>
      </c>
      <c r="J680" s="49" t="s">
        <v>3078</v>
      </c>
      <c r="K680" s="58" t="s">
        <v>7</v>
      </c>
      <c r="L680" s="49">
        <v>0</v>
      </c>
      <c r="M680" s="48">
        <v>42941</v>
      </c>
      <c r="N680" s="49" t="s">
        <v>2917</v>
      </c>
      <c r="O680" s="49" t="s">
        <v>7</v>
      </c>
      <c r="P680" s="49">
        <v>0</v>
      </c>
      <c r="Q680" s="51" t="s">
        <v>5002</v>
      </c>
      <c r="R680" s="67" t="e" cm="1">
        <f t="array" ref="R680">_xlfn.CHOOSECOLS(_xlfn.CHOOSEROWS(_xlfn._xlws.FILTER(표2[],표2[DWG No.]=C680,""),1),6)</f>
        <v>#VALUE!</v>
      </c>
      <c r="S680" s="67" t="e" cm="1">
        <f t="array" ref="S680">_xlfn.CHOOSECOLS(_xlfn.CHOOSEROWS(_xlfn._xlws.FILTER(표2[],(표2[DWG No.]=C680)*(ISNUMBER(표2[Rev.])),""),1),6)</f>
        <v>#VALUE!</v>
      </c>
    </row>
    <row r="681" spans="1:19" ht="18" customHeight="1" x14ac:dyDescent="0.45">
      <c r="A681" s="64">
        <v>676</v>
      </c>
      <c r="B681" s="49" t="s">
        <v>2912</v>
      </c>
      <c r="C681" s="50" t="s">
        <v>3079</v>
      </c>
      <c r="D681" s="49">
        <v>155050</v>
      </c>
      <c r="E681" s="50" t="s">
        <v>3080</v>
      </c>
      <c r="F681" s="49" t="s">
        <v>6</v>
      </c>
      <c r="G681" s="48">
        <v>42908</v>
      </c>
      <c r="H681" s="48">
        <v>42938</v>
      </c>
      <c r="I681" s="48">
        <v>42940</v>
      </c>
      <c r="J681" s="49" t="s">
        <v>3078</v>
      </c>
      <c r="K681" s="58" t="s">
        <v>7</v>
      </c>
      <c r="L681" s="49">
        <v>0</v>
      </c>
      <c r="M681" s="48">
        <v>42941</v>
      </c>
      <c r="N681" s="49" t="s">
        <v>2917</v>
      </c>
      <c r="O681" s="49" t="s">
        <v>7</v>
      </c>
      <c r="P681" s="49">
        <v>0</v>
      </c>
      <c r="Q681" s="51" t="s">
        <v>5002</v>
      </c>
      <c r="R681" s="67" t="e" cm="1">
        <f t="array" ref="R681">_xlfn.CHOOSECOLS(_xlfn.CHOOSEROWS(_xlfn._xlws.FILTER(표2[],표2[DWG No.]=C681,""),1),6)</f>
        <v>#VALUE!</v>
      </c>
      <c r="S681" s="67" t="e" cm="1">
        <f t="array" ref="S681">_xlfn.CHOOSECOLS(_xlfn.CHOOSEROWS(_xlfn._xlws.FILTER(표2[],(표2[DWG No.]=C681)*(ISNUMBER(표2[Rev.])),""),1),6)</f>
        <v>#VALUE!</v>
      </c>
    </row>
    <row r="682" spans="1:19" ht="18" customHeight="1" x14ac:dyDescent="0.45">
      <c r="A682" s="64">
        <v>677</v>
      </c>
      <c r="B682" s="49" t="s">
        <v>2912</v>
      </c>
      <c r="C682" s="50" t="s">
        <v>3081</v>
      </c>
      <c r="D682" s="49">
        <v>155074</v>
      </c>
      <c r="E682" s="50" t="s">
        <v>3082</v>
      </c>
      <c r="F682" s="49" t="s">
        <v>6</v>
      </c>
      <c r="G682" s="48">
        <v>42805</v>
      </c>
      <c r="H682" s="48">
        <v>42906</v>
      </c>
      <c r="I682" s="48">
        <v>43039</v>
      </c>
      <c r="J682" s="49" t="s">
        <v>3083</v>
      </c>
      <c r="K682" s="58" t="s">
        <v>5032</v>
      </c>
      <c r="L682" s="49" t="s">
        <v>164</v>
      </c>
      <c r="M682" s="48">
        <v>43041</v>
      </c>
      <c r="N682" s="49" t="s">
        <v>3084</v>
      </c>
      <c r="O682" s="49" t="s">
        <v>6</v>
      </c>
      <c r="P682" s="49" t="s">
        <v>164</v>
      </c>
      <c r="Q682" s="51" t="s">
        <v>65</v>
      </c>
      <c r="R682" s="67" t="e" cm="1">
        <f t="array" ref="R682">_xlfn.CHOOSECOLS(_xlfn.CHOOSEROWS(_xlfn._xlws.FILTER(표2[],표2[DWG No.]=C682,""),1),6)</f>
        <v>#VALUE!</v>
      </c>
      <c r="S682" s="67" t="e" cm="1">
        <f t="array" ref="S682">_xlfn.CHOOSECOLS(_xlfn.CHOOSEROWS(_xlfn._xlws.FILTER(표2[],(표2[DWG No.]=C682)*(ISNUMBER(표2[Rev.])),""),1),6)</f>
        <v>#VALUE!</v>
      </c>
    </row>
    <row r="683" spans="1:19" ht="18" customHeight="1" x14ac:dyDescent="0.45">
      <c r="A683" s="64">
        <v>678</v>
      </c>
      <c r="B683" s="49" t="s">
        <v>2912</v>
      </c>
      <c r="C683" s="50" t="s">
        <v>3085</v>
      </c>
      <c r="D683" s="49">
        <v>155073</v>
      </c>
      <c r="E683" s="50" t="s">
        <v>3086</v>
      </c>
      <c r="F683" s="49" t="s">
        <v>6</v>
      </c>
      <c r="G683" s="48">
        <v>42805</v>
      </c>
      <c r="H683" s="48">
        <v>42835</v>
      </c>
      <c r="I683" s="48">
        <v>42881</v>
      </c>
      <c r="J683" s="49" t="s">
        <v>3087</v>
      </c>
      <c r="K683" s="58" t="s">
        <v>7</v>
      </c>
      <c r="L683" s="49">
        <v>0</v>
      </c>
      <c r="M683" s="48">
        <v>42881</v>
      </c>
      <c r="N683" s="49" t="s">
        <v>2917</v>
      </c>
      <c r="O683" s="49" t="s">
        <v>7</v>
      </c>
      <c r="P683" s="49">
        <v>0</v>
      </c>
      <c r="Q683" s="51" t="s">
        <v>5002</v>
      </c>
      <c r="R683" s="67" t="e" cm="1">
        <f t="array" ref="R683">_xlfn.CHOOSECOLS(_xlfn.CHOOSEROWS(_xlfn._xlws.FILTER(표2[],표2[DWG No.]=C683,""),1),6)</f>
        <v>#VALUE!</v>
      </c>
      <c r="S683" s="67" t="e" cm="1">
        <f t="array" ref="S683">_xlfn.CHOOSECOLS(_xlfn.CHOOSEROWS(_xlfn._xlws.FILTER(표2[],(표2[DWG No.]=C683)*(ISNUMBER(표2[Rev.])),""),1),6)</f>
        <v>#VALUE!</v>
      </c>
    </row>
    <row r="684" spans="1:19" ht="18" customHeight="1" x14ac:dyDescent="0.45">
      <c r="A684" s="64">
        <v>679</v>
      </c>
      <c r="B684" s="49" t="s">
        <v>2912</v>
      </c>
      <c r="C684" s="50" t="s">
        <v>3088</v>
      </c>
      <c r="D684" s="49">
        <v>155072</v>
      </c>
      <c r="E684" s="50" t="s">
        <v>3089</v>
      </c>
      <c r="F684" s="49" t="s">
        <v>6</v>
      </c>
      <c r="G684" s="48">
        <v>42805</v>
      </c>
      <c r="H684" s="48">
        <v>42835</v>
      </c>
      <c r="I684" s="48">
        <v>42881</v>
      </c>
      <c r="J684" s="49" t="s">
        <v>3087</v>
      </c>
      <c r="K684" s="58" t="s">
        <v>7</v>
      </c>
      <c r="L684" s="49">
        <v>0</v>
      </c>
      <c r="M684" s="48">
        <v>42881</v>
      </c>
      <c r="N684" s="49" t="s">
        <v>2917</v>
      </c>
      <c r="O684" s="49" t="s">
        <v>7</v>
      </c>
      <c r="P684" s="49">
        <v>0</v>
      </c>
      <c r="Q684" s="51" t="s">
        <v>5002</v>
      </c>
      <c r="R684" s="67" t="e" cm="1">
        <f t="array" ref="R684">_xlfn.CHOOSECOLS(_xlfn.CHOOSEROWS(_xlfn._xlws.FILTER(표2[],표2[DWG No.]=C684,""),1),6)</f>
        <v>#VALUE!</v>
      </c>
      <c r="S684" s="67" t="e" cm="1">
        <f t="array" ref="S684">_xlfn.CHOOSECOLS(_xlfn.CHOOSEROWS(_xlfn._xlws.FILTER(표2[],(표2[DWG No.]=C684)*(ISNUMBER(표2[Rev.])),""),1),6)</f>
        <v>#VALUE!</v>
      </c>
    </row>
    <row r="685" spans="1:19" ht="18" customHeight="1" x14ac:dyDescent="0.45">
      <c r="A685" s="64">
        <v>680</v>
      </c>
      <c r="B685" s="49" t="s">
        <v>2912</v>
      </c>
      <c r="C685" s="50" t="s">
        <v>3090</v>
      </c>
      <c r="D685" s="49">
        <v>155071</v>
      </c>
      <c r="E685" s="50" t="s">
        <v>3091</v>
      </c>
      <c r="F685" s="49" t="s">
        <v>6</v>
      </c>
      <c r="G685" s="48">
        <v>42805</v>
      </c>
      <c r="H685" s="48">
        <v>42835</v>
      </c>
      <c r="I685" s="48">
        <v>43039</v>
      </c>
      <c r="J685" s="49" t="s">
        <v>3092</v>
      </c>
      <c r="K685" s="58" t="s">
        <v>7</v>
      </c>
      <c r="L685" s="49">
        <v>0</v>
      </c>
      <c r="M685" s="48">
        <v>43039</v>
      </c>
      <c r="N685" s="49" t="s">
        <v>2917</v>
      </c>
      <c r="O685" s="49" t="s">
        <v>7</v>
      </c>
      <c r="P685" s="49">
        <v>0</v>
      </c>
      <c r="Q685" s="51" t="s">
        <v>5002</v>
      </c>
      <c r="R685" s="67" t="e" cm="1">
        <f t="array" ref="R685">_xlfn.CHOOSECOLS(_xlfn.CHOOSEROWS(_xlfn._xlws.FILTER(표2[],표2[DWG No.]=C685,""),1),6)</f>
        <v>#VALUE!</v>
      </c>
      <c r="S685" s="67" t="e" cm="1">
        <f t="array" ref="S685">_xlfn.CHOOSECOLS(_xlfn.CHOOSEROWS(_xlfn._xlws.FILTER(표2[],(표2[DWG No.]=C685)*(ISNUMBER(표2[Rev.])),""),1),6)</f>
        <v>#VALUE!</v>
      </c>
    </row>
    <row r="686" spans="1:19" ht="18" customHeight="1" x14ac:dyDescent="0.45">
      <c r="A686" s="64">
        <v>681</v>
      </c>
      <c r="B686" s="49" t="s">
        <v>2912</v>
      </c>
      <c r="C686" s="50" t="s">
        <v>3093</v>
      </c>
      <c r="D686" s="49">
        <v>155070</v>
      </c>
      <c r="E686" s="50" t="s">
        <v>3094</v>
      </c>
      <c r="F686" s="49" t="s">
        <v>6</v>
      </c>
      <c r="G686" s="48">
        <v>42805</v>
      </c>
      <c r="H686" s="48">
        <v>42835</v>
      </c>
      <c r="I686" s="48">
        <v>43529</v>
      </c>
      <c r="J686" s="51" t="s">
        <v>3095</v>
      </c>
      <c r="K686" s="58" t="s">
        <v>7</v>
      </c>
      <c r="L686" s="49">
        <v>4</v>
      </c>
      <c r="M686" s="61">
        <v>43537</v>
      </c>
      <c r="N686" s="51" t="s">
        <v>3096</v>
      </c>
      <c r="O686" s="49" t="s">
        <v>7</v>
      </c>
      <c r="P686" s="49">
        <v>4</v>
      </c>
      <c r="Q686" s="49" t="s">
        <v>160</v>
      </c>
      <c r="R686" s="67" t="e" cm="1">
        <f t="array" ref="R686">_xlfn.CHOOSECOLS(_xlfn.CHOOSEROWS(_xlfn._xlws.FILTER(표2[],표2[DWG No.]=C686,""),1),6)</f>
        <v>#VALUE!</v>
      </c>
      <c r="S686" s="67" t="e" cm="1">
        <f t="array" ref="S686">_xlfn.CHOOSECOLS(_xlfn.CHOOSEROWS(_xlfn._xlws.FILTER(표2[],(표2[DWG No.]=C686)*(ISNUMBER(표2[Rev.])),""),1),6)</f>
        <v>#VALUE!</v>
      </c>
    </row>
    <row r="687" spans="1:19" ht="18" customHeight="1" x14ac:dyDescent="0.45">
      <c r="A687" s="64">
        <v>682</v>
      </c>
      <c r="B687" s="49" t="s">
        <v>2912</v>
      </c>
      <c r="C687" s="50" t="s">
        <v>3097</v>
      </c>
      <c r="D687" s="49">
        <v>155069</v>
      </c>
      <c r="E687" s="50" t="s">
        <v>3098</v>
      </c>
      <c r="F687" s="49" t="s">
        <v>6</v>
      </c>
      <c r="G687" s="48">
        <v>42802</v>
      </c>
      <c r="H687" s="48">
        <v>42832</v>
      </c>
      <c r="I687" s="48">
        <v>43059</v>
      </c>
      <c r="J687" s="49" t="s">
        <v>3063</v>
      </c>
      <c r="K687" s="58" t="s">
        <v>7</v>
      </c>
      <c r="L687" s="49">
        <v>0</v>
      </c>
      <c r="M687" s="48">
        <v>43060</v>
      </c>
      <c r="N687" s="49" t="s">
        <v>2917</v>
      </c>
      <c r="O687" s="49" t="s">
        <v>7</v>
      </c>
      <c r="P687" s="49">
        <v>0</v>
      </c>
      <c r="Q687" s="51" t="s">
        <v>5002</v>
      </c>
      <c r="R687" s="67" t="e" cm="1">
        <f t="array" ref="R687">_xlfn.CHOOSECOLS(_xlfn.CHOOSEROWS(_xlfn._xlws.FILTER(표2[],표2[DWG No.]=C687,""),1),6)</f>
        <v>#VALUE!</v>
      </c>
      <c r="S687" s="67" t="e" cm="1">
        <f t="array" ref="S687">_xlfn.CHOOSECOLS(_xlfn.CHOOSEROWS(_xlfn._xlws.FILTER(표2[],(표2[DWG No.]=C687)*(ISNUMBER(표2[Rev.])),""),1),6)</f>
        <v>#VALUE!</v>
      </c>
    </row>
    <row r="688" spans="1:19" ht="18" customHeight="1" x14ac:dyDescent="0.45">
      <c r="A688" s="64">
        <v>683</v>
      </c>
      <c r="B688" s="49" t="s">
        <v>2912</v>
      </c>
      <c r="C688" s="50" t="s">
        <v>3099</v>
      </c>
      <c r="D688" s="49">
        <v>155068</v>
      </c>
      <c r="E688" s="50" t="s">
        <v>3100</v>
      </c>
      <c r="F688" s="49" t="s">
        <v>6</v>
      </c>
      <c r="G688" s="48">
        <v>42802</v>
      </c>
      <c r="H688" s="48">
        <v>42832</v>
      </c>
      <c r="I688" s="48">
        <v>42965</v>
      </c>
      <c r="J688" s="49" t="s">
        <v>3070</v>
      </c>
      <c r="K688" s="58" t="s">
        <v>7</v>
      </c>
      <c r="L688" s="49">
        <v>0</v>
      </c>
      <c r="M688" s="48">
        <v>42969</v>
      </c>
      <c r="N688" s="49" t="s">
        <v>2917</v>
      </c>
      <c r="O688" s="49" t="s">
        <v>7</v>
      </c>
      <c r="P688" s="49">
        <v>0</v>
      </c>
      <c r="Q688" s="51" t="s">
        <v>5002</v>
      </c>
      <c r="R688" s="67" t="e" cm="1">
        <f t="array" ref="R688">_xlfn.CHOOSECOLS(_xlfn.CHOOSEROWS(_xlfn._xlws.FILTER(표2[],표2[DWG No.]=C688,""),1),6)</f>
        <v>#VALUE!</v>
      </c>
      <c r="S688" s="67" t="e" cm="1">
        <f t="array" ref="S688">_xlfn.CHOOSECOLS(_xlfn.CHOOSEROWS(_xlfn._xlws.FILTER(표2[],(표2[DWG No.]=C688)*(ISNUMBER(표2[Rev.])),""),1),6)</f>
        <v>#VALUE!</v>
      </c>
    </row>
    <row r="689" spans="1:19" ht="18" customHeight="1" x14ac:dyDescent="0.45">
      <c r="A689" s="64">
        <v>684</v>
      </c>
      <c r="B689" s="49" t="s">
        <v>2912</v>
      </c>
      <c r="C689" s="50" t="s">
        <v>3101</v>
      </c>
      <c r="D689" s="49">
        <v>155067</v>
      </c>
      <c r="E689" s="50" t="s">
        <v>3102</v>
      </c>
      <c r="F689" s="49" t="s">
        <v>6</v>
      </c>
      <c r="G689" s="48">
        <v>42801</v>
      </c>
      <c r="H689" s="48">
        <v>42831</v>
      </c>
      <c r="I689" s="48">
        <v>42968</v>
      </c>
      <c r="J689" s="49" t="s">
        <v>3103</v>
      </c>
      <c r="K689" s="58" t="s">
        <v>7</v>
      </c>
      <c r="L689" s="49">
        <v>0</v>
      </c>
      <c r="M689" s="48">
        <v>42969</v>
      </c>
      <c r="N689" s="49" t="s">
        <v>2917</v>
      </c>
      <c r="O689" s="49" t="s">
        <v>7</v>
      </c>
      <c r="P689" s="49">
        <v>0</v>
      </c>
      <c r="Q689" s="51" t="s">
        <v>5002</v>
      </c>
      <c r="R689" s="67" t="e" cm="1">
        <f t="array" ref="R689">_xlfn.CHOOSECOLS(_xlfn.CHOOSEROWS(_xlfn._xlws.FILTER(표2[],표2[DWG No.]=C689,""),1),6)</f>
        <v>#VALUE!</v>
      </c>
      <c r="S689" s="67" t="e" cm="1">
        <f t="array" ref="S689">_xlfn.CHOOSECOLS(_xlfn.CHOOSEROWS(_xlfn._xlws.FILTER(표2[],(표2[DWG No.]=C689)*(ISNUMBER(표2[Rev.])),""),1),6)</f>
        <v>#VALUE!</v>
      </c>
    </row>
    <row r="690" spans="1:19" ht="18" customHeight="1" x14ac:dyDescent="0.45">
      <c r="A690" s="64">
        <v>685</v>
      </c>
      <c r="B690" s="49" t="s">
        <v>2912</v>
      </c>
      <c r="C690" s="50" t="s">
        <v>3104</v>
      </c>
      <c r="D690" s="49">
        <v>155066</v>
      </c>
      <c r="E690" s="50" t="s">
        <v>3105</v>
      </c>
      <c r="F690" s="49" t="s">
        <v>6</v>
      </c>
      <c r="G690" s="48">
        <v>42801</v>
      </c>
      <c r="H690" s="48">
        <v>42831</v>
      </c>
      <c r="I690" s="48">
        <v>42968</v>
      </c>
      <c r="J690" s="49" t="s">
        <v>3103</v>
      </c>
      <c r="K690" s="58" t="s">
        <v>7</v>
      </c>
      <c r="L690" s="49">
        <v>0</v>
      </c>
      <c r="M690" s="48">
        <v>42969</v>
      </c>
      <c r="N690" s="49" t="s">
        <v>2917</v>
      </c>
      <c r="O690" s="49" t="s">
        <v>7</v>
      </c>
      <c r="P690" s="49">
        <v>0</v>
      </c>
      <c r="Q690" s="51" t="s">
        <v>5002</v>
      </c>
      <c r="R690" s="67" t="e" cm="1">
        <f t="array" ref="R690">_xlfn.CHOOSECOLS(_xlfn.CHOOSEROWS(_xlfn._xlws.FILTER(표2[],표2[DWG No.]=C690,""),1),6)</f>
        <v>#VALUE!</v>
      </c>
      <c r="S690" s="67" t="e" cm="1">
        <f t="array" ref="S690">_xlfn.CHOOSECOLS(_xlfn.CHOOSEROWS(_xlfn._xlws.FILTER(표2[],(표2[DWG No.]=C690)*(ISNUMBER(표2[Rev.])),""),1),6)</f>
        <v>#VALUE!</v>
      </c>
    </row>
    <row r="691" spans="1:19" ht="18" customHeight="1" x14ac:dyDescent="0.45">
      <c r="A691" s="64">
        <v>686</v>
      </c>
      <c r="B691" s="49" t="s">
        <v>2912</v>
      </c>
      <c r="C691" s="50" t="s">
        <v>3106</v>
      </c>
      <c r="D691" s="49">
        <v>155065</v>
      </c>
      <c r="E691" s="50" t="s">
        <v>3107</v>
      </c>
      <c r="F691" s="49" t="s">
        <v>6</v>
      </c>
      <c r="G691" s="48">
        <v>42784</v>
      </c>
      <c r="H691" s="48">
        <v>42814</v>
      </c>
      <c r="I691" s="48">
        <v>42968</v>
      </c>
      <c r="J691" s="49" t="s">
        <v>3103</v>
      </c>
      <c r="K691" s="58" t="s">
        <v>7</v>
      </c>
      <c r="L691" s="49">
        <v>0</v>
      </c>
      <c r="M691" s="48">
        <v>42969</v>
      </c>
      <c r="N691" s="49" t="s">
        <v>2917</v>
      </c>
      <c r="O691" s="49" t="s">
        <v>7</v>
      </c>
      <c r="P691" s="49">
        <v>0</v>
      </c>
      <c r="Q691" s="51" t="s">
        <v>5002</v>
      </c>
      <c r="R691" s="67" t="e" cm="1">
        <f t="array" ref="R691">_xlfn.CHOOSECOLS(_xlfn.CHOOSEROWS(_xlfn._xlws.FILTER(표2[],표2[DWG No.]=C691,""),1),6)</f>
        <v>#VALUE!</v>
      </c>
      <c r="S691" s="67" t="e" cm="1">
        <f t="array" ref="S691">_xlfn.CHOOSECOLS(_xlfn.CHOOSEROWS(_xlfn._xlws.FILTER(표2[],(표2[DWG No.]=C691)*(ISNUMBER(표2[Rev.])),""),1),6)</f>
        <v>#VALUE!</v>
      </c>
    </row>
    <row r="692" spans="1:19" ht="18" customHeight="1" x14ac:dyDescent="0.45">
      <c r="A692" s="64">
        <v>687</v>
      </c>
      <c r="B692" s="49" t="s">
        <v>2912</v>
      </c>
      <c r="C692" s="50" t="s">
        <v>3108</v>
      </c>
      <c r="D692" s="49">
        <v>155064</v>
      </c>
      <c r="E692" s="50" t="s">
        <v>3109</v>
      </c>
      <c r="F692" s="49" t="s">
        <v>6</v>
      </c>
      <c r="G692" s="48">
        <v>42784</v>
      </c>
      <c r="H692" s="48">
        <v>42814</v>
      </c>
      <c r="I692" s="48">
        <v>42992</v>
      </c>
      <c r="J692" s="49" t="s">
        <v>3110</v>
      </c>
      <c r="K692" s="58" t="s">
        <v>7</v>
      </c>
      <c r="L692" s="49">
        <v>0</v>
      </c>
      <c r="M692" s="48">
        <v>42992</v>
      </c>
      <c r="N692" s="49" t="s">
        <v>2917</v>
      </c>
      <c r="O692" s="49" t="s">
        <v>7</v>
      </c>
      <c r="P692" s="49">
        <v>0</v>
      </c>
      <c r="Q692" s="51" t="s">
        <v>5002</v>
      </c>
      <c r="R692" s="67" t="e" cm="1">
        <f t="array" ref="R692">_xlfn.CHOOSECOLS(_xlfn.CHOOSEROWS(_xlfn._xlws.FILTER(표2[],표2[DWG No.]=C692,""),1),6)</f>
        <v>#VALUE!</v>
      </c>
      <c r="S692" s="67" t="e" cm="1">
        <f t="array" ref="S692">_xlfn.CHOOSECOLS(_xlfn.CHOOSEROWS(_xlfn._xlws.FILTER(표2[],(표2[DWG No.]=C692)*(ISNUMBER(표2[Rev.])),""),1),6)</f>
        <v>#VALUE!</v>
      </c>
    </row>
    <row r="693" spans="1:19" ht="18" customHeight="1" x14ac:dyDescent="0.45">
      <c r="A693" s="64">
        <v>688</v>
      </c>
      <c r="B693" s="49" t="s">
        <v>2912</v>
      </c>
      <c r="C693" s="50" t="s">
        <v>3111</v>
      </c>
      <c r="D693" s="49">
        <v>155063</v>
      </c>
      <c r="E693" s="50" t="s">
        <v>3112</v>
      </c>
      <c r="F693" s="49" t="s">
        <v>6</v>
      </c>
      <c r="G693" s="48">
        <v>42801</v>
      </c>
      <c r="H693" s="48">
        <v>42831</v>
      </c>
      <c r="I693" s="48">
        <v>42865</v>
      </c>
      <c r="J693" s="49" t="s">
        <v>3113</v>
      </c>
      <c r="K693" s="58" t="s">
        <v>7</v>
      </c>
      <c r="L693" s="49">
        <v>0</v>
      </c>
      <c r="M693" s="48">
        <v>42870</v>
      </c>
      <c r="N693" s="49" t="s">
        <v>2917</v>
      </c>
      <c r="O693" s="49" t="s">
        <v>7</v>
      </c>
      <c r="P693" s="49">
        <v>0</v>
      </c>
      <c r="Q693" s="51" t="s">
        <v>5002</v>
      </c>
      <c r="R693" s="67" t="e" cm="1">
        <f t="array" ref="R693">_xlfn.CHOOSECOLS(_xlfn.CHOOSEROWS(_xlfn._xlws.FILTER(표2[],표2[DWG No.]=C693,""),1),6)</f>
        <v>#VALUE!</v>
      </c>
      <c r="S693" s="67" t="e" cm="1">
        <f t="array" ref="S693">_xlfn.CHOOSECOLS(_xlfn.CHOOSEROWS(_xlfn._xlws.FILTER(표2[],(표2[DWG No.]=C693)*(ISNUMBER(표2[Rev.])),""),1),6)</f>
        <v>#VALUE!</v>
      </c>
    </row>
    <row r="694" spans="1:19" ht="18" customHeight="1" x14ac:dyDescent="0.45">
      <c r="A694" s="64">
        <v>689</v>
      </c>
      <c r="B694" s="49" t="s">
        <v>2912</v>
      </c>
      <c r="C694" s="50" t="s">
        <v>3114</v>
      </c>
      <c r="D694" s="49">
        <v>155061</v>
      </c>
      <c r="E694" s="50" t="s">
        <v>3115</v>
      </c>
      <c r="F694" s="49" t="s">
        <v>6</v>
      </c>
      <c r="G694" s="48">
        <v>42805</v>
      </c>
      <c r="H694" s="48">
        <v>42835</v>
      </c>
      <c r="I694" s="48">
        <v>42885</v>
      </c>
      <c r="J694" s="49" t="s">
        <v>3116</v>
      </c>
      <c r="K694" s="58" t="s">
        <v>7</v>
      </c>
      <c r="L694" s="49">
        <v>0</v>
      </c>
      <c r="M694" s="48">
        <v>42885</v>
      </c>
      <c r="N694" s="49" t="s">
        <v>2917</v>
      </c>
      <c r="O694" s="49" t="s">
        <v>7</v>
      </c>
      <c r="P694" s="49">
        <v>0</v>
      </c>
      <c r="Q694" s="51" t="s">
        <v>5002</v>
      </c>
      <c r="R694" s="67" t="e" cm="1">
        <f t="array" ref="R694">_xlfn.CHOOSECOLS(_xlfn.CHOOSEROWS(_xlfn._xlws.FILTER(표2[],표2[DWG No.]=C694,""),1),6)</f>
        <v>#VALUE!</v>
      </c>
      <c r="S694" s="67" t="e" cm="1">
        <f t="array" ref="S694">_xlfn.CHOOSECOLS(_xlfn.CHOOSEROWS(_xlfn._xlws.FILTER(표2[],(표2[DWG No.]=C694)*(ISNUMBER(표2[Rev.])),""),1),6)</f>
        <v>#VALUE!</v>
      </c>
    </row>
    <row r="695" spans="1:19" ht="18" customHeight="1" x14ac:dyDescent="0.45">
      <c r="A695" s="64">
        <v>690</v>
      </c>
      <c r="B695" s="49" t="s">
        <v>2912</v>
      </c>
      <c r="C695" s="50" t="s">
        <v>3117</v>
      </c>
      <c r="D695" s="49">
        <v>155060</v>
      </c>
      <c r="E695" s="50" t="s">
        <v>3118</v>
      </c>
      <c r="F695" s="49" t="s">
        <v>6</v>
      </c>
      <c r="G695" s="48">
        <v>42805</v>
      </c>
      <c r="H695" s="48">
        <v>42835</v>
      </c>
      <c r="I695" s="48">
        <v>42864</v>
      </c>
      <c r="J695" s="49" t="s">
        <v>2973</v>
      </c>
      <c r="K695" s="58" t="s">
        <v>7</v>
      </c>
      <c r="L695" s="49">
        <v>0</v>
      </c>
      <c r="M695" s="48">
        <v>42870</v>
      </c>
      <c r="N695" s="49" t="s">
        <v>2917</v>
      </c>
      <c r="O695" s="49" t="s">
        <v>7</v>
      </c>
      <c r="P695" s="49">
        <v>0</v>
      </c>
      <c r="Q695" s="51" t="s">
        <v>5002</v>
      </c>
      <c r="R695" s="67" t="e" cm="1">
        <f t="array" ref="R695">_xlfn.CHOOSECOLS(_xlfn.CHOOSEROWS(_xlfn._xlws.FILTER(표2[],표2[DWG No.]=C695,""),1),6)</f>
        <v>#VALUE!</v>
      </c>
      <c r="S695" s="67" t="e" cm="1">
        <f t="array" ref="S695">_xlfn.CHOOSECOLS(_xlfn.CHOOSEROWS(_xlfn._xlws.FILTER(표2[],(표2[DWG No.]=C695)*(ISNUMBER(표2[Rev.])),""),1),6)</f>
        <v>#VALUE!</v>
      </c>
    </row>
    <row r="696" spans="1:19" ht="18" customHeight="1" x14ac:dyDescent="0.45">
      <c r="A696" s="64">
        <v>691</v>
      </c>
      <c r="B696" s="49" t="s">
        <v>2912</v>
      </c>
      <c r="C696" s="50" t="s">
        <v>3119</v>
      </c>
      <c r="D696" s="49">
        <v>155059</v>
      </c>
      <c r="E696" s="50" t="s">
        <v>3120</v>
      </c>
      <c r="F696" s="49" t="s">
        <v>6</v>
      </c>
      <c r="G696" s="48">
        <v>42796</v>
      </c>
      <c r="H696" s="48">
        <v>42826</v>
      </c>
      <c r="I696" s="48">
        <v>42885</v>
      </c>
      <c r="J696" s="49" t="s">
        <v>3116</v>
      </c>
      <c r="K696" s="58" t="s">
        <v>7</v>
      </c>
      <c r="L696" s="49">
        <v>0</v>
      </c>
      <c r="M696" s="48">
        <v>42885</v>
      </c>
      <c r="N696" s="49" t="s">
        <v>2917</v>
      </c>
      <c r="O696" s="49" t="s">
        <v>7</v>
      </c>
      <c r="P696" s="49">
        <v>0</v>
      </c>
      <c r="Q696" s="51" t="s">
        <v>5002</v>
      </c>
      <c r="R696" s="67" t="e" cm="1">
        <f t="array" ref="R696">_xlfn.CHOOSECOLS(_xlfn.CHOOSEROWS(_xlfn._xlws.FILTER(표2[],표2[DWG No.]=C696,""),1),6)</f>
        <v>#VALUE!</v>
      </c>
      <c r="S696" s="67" t="e" cm="1">
        <f t="array" ref="S696">_xlfn.CHOOSECOLS(_xlfn.CHOOSEROWS(_xlfn._xlws.FILTER(표2[],(표2[DWG No.]=C696)*(ISNUMBER(표2[Rev.])),""),1),6)</f>
        <v>#VALUE!</v>
      </c>
    </row>
    <row r="697" spans="1:19" ht="18" customHeight="1" x14ac:dyDescent="0.45">
      <c r="A697" s="64">
        <v>692</v>
      </c>
      <c r="B697" s="49" t="s">
        <v>2912</v>
      </c>
      <c r="C697" s="50" t="s">
        <v>3121</v>
      </c>
      <c r="D697" s="49">
        <v>155058</v>
      </c>
      <c r="E697" s="50" t="s">
        <v>3122</v>
      </c>
      <c r="F697" s="49" t="s">
        <v>6</v>
      </c>
      <c r="G697" s="48">
        <v>42802</v>
      </c>
      <c r="H697" s="48">
        <v>42832</v>
      </c>
      <c r="I697" s="48">
        <v>42885</v>
      </c>
      <c r="J697" s="49" t="s">
        <v>3116</v>
      </c>
      <c r="K697" s="58" t="s">
        <v>7</v>
      </c>
      <c r="L697" s="49">
        <v>0</v>
      </c>
      <c r="M697" s="48">
        <v>42885</v>
      </c>
      <c r="N697" s="49" t="s">
        <v>2917</v>
      </c>
      <c r="O697" s="49" t="s">
        <v>7</v>
      </c>
      <c r="P697" s="49">
        <v>0</v>
      </c>
      <c r="Q697" s="51" t="s">
        <v>5002</v>
      </c>
      <c r="R697" s="67" t="e" cm="1">
        <f t="array" ref="R697">_xlfn.CHOOSECOLS(_xlfn.CHOOSEROWS(_xlfn._xlws.FILTER(표2[],표2[DWG No.]=C697,""),1),6)</f>
        <v>#VALUE!</v>
      </c>
      <c r="S697" s="67" t="e" cm="1">
        <f t="array" ref="S697">_xlfn.CHOOSECOLS(_xlfn.CHOOSEROWS(_xlfn._xlws.FILTER(표2[],(표2[DWG No.]=C697)*(ISNUMBER(표2[Rev.])),""),1),6)</f>
        <v>#VALUE!</v>
      </c>
    </row>
    <row r="698" spans="1:19" ht="18" customHeight="1" x14ac:dyDescent="0.45">
      <c r="A698" s="64">
        <v>693</v>
      </c>
      <c r="B698" s="49" t="s">
        <v>2912</v>
      </c>
      <c r="C698" s="50" t="s">
        <v>3123</v>
      </c>
      <c r="D698" s="49">
        <v>155057</v>
      </c>
      <c r="E698" s="50" t="s">
        <v>3124</v>
      </c>
      <c r="F698" s="49" t="s">
        <v>6</v>
      </c>
      <c r="G698" s="48">
        <v>42802</v>
      </c>
      <c r="H698" s="48">
        <v>42832</v>
      </c>
      <c r="I698" s="48">
        <v>42916</v>
      </c>
      <c r="J698" s="49" t="s">
        <v>3125</v>
      </c>
      <c r="K698" s="58" t="s">
        <v>7</v>
      </c>
      <c r="L698" s="49">
        <v>0</v>
      </c>
      <c r="M698" s="48">
        <v>42891</v>
      </c>
      <c r="N698" s="49" t="s">
        <v>2917</v>
      </c>
      <c r="O698" s="49" t="s">
        <v>7</v>
      </c>
      <c r="P698" s="49">
        <v>0</v>
      </c>
      <c r="Q698" s="51" t="s">
        <v>5002</v>
      </c>
      <c r="R698" s="67" t="e" cm="1">
        <f t="array" ref="R698">_xlfn.CHOOSECOLS(_xlfn.CHOOSEROWS(_xlfn._xlws.FILTER(표2[],표2[DWG No.]=C698,""),1),6)</f>
        <v>#VALUE!</v>
      </c>
      <c r="S698" s="67" t="e" cm="1">
        <f t="array" ref="S698">_xlfn.CHOOSECOLS(_xlfn.CHOOSEROWS(_xlfn._xlws.FILTER(표2[],(표2[DWG No.]=C698)*(ISNUMBER(표2[Rev.])),""),1),6)</f>
        <v>#VALUE!</v>
      </c>
    </row>
    <row r="699" spans="1:19" ht="18" customHeight="1" x14ac:dyDescent="0.45">
      <c r="A699" s="64">
        <v>694</v>
      </c>
      <c r="B699" s="49" t="s">
        <v>2912</v>
      </c>
      <c r="C699" s="50" t="s">
        <v>3126</v>
      </c>
      <c r="D699" s="49">
        <v>155056</v>
      </c>
      <c r="E699" s="50" t="s">
        <v>3127</v>
      </c>
      <c r="F699" s="49" t="s">
        <v>6</v>
      </c>
      <c r="G699" s="48">
        <v>42801</v>
      </c>
      <c r="H699" s="48">
        <v>42831</v>
      </c>
      <c r="I699" s="48">
        <v>42864</v>
      </c>
      <c r="J699" s="49" t="s">
        <v>2973</v>
      </c>
      <c r="K699" s="58" t="s">
        <v>7</v>
      </c>
      <c r="L699" s="49">
        <v>0</v>
      </c>
      <c r="M699" s="48">
        <v>42870</v>
      </c>
      <c r="N699" s="49" t="s">
        <v>2917</v>
      </c>
      <c r="O699" s="49" t="s">
        <v>7</v>
      </c>
      <c r="P699" s="49">
        <v>0</v>
      </c>
      <c r="Q699" s="51" t="s">
        <v>5002</v>
      </c>
      <c r="R699" s="67" t="e" cm="1">
        <f t="array" ref="R699">_xlfn.CHOOSECOLS(_xlfn.CHOOSEROWS(_xlfn._xlws.FILTER(표2[],표2[DWG No.]=C699,""),1),6)</f>
        <v>#VALUE!</v>
      </c>
      <c r="S699" s="67" t="e" cm="1">
        <f t="array" ref="S699">_xlfn.CHOOSECOLS(_xlfn.CHOOSEROWS(_xlfn._xlws.FILTER(표2[],(표2[DWG No.]=C699)*(ISNUMBER(표2[Rev.])),""),1),6)</f>
        <v>#VALUE!</v>
      </c>
    </row>
    <row r="700" spans="1:19" ht="18" customHeight="1" x14ac:dyDescent="0.45">
      <c r="A700" s="64">
        <v>695</v>
      </c>
      <c r="B700" s="49" t="s">
        <v>2912</v>
      </c>
      <c r="C700" s="50" t="s">
        <v>3128</v>
      </c>
      <c r="D700" s="49">
        <v>155055</v>
      </c>
      <c r="E700" s="50" t="s">
        <v>3129</v>
      </c>
      <c r="F700" s="49" t="s">
        <v>6</v>
      </c>
      <c r="G700" s="48">
        <v>42801</v>
      </c>
      <c r="H700" s="48">
        <v>42831</v>
      </c>
      <c r="I700" s="48">
        <v>42968</v>
      </c>
      <c r="J700" s="49" t="s">
        <v>3103</v>
      </c>
      <c r="K700" s="58" t="s">
        <v>7</v>
      </c>
      <c r="L700" s="49">
        <v>0</v>
      </c>
      <c r="M700" s="48">
        <v>42969</v>
      </c>
      <c r="N700" s="49" t="s">
        <v>2917</v>
      </c>
      <c r="O700" s="49" t="s">
        <v>7</v>
      </c>
      <c r="P700" s="49">
        <v>0</v>
      </c>
      <c r="Q700" s="51" t="s">
        <v>5002</v>
      </c>
      <c r="R700" s="67" t="e" cm="1">
        <f t="array" ref="R700">_xlfn.CHOOSECOLS(_xlfn.CHOOSEROWS(_xlfn._xlws.FILTER(표2[],표2[DWG No.]=C700,""),1),6)</f>
        <v>#VALUE!</v>
      </c>
      <c r="S700" s="67" t="e" cm="1">
        <f t="array" ref="S700">_xlfn.CHOOSECOLS(_xlfn.CHOOSEROWS(_xlfn._xlws.FILTER(표2[],(표2[DWG No.]=C700)*(ISNUMBER(표2[Rev.])),""),1),6)</f>
        <v>#VALUE!</v>
      </c>
    </row>
    <row r="701" spans="1:19" ht="18" customHeight="1" x14ac:dyDescent="0.45">
      <c r="A701" s="64">
        <v>696</v>
      </c>
      <c r="B701" s="49" t="s">
        <v>2912</v>
      </c>
      <c r="C701" s="50" t="s">
        <v>3130</v>
      </c>
      <c r="D701" s="49">
        <v>155054</v>
      </c>
      <c r="E701" s="50" t="s">
        <v>3131</v>
      </c>
      <c r="F701" s="49" t="s">
        <v>6</v>
      </c>
      <c r="G701" s="48">
        <v>42784</v>
      </c>
      <c r="H701" s="48">
        <v>42814</v>
      </c>
      <c r="I701" s="48">
        <v>42968</v>
      </c>
      <c r="J701" s="49" t="s">
        <v>3103</v>
      </c>
      <c r="K701" s="58" t="s">
        <v>7</v>
      </c>
      <c r="L701" s="49">
        <v>0</v>
      </c>
      <c r="M701" s="48">
        <v>42969</v>
      </c>
      <c r="N701" s="49" t="s">
        <v>2917</v>
      </c>
      <c r="O701" s="49" t="s">
        <v>7</v>
      </c>
      <c r="P701" s="49">
        <v>0</v>
      </c>
      <c r="Q701" s="51" t="s">
        <v>5002</v>
      </c>
      <c r="R701" s="67" t="e" cm="1">
        <f t="array" ref="R701">_xlfn.CHOOSECOLS(_xlfn.CHOOSEROWS(_xlfn._xlws.FILTER(표2[],표2[DWG No.]=C701,""),1),6)</f>
        <v>#VALUE!</v>
      </c>
      <c r="S701" s="67" t="e" cm="1">
        <f t="array" ref="S701">_xlfn.CHOOSECOLS(_xlfn.CHOOSEROWS(_xlfn._xlws.FILTER(표2[],(표2[DWG No.]=C701)*(ISNUMBER(표2[Rev.])),""),1),6)</f>
        <v>#VALUE!</v>
      </c>
    </row>
    <row r="702" spans="1:19" ht="18" customHeight="1" x14ac:dyDescent="0.45">
      <c r="A702" s="64">
        <v>697</v>
      </c>
      <c r="B702" s="49" t="s">
        <v>2912</v>
      </c>
      <c r="C702" s="50" t="s">
        <v>3132</v>
      </c>
      <c r="D702" s="49">
        <v>155053</v>
      </c>
      <c r="E702" s="50" t="s">
        <v>3133</v>
      </c>
      <c r="F702" s="49" t="s">
        <v>6</v>
      </c>
      <c r="G702" s="48">
        <v>42784</v>
      </c>
      <c r="H702" s="48">
        <v>42814</v>
      </c>
      <c r="I702" s="48">
        <v>42992</v>
      </c>
      <c r="J702" s="49" t="s">
        <v>3110</v>
      </c>
      <c r="K702" s="58" t="s">
        <v>7</v>
      </c>
      <c r="L702" s="49">
        <v>0</v>
      </c>
      <c r="M702" s="48">
        <v>42992</v>
      </c>
      <c r="N702" s="49" t="s">
        <v>2917</v>
      </c>
      <c r="O702" s="49" t="s">
        <v>7</v>
      </c>
      <c r="P702" s="49">
        <v>0</v>
      </c>
      <c r="Q702" s="51" t="s">
        <v>5002</v>
      </c>
      <c r="R702" s="67" t="e" cm="1">
        <f t="array" ref="R702">_xlfn.CHOOSECOLS(_xlfn.CHOOSEROWS(_xlfn._xlws.FILTER(표2[],표2[DWG No.]=C702,""),1),6)</f>
        <v>#VALUE!</v>
      </c>
      <c r="S702" s="67" t="e" cm="1">
        <f t="array" ref="S702">_xlfn.CHOOSECOLS(_xlfn.CHOOSEROWS(_xlfn._xlws.FILTER(표2[],(표2[DWG No.]=C702)*(ISNUMBER(표2[Rev.])),""),1),6)</f>
        <v>#VALUE!</v>
      </c>
    </row>
    <row r="703" spans="1:19" ht="18" customHeight="1" x14ac:dyDescent="0.45">
      <c r="A703" s="64">
        <v>698</v>
      </c>
      <c r="B703" s="49" t="s">
        <v>2912</v>
      </c>
      <c r="C703" s="50" t="s">
        <v>3134</v>
      </c>
      <c r="D703" s="49">
        <v>155052</v>
      </c>
      <c r="E703" s="50" t="s">
        <v>3135</v>
      </c>
      <c r="F703" s="49" t="s">
        <v>6</v>
      </c>
      <c r="G703" s="48">
        <v>42801</v>
      </c>
      <c r="H703" s="48">
        <v>42831</v>
      </c>
      <c r="I703" s="48">
        <v>42865</v>
      </c>
      <c r="J703" s="49" t="s">
        <v>3113</v>
      </c>
      <c r="K703" s="58" t="s">
        <v>7</v>
      </c>
      <c r="L703" s="49">
        <v>0</v>
      </c>
      <c r="M703" s="48">
        <v>42870</v>
      </c>
      <c r="N703" s="49" t="s">
        <v>2917</v>
      </c>
      <c r="O703" s="49" t="s">
        <v>7</v>
      </c>
      <c r="P703" s="49">
        <v>0</v>
      </c>
      <c r="Q703" s="51" t="s">
        <v>5002</v>
      </c>
      <c r="R703" s="67" t="e" cm="1">
        <f t="array" ref="R703">_xlfn.CHOOSECOLS(_xlfn.CHOOSEROWS(_xlfn._xlws.FILTER(표2[],표2[DWG No.]=C703,""),1),6)</f>
        <v>#VALUE!</v>
      </c>
      <c r="S703" s="67" t="e" cm="1">
        <f t="array" ref="S703">_xlfn.CHOOSECOLS(_xlfn.CHOOSEROWS(_xlfn._xlws.FILTER(표2[],(표2[DWG No.]=C703)*(ISNUMBER(표2[Rev.])),""),1),6)</f>
        <v>#VALUE!</v>
      </c>
    </row>
    <row r="704" spans="1:19" ht="18" customHeight="1" x14ac:dyDescent="0.45">
      <c r="A704" s="64">
        <v>699</v>
      </c>
      <c r="B704" s="49" t="s">
        <v>2912</v>
      </c>
      <c r="C704" s="50" t="s">
        <v>3136</v>
      </c>
      <c r="D704" s="49">
        <v>155051</v>
      </c>
      <c r="E704" s="50" t="s">
        <v>3137</v>
      </c>
      <c r="F704" s="49" t="s">
        <v>6</v>
      </c>
      <c r="G704" s="48">
        <v>42795</v>
      </c>
      <c r="H704" s="48">
        <v>42825</v>
      </c>
      <c r="I704" s="48">
        <v>42992</v>
      </c>
      <c r="J704" s="49" t="s">
        <v>3110</v>
      </c>
      <c r="K704" s="58" t="s">
        <v>7</v>
      </c>
      <c r="L704" s="49">
        <v>0</v>
      </c>
      <c r="M704" s="48">
        <v>42992</v>
      </c>
      <c r="N704" s="49" t="s">
        <v>2917</v>
      </c>
      <c r="O704" s="49" t="s">
        <v>7</v>
      </c>
      <c r="P704" s="49">
        <v>0</v>
      </c>
      <c r="Q704" s="51" t="s">
        <v>5002</v>
      </c>
      <c r="R704" s="67" t="e" cm="1">
        <f t="array" ref="R704">_xlfn.CHOOSECOLS(_xlfn.CHOOSEROWS(_xlfn._xlws.FILTER(표2[],표2[DWG No.]=C704,""),1),6)</f>
        <v>#VALUE!</v>
      </c>
      <c r="S704" s="67" t="e" cm="1">
        <f t="array" ref="S704">_xlfn.CHOOSECOLS(_xlfn.CHOOSEROWS(_xlfn._xlws.FILTER(표2[],(표2[DWG No.]=C704)*(ISNUMBER(표2[Rev.])),""),1),6)</f>
        <v>#VALUE!</v>
      </c>
    </row>
    <row r="705" spans="1:19" ht="18" customHeight="1" x14ac:dyDescent="0.45">
      <c r="A705" s="64">
        <v>700</v>
      </c>
      <c r="B705" s="49" t="s">
        <v>2912</v>
      </c>
      <c r="C705" s="50" t="s">
        <v>3138</v>
      </c>
      <c r="D705" s="49">
        <v>155075</v>
      </c>
      <c r="E705" s="50" t="s">
        <v>3139</v>
      </c>
      <c r="F705" s="49" t="s">
        <v>5</v>
      </c>
      <c r="G705" s="48">
        <v>42900</v>
      </c>
      <c r="H705" s="48">
        <v>42930</v>
      </c>
      <c r="I705" s="48">
        <v>43039</v>
      </c>
      <c r="J705" s="49" t="s">
        <v>3083</v>
      </c>
      <c r="K705" s="58" t="s">
        <v>5</v>
      </c>
      <c r="L705" s="49" t="s">
        <v>160</v>
      </c>
      <c r="M705" s="48">
        <v>43041</v>
      </c>
      <c r="N705" s="49" t="s">
        <v>3084</v>
      </c>
      <c r="O705" s="49" t="s">
        <v>5</v>
      </c>
      <c r="P705" s="49" t="s">
        <v>160</v>
      </c>
      <c r="Q705" s="49" t="s">
        <v>2702</v>
      </c>
      <c r="R705" s="67" t="e" cm="1">
        <f t="array" ref="R705">_xlfn.CHOOSECOLS(_xlfn.CHOOSEROWS(_xlfn._xlws.FILTER(표2[],표2[DWG No.]=C705,""),1),6)</f>
        <v>#VALUE!</v>
      </c>
      <c r="S705" s="67" t="e" cm="1">
        <f t="array" ref="S705">_xlfn.CHOOSECOLS(_xlfn.CHOOSEROWS(_xlfn._xlws.FILTER(표2[],(표2[DWG No.]=C705)*(ISNUMBER(표2[Rev.])),""),1),6)</f>
        <v>#VALUE!</v>
      </c>
    </row>
    <row r="706" spans="1:19" ht="18" customHeight="1" x14ac:dyDescent="0.45">
      <c r="A706" s="64">
        <v>701</v>
      </c>
      <c r="B706" s="49" t="s">
        <v>2912</v>
      </c>
      <c r="C706" s="50" t="s">
        <v>3140</v>
      </c>
      <c r="D706" s="49">
        <v>155076</v>
      </c>
      <c r="E706" s="50" t="s">
        <v>3141</v>
      </c>
      <c r="F706" s="49" t="s">
        <v>6</v>
      </c>
      <c r="G706" s="48">
        <v>42785</v>
      </c>
      <c r="H706" s="48">
        <v>42815</v>
      </c>
      <c r="I706" s="48">
        <v>43061</v>
      </c>
      <c r="J706" s="49" t="s">
        <v>3142</v>
      </c>
      <c r="K706" s="58" t="s">
        <v>7</v>
      </c>
      <c r="L706" s="49">
        <v>1</v>
      </c>
      <c r="M706" s="48">
        <v>43063</v>
      </c>
      <c r="N706" s="49" t="s">
        <v>2917</v>
      </c>
      <c r="O706" s="49" t="s">
        <v>7</v>
      </c>
      <c r="P706" s="49">
        <v>1</v>
      </c>
      <c r="Q706" s="51" t="s">
        <v>5002</v>
      </c>
      <c r="R706" s="67" t="e" cm="1">
        <f t="array" ref="R706">_xlfn.CHOOSECOLS(_xlfn.CHOOSEROWS(_xlfn._xlws.FILTER(표2[],표2[DWG No.]=C706,""),1),6)</f>
        <v>#VALUE!</v>
      </c>
      <c r="S706" s="67" t="e" cm="1">
        <f t="array" ref="S706">_xlfn.CHOOSECOLS(_xlfn.CHOOSEROWS(_xlfn._xlws.FILTER(표2[],(표2[DWG No.]=C706)*(ISNUMBER(표2[Rev.])),""),1),6)</f>
        <v>#VALUE!</v>
      </c>
    </row>
    <row r="707" spans="1:19" ht="18" customHeight="1" x14ac:dyDescent="0.45">
      <c r="A707" s="64">
        <v>702</v>
      </c>
      <c r="B707" s="49" t="s">
        <v>2912</v>
      </c>
      <c r="C707" s="50" t="s">
        <v>3143</v>
      </c>
      <c r="D707" s="49">
        <v>155077</v>
      </c>
      <c r="E707" s="50" t="s">
        <v>3144</v>
      </c>
      <c r="F707" s="49" t="s">
        <v>6</v>
      </c>
      <c r="G707" s="48">
        <v>42791</v>
      </c>
      <c r="H707" s="48">
        <v>42821</v>
      </c>
      <c r="I707" s="48">
        <v>43031</v>
      </c>
      <c r="J707" s="49" t="s">
        <v>3145</v>
      </c>
      <c r="K707" s="58" t="s">
        <v>7</v>
      </c>
      <c r="L707" s="49">
        <v>0</v>
      </c>
      <c r="M707" s="48">
        <v>43032</v>
      </c>
      <c r="N707" s="49" t="s">
        <v>2917</v>
      </c>
      <c r="O707" s="49" t="s">
        <v>7</v>
      </c>
      <c r="P707" s="49">
        <v>0</v>
      </c>
      <c r="Q707" s="51" t="s">
        <v>5002</v>
      </c>
      <c r="R707" s="67" t="e" cm="1">
        <f t="array" ref="R707">_xlfn.CHOOSECOLS(_xlfn.CHOOSEROWS(_xlfn._xlws.FILTER(표2[],표2[DWG No.]=C707,""),1),6)</f>
        <v>#VALUE!</v>
      </c>
      <c r="S707" s="67" t="e" cm="1">
        <f t="array" ref="S707">_xlfn.CHOOSECOLS(_xlfn.CHOOSEROWS(_xlfn._xlws.FILTER(표2[],(표2[DWG No.]=C707)*(ISNUMBER(표2[Rev.])),""),1),6)</f>
        <v>#VALUE!</v>
      </c>
    </row>
    <row r="708" spans="1:19" ht="18" customHeight="1" x14ac:dyDescent="0.45">
      <c r="A708" s="64">
        <v>703</v>
      </c>
      <c r="B708" s="49" t="s">
        <v>2912</v>
      </c>
      <c r="C708" s="50" t="s">
        <v>3146</v>
      </c>
      <c r="D708" s="49">
        <v>155078</v>
      </c>
      <c r="E708" s="50" t="s">
        <v>3147</v>
      </c>
      <c r="F708" s="49" t="s">
        <v>6</v>
      </c>
      <c r="G708" s="48">
        <v>42791</v>
      </c>
      <c r="H708" s="48">
        <v>42821</v>
      </c>
      <c r="I708" s="48">
        <v>43059</v>
      </c>
      <c r="J708" s="49" t="s">
        <v>3063</v>
      </c>
      <c r="K708" s="58" t="s">
        <v>7</v>
      </c>
      <c r="L708" s="49">
        <v>1</v>
      </c>
      <c r="M708" s="48">
        <v>43060</v>
      </c>
      <c r="N708" s="49" t="s">
        <v>2917</v>
      </c>
      <c r="O708" s="49" t="s">
        <v>7</v>
      </c>
      <c r="P708" s="49">
        <v>1</v>
      </c>
      <c r="Q708" s="51" t="s">
        <v>5002</v>
      </c>
      <c r="R708" s="67" t="e" cm="1">
        <f t="array" ref="R708">_xlfn.CHOOSECOLS(_xlfn.CHOOSEROWS(_xlfn._xlws.FILTER(표2[],표2[DWG No.]=C708,""),1),6)</f>
        <v>#VALUE!</v>
      </c>
      <c r="S708" s="67" t="e" cm="1">
        <f t="array" ref="S708">_xlfn.CHOOSECOLS(_xlfn.CHOOSEROWS(_xlfn._xlws.FILTER(표2[],(표2[DWG No.]=C708)*(ISNUMBER(표2[Rev.])),""),1),6)</f>
        <v>#VALUE!</v>
      </c>
    </row>
    <row r="709" spans="1:19" ht="18" customHeight="1" x14ac:dyDescent="0.45">
      <c r="A709" s="64">
        <v>704</v>
      </c>
      <c r="B709" s="49" t="s">
        <v>2912</v>
      </c>
      <c r="C709" s="50" t="s">
        <v>3148</v>
      </c>
      <c r="D709" s="49">
        <v>155079</v>
      </c>
      <c r="E709" s="50" t="s">
        <v>3149</v>
      </c>
      <c r="F709" s="49" t="s">
        <v>6</v>
      </c>
      <c r="G709" s="48">
        <v>42794</v>
      </c>
      <c r="H709" s="48">
        <v>42824</v>
      </c>
      <c r="I709" s="48">
        <v>42965</v>
      </c>
      <c r="J709" s="49" t="s">
        <v>3070</v>
      </c>
      <c r="K709" s="58" t="s">
        <v>7</v>
      </c>
      <c r="L709" s="49">
        <v>0</v>
      </c>
      <c r="M709" s="48">
        <v>42969</v>
      </c>
      <c r="N709" s="49" t="s">
        <v>2917</v>
      </c>
      <c r="O709" s="49" t="s">
        <v>7</v>
      </c>
      <c r="P709" s="49">
        <v>0</v>
      </c>
      <c r="Q709" s="51" t="s">
        <v>5002</v>
      </c>
      <c r="R709" s="67" t="e" cm="1">
        <f t="array" ref="R709">_xlfn.CHOOSECOLS(_xlfn.CHOOSEROWS(_xlfn._xlws.FILTER(표2[],표2[DWG No.]=C709,""),1),6)</f>
        <v>#VALUE!</v>
      </c>
      <c r="S709" s="67" t="e" cm="1">
        <f t="array" ref="S709">_xlfn.CHOOSECOLS(_xlfn.CHOOSEROWS(_xlfn._xlws.FILTER(표2[],(표2[DWG No.]=C709)*(ISNUMBER(표2[Rev.])),""),1),6)</f>
        <v>#VALUE!</v>
      </c>
    </row>
    <row r="710" spans="1:19" ht="18" customHeight="1" x14ac:dyDescent="0.45">
      <c r="A710" s="64">
        <v>705</v>
      </c>
      <c r="B710" s="49" t="s">
        <v>2912</v>
      </c>
      <c r="C710" s="50" t="s">
        <v>3150</v>
      </c>
      <c r="D710" s="49">
        <v>155080</v>
      </c>
      <c r="E710" s="50" t="s">
        <v>3151</v>
      </c>
      <c r="F710" s="49" t="s">
        <v>6</v>
      </c>
      <c r="G710" s="48">
        <v>42796</v>
      </c>
      <c r="H710" s="48">
        <v>42826</v>
      </c>
      <c r="I710" s="48">
        <v>43279</v>
      </c>
      <c r="J710" s="51" t="s">
        <v>3152</v>
      </c>
      <c r="K710" s="58" t="s">
        <v>7</v>
      </c>
      <c r="L710" s="49">
        <v>1</v>
      </c>
      <c r="M710" s="48">
        <v>42929</v>
      </c>
      <c r="N710" s="49" t="s">
        <v>3153</v>
      </c>
      <c r="O710" s="49" t="s">
        <v>7</v>
      </c>
      <c r="P710" s="49">
        <v>1</v>
      </c>
      <c r="Q710" s="51" t="s">
        <v>5002</v>
      </c>
      <c r="R710" s="67" t="e" cm="1">
        <f t="array" ref="R710">_xlfn.CHOOSECOLS(_xlfn.CHOOSEROWS(_xlfn._xlws.FILTER(표2[],표2[DWG No.]=C710,""),1),6)</f>
        <v>#VALUE!</v>
      </c>
      <c r="S710" s="67" t="e" cm="1">
        <f t="array" ref="S710">_xlfn.CHOOSECOLS(_xlfn.CHOOSEROWS(_xlfn._xlws.FILTER(표2[],(표2[DWG No.]=C710)*(ISNUMBER(표2[Rev.])),""),1),6)</f>
        <v>#VALUE!</v>
      </c>
    </row>
    <row r="711" spans="1:19" ht="18" customHeight="1" x14ac:dyDescent="0.45">
      <c r="A711" s="64">
        <v>706</v>
      </c>
      <c r="B711" s="49" t="s">
        <v>2912</v>
      </c>
      <c r="C711" s="50" t="s">
        <v>3154</v>
      </c>
      <c r="D711" s="49">
        <v>155081</v>
      </c>
      <c r="E711" s="50" t="s">
        <v>3155</v>
      </c>
      <c r="F711" s="49" t="s">
        <v>6</v>
      </c>
      <c r="G711" s="48">
        <v>42789</v>
      </c>
      <c r="H711" s="48">
        <v>42819</v>
      </c>
      <c r="I711" s="48">
        <v>42965</v>
      </c>
      <c r="J711" s="49" t="s">
        <v>3070</v>
      </c>
      <c r="K711" s="58" t="s">
        <v>7</v>
      </c>
      <c r="L711" s="49">
        <v>0</v>
      </c>
      <c r="M711" s="48">
        <v>42969</v>
      </c>
      <c r="N711" s="49" t="s">
        <v>2917</v>
      </c>
      <c r="O711" s="49" t="s">
        <v>7</v>
      </c>
      <c r="P711" s="49">
        <v>0</v>
      </c>
      <c r="Q711" s="51" t="s">
        <v>5002</v>
      </c>
      <c r="R711" s="67" t="e" cm="1">
        <f t="array" ref="R711">_xlfn.CHOOSECOLS(_xlfn.CHOOSEROWS(_xlfn._xlws.FILTER(표2[],표2[DWG No.]=C711,""),1),6)</f>
        <v>#VALUE!</v>
      </c>
      <c r="S711" s="67" t="e" cm="1">
        <f t="array" ref="S711">_xlfn.CHOOSECOLS(_xlfn.CHOOSEROWS(_xlfn._xlws.FILTER(표2[],(표2[DWG No.]=C711)*(ISNUMBER(표2[Rev.])),""),1),6)</f>
        <v>#VALUE!</v>
      </c>
    </row>
    <row r="712" spans="1:19" ht="18" customHeight="1" x14ac:dyDescent="0.45">
      <c r="A712" s="64">
        <v>707</v>
      </c>
      <c r="B712" s="49" t="s">
        <v>2912</v>
      </c>
      <c r="C712" s="50" t="s">
        <v>3156</v>
      </c>
      <c r="D712" s="49">
        <v>155082</v>
      </c>
      <c r="E712" s="50" t="s">
        <v>3157</v>
      </c>
      <c r="F712" s="49" t="s">
        <v>6</v>
      </c>
      <c r="G712" s="48">
        <v>42808</v>
      </c>
      <c r="H712" s="48">
        <v>42838</v>
      </c>
      <c r="I712" s="48">
        <v>42996</v>
      </c>
      <c r="J712" s="49" t="s">
        <v>3158</v>
      </c>
      <c r="K712" s="58" t="s">
        <v>7</v>
      </c>
      <c r="L712" s="49">
        <v>0</v>
      </c>
      <c r="M712" s="48">
        <v>42996</v>
      </c>
      <c r="N712" s="49" t="s">
        <v>2917</v>
      </c>
      <c r="O712" s="49" t="s">
        <v>7</v>
      </c>
      <c r="P712" s="49">
        <v>0</v>
      </c>
      <c r="Q712" s="51" t="s">
        <v>5002</v>
      </c>
      <c r="R712" s="67" t="e" cm="1">
        <f t="array" ref="R712">_xlfn.CHOOSECOLS(_xlfn.CHOOSEROWS(_xlfn._xlws.FILTER(표2[],표2[DWG No.]=C712,""),1),6)</f>
        <v>#VALUE!</v>
      </c>
      <c r="S712" s="67" t="e" cm="1">
        <f t="array" ref="S712">_xlfn.CHOOSECOLS(_xlfn.CHOOSEROWS(_xlfn._xlws.FILTER(표2[],(표2[DWG No.]=C712)*(ISNUMBER(표2[Rev.])),""),1),6)</f>
        <v>#VALUE!</v>
      </c>
    </row>
    <row r="713" spans="1:19" ht="18" customHeight="1" x14ac:dyDescent="0.45">
      <c r="A713" s="64">
        <v>708</v>
      </c>
      <c r="B713" s="49" t="s">
        <v>2912</v>
      </c>
      <c r="C713" s="50" t="s">
        <v>3159</v>
      </c>
      <c r="D713" s="49">
        <v>155083</v>
      </c>
      <c r="E713" s="50" t="s">
        <v>3160</v>
      </c>
      <c r="F713" s="49" t="s">
        <v>6</v>
      </c>
      <c r="G713" s="48">
        <v>42808</v>
      </c>
      <c r="H713" s="48">
        <v>42838</v>
      </c>
      <c r="I713" s="48">
        <v>42996</v>
      </c>
      <c r="J713" s="49" t="s">
        <v>3158</v>
      </c>
      <c r="K713" s="58" t="s">
        <v>7</v>
      </c>
      <c r="L713" s="49">
        <v>0</v>
      </c>
      <c r="M713" s="48">
        <v>42996</v>
      </c>
      <c r="N713" s="49" t="s">
        <v>2917</v>
      </c>
      <c r="O713" s="49" t="s">
        <v>7</v>
      </c>
      <c r="P713" s="49">
        <v>0</v>
      </c>
      <c r="Q713" s="51" t="s">
        <v>5002</v>
      </c>
      <c r="R713" s="67" t="e" cm="1">
        <f t="array" ref="R713">_xlfn.CHOOSECOLS(_xlfn.CHOOSEROWS(_xlfn._xlws.FILTER(표2[],표2[DWG No.]=C713,""),1),6)</f>
        <v>#VALUE!</v>
      </c>
      <c r="S713" s="67" t="e" cm="1">
        <f t="array" ref="S713">_xlfn.CHOOSECOLS(_xlfn.CHOOSEROWS(_xlfn._xlws.FILTER(표2[],(표2[DWG No.]=C713)*(ISNUMBER(표2[Rev.])),""),1),6)</f>
        <v>#VALUE!</v>
      </c>
    </row>
    <row r="714" spans="1:19" ht="18" customHeight="1" x14ac:dyDescent="0.45">
      <c r="A714" s="64">
        <v>709</v>
      </c>
      <c r="B714" s="49" t="s">
        <v>2912</v>
      </c>
      <c r="C714" s="50" t="s">
        <v>3161</v>
      </c>
      <c r="D714" s="49">
        <v>155084</v>
      </c>
      <c r="E714" s="50" t="s">
        <v>3162</v>
      </c>
      <c r="F714" s="49" t="s">
        <v>6</v>
      </c>
      <c r="G714" s="48">
        <v>42900</v>
      </c>
      <c r="H714" s="48">
        <v>42930</v>
      </c>
      <c r="I714" s="48">
        <v>43026</v>
      </c>
      <c r="J714" s="49" t="s">
        <v>3163</v>
      </c>
      <c r="K714" s="58" t="s">
        <v>5032</v>
      </c>
      <c r="L714" s="49" t="s">
        <v>164</v>
      </c>
      <c r="M714" s="48">
        <v>43031</v>
      </c>
      <c r="N714" s="49" t="s">
        <v>3164</v>
      </c>
      <c r="O714" s="49" t="s">
        <v>6</v>
      </c>
      <c r="P714" s="49" t="s">
        <v>164</v>
      </c>
      <c r="Q714" s="51" t="s">
        <v>65</v>
      </c>
      <c r="R714" s="67" t="e" cm="1">
        <f t="array" ref="R714">_xlfn.CHOOSECOLS(_xlfn.CHOOSEROWS(_xlfn._xlws.FILTER(표2[],표2[DWG No.]=C714,""),1),6)</f>
        <v>#VALUE!</v>
      </c>
      <c r="S714" s="67" t="e" cm="1">
        <f t="array" ref="S714">_xlfn.CHOOSECOLS(_xlfn.CHOOSEROWS(_xlfn._xlws.FILTER(표2[],(표2[DWG No.]=C714)*(ISNUMBER(표2[Rev.])),""),1),6)</f>
        <v>#VALUE!</v>
      </c>
    </row>
    <row r="715" spans="1:19" ht="18" customHeight="1" x14ac:dyDescent="0.45">
      <c r="A715" s="64">
        <v>710</v>
      </c>
      <c r="B715" s="49" t="s">
        <v>2912</v>
      </c>
      <c r="C715" s="50" t="s">
        <v>3165</v>
      </c>
      <c r="D715" s="49">
        <v>155085</v>
      </c>
      <c r="E715" s="50" t="s">
        <v>3166</v>
      </c>
      <c r="F715" s="49" t="s">
        <v>6</v>
      </c>
      <c r="G715" s="48">
        <v>42809</v>
      </c>
      <c r="H715" s="48">
        <v>42839</v>
      </c>
      <c r="I715" s="48">
        <v>43031</v>
      </c>
      <c r="J715" s="49" t="s">
        <v>3145</v>
      </c>
      <c r="K715" s="58" t="s">
        <v>7</v>
      </c>
      <c r="L715" s="49">
        <v>0</v>
      </c>
      <c r="M715" s="48">
        <v>43032</v>
      </c>
      <c r="N715" s="49" t="s">
        <v>2917</v>
      </c>
      <c r="O715" s="49" t="s">
        <v>7</v>
      </c>
      <c r="P715" s="49">
        <v>0</v>
      </c>
      <c r="Q715" s="51" t="s">
        <v>5002</v>
      </c>
      <c r="R715" s="67" t="e" cm="1">
        <f t="array" ref="R715">_xlfn.CHOOSECOLS(_xlfn.CHOOSEROWS(_xlfn._xlws.FILTER(표2[],표2[DWG No.]=C715,""),1),6)</f>
        <v>#VALUE!</v>
      </c>
      <c r="S715" s="67" t="e" cm="1">
        <f t="array" ref="S715">_xlfn.CHOOSECOLS(_xlfn.CHOOSEROWS(_xlfn._xlws.FILTER(표2[],(표2[DWG No.]=C715)*(ISNUMBER(표2[Rev.])),""),1),6)</f>
        <v>#VALUE!</v>
      </c>
    </row>
    <row r="716" spans="1:19" ht="18" customHeight="1" x14ac:dyDescent="0.45">
      <c r="A716" s="64">
        <v>711</v>
      </c>
      <c r="B716" s="49" t="s">
        <v>2912</v>
      </c>
      <c r="C716" s="50" t="s">
        <v>3167</v>
      </c>
      <c r="D716" s="49">
        <v>155086</v>
      </c>
      <c r="E716" s="50" t="s">
        <v>3168</v>
      </c>
      <c r="F716" s="49" t="s">
        <v>6</v>
      </c>
      <c r="G716" s="48">
        <v>42784</v>
      </c>
      <c r="H716" s="48">
        <v>42814</v>
      </c>
      <c r="I716" s="48">
        <v>42996</v>
      </c>
      <c r="J716" s="49" t="s">
        <v>3158</v>
      </c>
      <c r="K716" s="58" t="s">
        <v>7</v>
      </c>
      <c r="L716" s="49">
        <v>0</v>
      </c>
      <c r="M716" s="48">
        <v>42996</v>
      </c>
      <c r="N716" s="49" t="s">
        <v>2917</v>
      </c>
      <c r="O716" s="49" t="s">
        <v>7</v>
      </c>
      <c r="P716" s="49">
        <v>0</v>
      </c>
      <c r="Q716" s="51" t="s">
        <v>5002</v>
      </c>
      <c r="R716" s="67" t="e" cm="1">
        <f t="array" ref="R716">_xlfn.CHOOSECOLS(_xlfn.CHOOSEROWS(_xlfn._xlws.FILTER(표2[],표2[DWG No.]=C716,""),1),6)</f>
        <v>#VALUE!</v>
      </c>
      <c r="S716" s="67" t="e" cm="1">
        <f t="array" ref="S716">_xlfn.CHOOSECOLS(_xlfn.CHOOSEROWS(_xlfn._xlws.FILTER(표2[],(표2[DWG No.]=C716)*(ISNUMBER(표2[Rev.])),""),1),6)</f>
        <v>#VALUE!</v>
      </c>
    </row>
    <row r="717" spans="1:19" ht="18" customHeight="1" x14ac:dyDescent="0.45">
      <c r="A717" s="64">
        <v>712</v>
      </c>
      <c r="B717" s="49" t="s">
        <v>2912</v>
      </c>
      <c r="C717" s="50" t="s">
        <v>3169</v>
      </c>
      <c r="D717" s="49">
        <v>155087</v>
      </c>
      <c r="E717" s="50" t="s">
        <v>3170</v>
      </c>
      <c r="F717" s="49" t="s">
        <v>6</v>
      </c>
      <c r="G717" s="48">
        <v>42809</v>
      </c>
      <c r="H717" s="48">
        <v>42839</v>
      </c>
      <c r="I717" s="48">
        <v>42965</v>
      </c>
      <c r="J717" s="49" t="s">
        <v>3070</v>
      </c>
      <c r="K717" s="58" t="s">
        <v>7</v>
      </c>
      <c r="L717" s="49">
        <v>0</v>
      </c>
      <c r="M717" s="48">
        <v>42969</v>
      </c>
      <c r="N717" s="49" t="s">
        <v>2917</v>
      </c>
      <c r="O717" s="49" t="s">
        <v>7</v>
      </c>
      <c r="P717" s="49">
        <v>0</v>
      </c>
      <c r="Q717" s="51" t="s">
        <v>5002</v>
      </c>
      <c r="R717" s="67" t="e" cm="1">
        <f t="array" ref="R717">_xlfn.CHOOSECOLS(_xlfn.CHOOSEROWS(_xlfn._xlws.FILTER(표2[],표2[DWG No.]=C717,""),1),6)</f>
        <v>#VALUE!</v>
      </c>
      <c r="S717" s="67" t="e" cm="1">
        <f t="array" ref="S717">_xlfn.CHOOSECOLS(_xlfn.CHOOSEROWS(_xlfn._xlws.FILTER(표2[],(표2[DWG No.]=C717)*(ISNUMBER(표2[Rev.])),""),1),6)</f>
        <v>#VALUE!</v>
      </c>
    </row>
    <row r="718" spans="1:19" ht="18" customHeight="1" x14ac:dyDescent="0.45">
      <c r="A718" s="64">
        <v>713</v>
      </c>
      <c r="B718" s="49" t="s">
        <v>2912</v>
      </c>
      <c r="C718" s="50" t="s">
        <v>3171</v>
      </c>
      <c r="D718" s="49">
        <v>155088</v>
      </c>
      <c r="E718" s="50" t="s">
        <v>3172</v>
      </c>
      <c r="F718" s="49" t="s">
        <v>6</v>
      </c>
      <c r="G718" s="48">
        <v>42900</v>
      </c>
      <c r="H718" s="48">
        <v>42930</v>
      </c>
      <c r="I718" s="48">
        <v>42965</v>
      </c>
      <c r="J718" s="49" t="s">
        <v>3070</v>
      </c>
      <c r="K718" s="58" t="s">
        <v>7</v>
      </c>
      <c r="L718" s="49">
        <v>0</v>
      </c>
      <c r="M718" s="48">
        <v>42969</v>
      </c>
      <c r="N718" s="49" t="s">
        <v>2917</v>
      </c>
      <c r="O718" s="49" t="s">
        <v>7</v>
      </c>
      <c r="P718" s="49">
        <v>0</v>
      </c>
      <c r="Q718" s="51" t="s">
        <v>5002</v>
      </c>
      <c r="R718" s="67" t="e" cm="1">
        <f t="array" ref="R718">_xlfn.CHOOSECOLS(_xlfn.CHOOSEROWS(_xlfn._xlws.FILTER(표2[],표2[DWG No.]=C718,""),1),6)</f>
        <v>#VALUE!</v>
      </c>
      <c r="S718" s="67" t="e" cm="1">
        <f t="array" ref="S718">_xlfn.CHOOSECOLS(_xlfn.CHOOSEROWS(_xlfn._xlws.FILTER(표2[],(표2[DWG No.]=C718)*(ISNUMBER(표2[Rev.])),""),1),6)</f>
        <v>#VALUE!</v>
      </c>
    </row>
    <row r="719" spans="1:19" ht="18" customHeight="1" x14ac:dyDescent="0.45">
      <c r="A719" s="64">
        <v>714</v>
      </c>
      <c r="B719" s="49" t="s">
        <v>2912</v>
      </c>
      <c r="C719" s="50" t="s">
        <v>3173</v>
      </c>
      <c r="D719" s="49">
        <v>155089</v>
      </c>
      <c r="E719" s="50" t="s">
        <v>3174</v>
      </c>
      <c r="F719" s="49" t="s">
        <v>6</v>
      </c>
      <c r="G719" s="48">
        <v>42795</v>
      </c>
      <c r="H719" s="48">
        <v>42825</v>
      </c>
      <c r="I719" s="48">
        <v>42843</v>
      </c>
      <c r="J719" s="49" t="s">
        <v>3175</v>
      </c>
      <c r="K719" s="58" t="s">
        <v>7</v>
      </c>
      <c r="L719" s="49">
        <v>0</v>
      </c>
      <c r="M719" s="48">
        <v>42859</v>
      </c>
      <c r="N719" s="49" t="s">
        <v>2917</v>
      </c>
      <c r="O719" s="49" t="s">
        <v>6</v>
      </c>
      <c r="P719" s="49">
        <v>0</v>
      </c>
      <c r="Q719" s="51" t="s">
        <v>5002</v>
      </c>
      <c r="R719" s="67" t="e" cm="1">
        <f t="array" ref="R719">_xlfn.CHOOSECOLS(_xlfn.CHOOSEROWS(_xlfn._xlws.FILTER(표2[],표2[DWG No.]=C719,""),1),6)</f>
        <v>#VALUE!</v>
      </c>
      <c r="S719" s="67" t="e" cm="1">
        <f t="array" ref="S719">_xlfn.CHOOSECOLS(_xlfn.CHOOSEROWS(_xlfn._xlws.FILTER(표2[],(표2[DWG No.]=C719)*(ISNUMBER(표2[Rev.])),""),1),6)</f>
        <v>#VALUE!</v>
      </c>
    </row>
    <row r="720" spans="1:19" ht="18" customHeight="1" x14ac:dyDescent="0.45">
      <c r="A720" s="64">
        <v>715</v>
      </c>
      <c r="B720" s="49" t="s">
        <v>2912</v>
      </c>
      <c r="C720" s="50" t="s">
        <v>3176</v>
      </c>
      <c r="D720" s="49">
        <v>155090</v>
      </c>
      <c r="E720" s="50" t="s">
        <v>3177</v>
      </c>
      <c r="F720" s="49" t="s">
        <v>6</v>
      </c>
      <c r="G720" s="48">
        <v>42810</v>
      </c>
      <c r="H720" s="48">
        <v>42840</v>
      </c>
      <c r="I720" s="48">
        <v>42970</v>
      </c>
      <c r="J720" s="49" t="s">
        <v>3178</v>
      </c>
      <c r="K720" s="58" t="s">
        <v>7</v>
      </c>
      <c r="L720" s="49">
        <v>0</v>
      </c>
      <c r="M720" s="48">
        <v>42970</v>
      </c>
      <c r="N720" s="49" t="s">
        <v>2917</v>
      </c>
      <c r="O720" s="49" t="s">
        <v>7</v>
      </c>
      <c r="P720" s="49">
        <v>0</v>
      </c>
      <c r="Q720" s="51" t="s">
        <v>5002</v>
      </c>
      <c r="R720" s="67" t="e" cm="1">
        <f t="array" ref="R720">_xlfn.CHOOSECOLS(_xlfn.CHOOSEROWS(_xlfn._xlws.FILTER(표2[],표2[DWG No.]=C720,""),1),6)</f>
        <v>#VALUE!</v>
      </c>
      <c r="S720" s="67" t="e" cm="1">
        <f t="array" ref="S720">_xlfn.CHOOSECOLS(_xlfn.CHOOSEROWS(_xlfn._xlws.FILTER(표2[],(표2[DWG No.]=C720)*(ISNUMBER(표2[Rev.])),""),1),6)</f>
        <v>#VALUE!</v>
      </c>
    </row>
    <row r="721" spans="1:19" ht="18" customHeight="1" x14ac:dyDescent="0.45">
      <c r="A721" s="64">
        <v>716</v>
      </c>
      <c r="B721" s="49" t="s">
        <v>2912</v>
      </c>
      <c r="C721" s="50" t="s">
        <v>3179</v>
      </c>
      <c r="D721" s="49">
        <v>155091</v>
      </c>
      <c r="E721" s="50" t="s">
        <v>3180</v>
      </c>
      <c r="F721" s="49" t="s">
        <v>6</v>
      </c>
      <c r="G721" s="48">
        <v>42824</v>
      </c>
      <c r="H721" s="48">
        <v>42854</v>
      </c>
      <c r="I721" s="48">
        <v>43031</v>
      </c>
      <c r="J721" s="49" t="s">
        <v>3145</v>
      </c>
      <c r="K721" s="58" t="s">
        <v>7</v>
      </c>
      <c r="L721" s="49">
        <v>0</v>
      </c>
      <c r="M721" s="48">
        <v>43032</v>
      </c>
      <c r="N721" s="49" t="s">
        <v>2917</v>
      </c>
      <c r="O721" s="49" t="s">
        <v>7</v>
      </c>
      <c r="P721" s="49">
        <v>0</v>
      </c>
      <c r="Q721" s="51" t="s">
        <v>5002</v>
      </c>
      <c r="R721" s="67" t="e" cm="1">
        <f t="array" ref="R721">_xlfn.CHOOSECOLS(_xlfn.CHOOSEROWS(_xlfn._xlws.FILTER(표2[],표2[DWG No.]=C721,""),1),6)</f>
        <v>#VALUE!</v>
      </c>
      <c r="S721" s="67" t="e" cm="1">
        <f t="array" ref="S721">_xlfn.CHOOSECOLS(_xlfn.CHOOSEROWS(_xlfn._xlws.FILTER(표2[],(표2[DWG No.]=C721)*(ISNUMBER(표2[Rev.])),""),1),6)</f>
        <v>#VALUE!</v>
      </c>
    </row>
    <row r="722" spans="1:19" ht="18" customHeight="1" x14ac:dyDescent="0.45">
      <c r="A722" s="64">
        <v>717</v>
      </c>
      <c r="B722" s="49" t="s">
        <v>2912</v>
      </c>
      <c r="C722" s="50" t="s">
        <v>3181</v>
      </c>
      <c r="D722" s="49">
        <v>155092</v>
      </c>
      <c r="E722" s="50" t="s">
        <v>3182</v>
      </c>
      <c r="F722" s="49" t="s">
        <v>6</v>
      </c>
      <c r="G722" s="48">
        <v>42826</v>
      </c>
      <c r="H722" s="48">
        <v>42856</v>
      </c>
      <c r="I722" s="48">
        <v>43000</v>
      </c>
      <c r="J722" s="49" t="s">
        <v>3183</v>
      </c>
      <c r="K722" s="58" t="s">
        <v>7</v>
      </c>
      <c r="L722" s="49">
        <v>0</v>
      </c>
      <c r="M722" s="48">
        <v>43003</v>
      </c>
      <c r="N722" s="49" t="s">
        <v>2917</v>
      </c>
      <c r="O722" s="49" t="s">
        <v>7</v>
      </c>
      <c r="P722" s="49">
        <v>0</v>
      </c>
      <c r="Q722" s="51" t="s">
        <v>5002</v>
      </c>
      <c r="R722" s="67" t="e" cm="1">
        <f t="array" ref="R722">_xlfn.CHOOSECOLS(_xlfn.CHOOSEROWS(_xlfn._xlws.FILTER(표2[],표2[DWG No.]=C722,""),1),6)</f>
        <v>#VALUE!</v>
      </c>
      <c r="S722" s="67" t="e" cm="1">
        <f t="array" ref="S722">_xlfn.CHOOSECOLS(_xlfn.CHOOSEROWS(_xlfn._xlws.FILTER(표2[],(표2[DWG No.]=C722)*(ISNUMBER(표2[Rev.])),""),1),6)</f>
        <v>#VALUE!</v>
      </c>
    </row>
    <row r="723" spans="1:19" ht="18" customHeight="1" x14ac:dyDescent="0.45">
      <c r="A723" s="64">
        <v>718</v>
      </c>
      <c r="B723" s="49" t="s">
        <v>2912</v>
      </c>
      <c r="C723" s="50" t="s">
        <v>3184</v>
      </c>
      <c r="D723" s="49">
        <v>165095</v>
      </c>
      <c r="E723" s="50" t="s">
        <v>3185</v>
      </c>
      <c r="F723" s="49" t="s">
        <v>6</v>
      </c>
      <c r="G723" s="48">
        <v>42810</v>
      </c>
      <c r="H723" s="48">
        <v>42840</v>
      </c>
      <c r="I723" s="48">
        <v>42885</v>
      </c>
      <c r="J723" s="49" t="s">
        <v>3116</v>
      </c>
      <c r="K723" s="58" t="s">
        <v>7</v>
      </c>
      <c r="L723" s="49">
        <v>0</v>
      </c>
      <c r="M723" s="48">
        <v>42885</v>
      </c>
      <c r="N723" s="49" t="s">
        <v>2917</v>
      </c>
      <c r="O723" s="49" t="s">
        <v>7</v>
      </c>
      <c r="P723" s="49">
        <v>0</v>
      </c>
      <c r="Q723" s="51" t="s">
        <v>5002</v>
      </c>
      <c r="R723" s="67" t="e" cm="1">
        <f t="array" ref="R723">_xlfn.CHOOSECOLS(_xlfn.CHOOSEROWS(_xlfn._xlws.FILTER(표2[],표2[DWG No.]=C723,""),1),6)</f>
        <v>#VALUE!</v>
      </c>
      <c r="S723" s="67" t="e" cm="1">
        <f t="array" ref="S723">_xlfn.CHOOSECOLS(_xlfn.CHOOSEROWS(_xlfn._xlws.FILTER(표2[],(표2[DWG No.]=C723)*(ISNUMBER(표2[Rev.])),""),1),6)</f>
        <v>#VALUE!</v>
      </c>
    </row>
    <row r="724" spans="1:19" ht="18" customHeight="1" x14ac:dyDescent="0.45">
      <c r="A724" s="64">
        <v>719</v>
      </c>
      <c r="B724" s="49" t="s">
        <v>2912</v>
      </c>
      <c r="C724" s="50" t="s">
        <v>3186</v>
      </c>
      <c r="D724" s="49">
        <v>155096</v>
      </c>
      <c r="E724" s="50" t="s">
        <v>3187</v>
      </c>
      <c r="F724" s="49" t="s">
        <v>6</v>
      </c>
      <c r="G724" s="48">
        <v>42786</v>
      </c>
      <c r="H724" s="48">
        <v>42816</v>
      </c>
      <c r="I724" s="48">
        <v>42965</v>
      </c>
      <c r="J724" s="49" t="s">
        <v>3070</v>
      </c>
      <c r="K724" s="58" t="s">
        <v>7</v>
      </c>
      <c r="L724" s="49">
        <v>0</v>
      </c>
      <c r="M724" s="48">
        <v>42969</v>
      </c>
      <c r="N724" s="49" t="s">
        <v>2917</v>
      </c>
      <c r="O724" s="49" t="s">
        <v>7</v>
      </c>
      <c r="P724" s="49">
        <v>0</v>
      </c>
      <c r="Q724" s="51" t="s">
        <v>5002</v>
      </c>
      <c r="R724" s="67" t="e" cm="1">
        <f t="array" ref="R724">_xlfn.CHOOSECOLS(_xlfn.CHOOSEROWS(_xlfn._xlws.FILTER(표2[],표2[DWG No.]=C724,""),1),6)</f>
        <v>#VALUE!</v>
      </c>
      <c r="S724" s="67" t="e" cm="1">
        <f t="array" ref="S724">_xlfn.CHOOSECOLS(_xlfn.CHOOSEROWS(_xlfn._xlws.FILTER(표2[],(표2[DWG No.]=C724)*(ISNUMBER(표2[Rev.])),""),1),6)</f>
        <v>#VALUE!</v>
      </c>
    </row>
    <row r="725" spans="1:19" ht="18" customHeight="1" x14ac:dyDescent="0.45">
      <c r="A725" s="64">
        <v>720</v>
      </c>
      <c r="B725" s="49" t="s">
        <v>2912</v>
      </c>
      <c r="C725" s="50" t="s">
        <v>3188</v>
      </c>
      <c r="D725" s="49">
        <v>165097</v>
      </c>
      <c r="E725" s="50" t="s">
        <v>3189</v>
      </c>
      <c r="F725" s="49" t="s">
        <v>6</v>
      </c>
      <c r="G725" s="48">
        <v>42900</v>
      </c>
      <c r="H725" s="48">
        <v>42930</v>
      </c>
      <c r="I725" s="48">
        <v>43797</v>
      </c>
      <c r="J725" s="51" t="s">
        <v>3190</v>
      </c>
      <c r="K725" s="58" t="s">
        <v>7</v>
      </c>
      <c r="L725" s="49">
        <v>3</v>
      </c>
      <c r="M725" s="48">
        <v>43798</v>
      </c>
      <c r="N725" s="49" t="s">
        <v>3191</v>
      </c>
      <c r="O725" s="49"/>
      <c r="P725" s="49">
        <v>3</v>
      </c>
      <c r="Q725" s="51" t="s">
        <v>5002</v>
      </c>
      <c r="R725" s="67" t="e" cm="1">
        <f t="array" ref="R725">_xlfn.CHOOSECOLS(_xlfn.CHOOSEROWS(_xlfn._xlws.FILTER(표2[],표2[DWG No.]=C725,""),1),6)</f>
        <v>#VALUE!</v>
      </c>
      <c r="S725" s="67" t="e" cm="1">
        <f t="array" ref="S725">_xlfn.CHOOSECOLS(_xlfn.CHOOSEROWS(_xlfn._xlws.FILTER(표2[],(표2[DWG No.]=C725)*(ISNUMBER(표2[Rev.])),""),1),6)</f>
        <v>#VALUE!</v>
      </c>
    </row>
    <row r="726" spans="1:19" ht="18" customHeight="1" x14ac:dyDescent="0.45">
      <c r="A726" s="64">
        <v>721</v>
      </c>
      <c r="B726" s="49" t="s">
        <v>2912</v>
      </c>
      <c r="C726" s="50" t="s">
        <v>3192</v>
      </c>
      <c r="D726" s="49">
        <v>165098</v>
      </c>
      <c r="E726" s="50" t="s">
        <v>3193</v>
      </c>
      <c r="F726" s="49" t="s">
        <v>6</v>
      </c>
      <c r="G726" s="48">
        <v>42900</v>
      </c>
      <c r="H726" s="48">
        <v>42930</v>
      </c>
      <c r="I726" s="61">
        <v>43126</v>
      </c>
      <c r="J726" s="51" t="s">
        <v>3194</v>
      </c>
      <c r="K726" s="58" t="s">
        <v>7</v>
      </c>
      <c r="L726" s="49">
        <v>0</v>
      </c>
      <c r="M726" s="48">
        <v>42996</v>
      </c>
      <c r="N726" s="49" t="s">
        <v>2917</v>
      </c>
      <c r="O726" s="49" t="s">
        <v>7</v>
      </c>
      <c r="P726" s="49">
        <v>0</v>
      </c>
      <c r="Q726" s="51" t="s">
        <v>5002</v>
      </c>
      <c r="R726" s="67" t="e" cm="1">
        <f t="array" ref="R726">_xlfn.CHOOSECOLS(_xlfn.CHOOSEROWS(_xlfn._xlws.FILTER(표2[],표2[DWG No.]=C726,""),1),6)</f>
        <v>#VALUE!</v>
      </c>
      <c r="S726" s="67" t="e" cm="1">
        <f t="array" ref="S726">_xlfn.CHOOSECOLS(_xlfn.CHOOSEROWS(_xlfn._xlws.FILTER(표2[],(표2[DWG No.]=C726)*(ISNUMBER(표2[Rev.])),""),1),6)</f>
        <v>#VALUE!</v>
      </c>
    </row>
    <row r="727" spans="1:19" ht="18" customHeight="1" x14ac:dyDescent="0.45">
      <c r="A727" s="64">
        <v>722</v>
      </c>
      <c r="B727" s="49" t="s">
        <v>2912</v>
      </c>
      <c r="C727" s="50" t="s">
        <v>3195</v>
      </c>
      <c r="D727" s="49">
        <v>165099</v>
      </c>
      <c r="E727" s="50" t="s">
        <v>3196</v>
      </c>
      <c r="F727" s="49" t="s">
        <v>6</v>
      </c>
      <c r="G727" s="48">
        <v>42935</v>
      </c>
      <c r="H727" s="48">
        <v>42965</v>
      </c>
      <c r="I727" s="48">
        <v>42955</v>
      </c>
      <c r="J727" s="49" t="s">
        <v>3197</v>
      </c>
      <c r="K727" s="58" t="s">
        <v>7</v>
      </c>
      <c r="L727" s="49">
        <v>0</v>
      </c>
      <c r="M727" s="48">
        <v>42955</v>
      </c>
      <c r="N727" s="49" t="s">
        <v>2917</v>
      </c>
      <c r="O727" s="49" t="s">
        <v>7</v>
      </c>
      <c r="P727" s="49">
        <v>0</v>
      </c>
      <c r="Q727" s="51" t="s">
        <v>5002</v>
      </c>
      <c r="R727" s="67" t="e" cm="1">
        <f t="array" ref="R727">_xlfn.CHOOSECOLS(_xlfn.CHOOSEROWS(_xlfn._xlws.FILTER(표2[],표2[DWG No.]=C727,""),1),6)</f>
        <v>#VALUE!</v>
      </c>
      <c r="S727" s="67" t="e" cm="1">
        <f t="array" ref="S727">_xlfn.CHOOSECOLS(_xlfn.CHOOSEROWS(_xlfn._xlws.FILTER(표2[],(표2[DWG No.]=C727)*(ISNUMBER(표2[Rev.])),""),1),6)</f>
        <v>#VALUE!</v>
      </c>
    </row>
    <row r="728" spans="1:19" ht="18" customHeight="1" x14ac:dyDescent="0.45">
      <c r="A728" s="64">
        <v>723</v>
      </c>
      <c r="B728" s="49" t="s">
        <v>2912</v>
      </c>
      <c r="C728" s="50" t="s">
        <v>3198</v>
      </c>
      <c r="D728" s="49">
        <v>165100</v>
      </c>
      <c r="E728" s="50" t="s">
        <v>3199</v>
      </c>
      <c r="F728" s="49" t="s">
        <v>6</v>
      </c>
      <c r="G728" s="48">
        <v>42992</v>
      </c>
      <c r="H728" s="48">
        <v>42906</v>
      </c>
      <c r="I728" s="48">
        <v>42992</v>
      </c>
      <c r="J728" s="49" t="s">
        <v>3110</v>
      </c>
      <c r="K728" s="58" t="s">
        <v>7</v>
      </c>
      <c r="L728" s="49">
        <v>0</v>
      </c>
      <c r="M728" s="48">
        <v>42992</v>
      </c>
      <c r="N728" s="49" t="s">
        <v>2917</v>
      </c>
      <c r="O728" s="49" t="s">
        <v>7</v>
      </c>
      <c r="P728" s="49">
        <v>0</v>
      </c>
      <c r="Q728" s="51" t="s">
        <v>5002</v>
      </c>
      <c r="R728" s="67" t="e" cm="1">
        <f t="array" ref="R728">_xlfn.CHOOSECOLS(_xlfn.CHOOSEROWS(_xlfn._xlws.FILTER(표2[],표2[DWG No.]=C728,""),1),6)</f>
        <v>#VALUE!</v>
      </c>
      <c r="S728" s="67" t="e" cm="1">
        <f t="array" ref="S728">_xlfn.CHOOSECOLS(_xlfn.CHOOSEROWS(_xlfn._xlws.FILTER(표2[],(표2[DWG No.]=C728)*(ISNUMBER(표2[Rev.])),""),1),6)</f>
        <v>#VALUE!</v>
      </c>
    </row>
    <row r="729" spans="1:19" ht="18" customHeight="1" x14ac:dyDescent="0.45">
      <c r="A729" s="64">
        <v>724</v>
      </c>
      <c r="B729" s="49" t="s">
        <v>2912</v>
      </c>
      <c r="C729" s="50" t="s">
        <v>3200</v>
      </c>
      <c r="D729" s="49">
        <v>165101</v>
      </c>
      <c r="E729" s="50" t="s">
        <v>3201</v>
      </c>
      <c r="F729" s="49" t="s">
        <v>6</v>
      </c>
      <c r="G729" s="48">
        <v>42935</v>
      </c>
      <c r="H729" s="48">
        <v>42965</v>
      </c>
      <c r="I729" s="48">
        <v>43012</v>
      </c>
      <c r="J729" s="49" t="s">
        <v>3202</v>
      </c>
      <c r="K729" s="58" t="s">
        <v>7</v>
      </c>
      <c r="L729" s="49">
        <v>0</v>
      </c>
      <c r="M729" s="48">
        <v>43012</v>
      </c>
      <c r="N729" s="49" t="s">
        <v>2917</v>
      </c>
      <c r="O729" s="49" t="s">
        <v>7</v>
      </c>
      <c r="P729" s="49">
        <v>0</v>
      </c>
      <c r="Q729" s="51" t="s">
        <v>5002</v>
      </c>
      <c r="R729" s="67" t="e" cm="1">
        <f t="array" ref="R729">_xlfn.CHOOSECOLS(_xlfn.CHOOSEROWS(_xlfn._xlws.FILTER(표2[],표2[DWG No.]=C729,""),1),6)</f>
        <v>#VALUE!</v>
      </c>
      <c r="S729" s="67" t="e" cm="1">
        <f t="array" ref="S729">_xlfn.CHOOSECOLS(_xlfn.CHOOSEROWS(_xlfn._xlws.FILTER(표2[],(표2[DWG No.]=C729)*(ISNUMBER(표2[Rev.])),""),1),6)</f>
        <v>#VALUE!</v>
      </c>
    </row>
    <row r="730" spans="1:19" ht="18" customHeight="1" x14ac:dyDescent="0.45">
      <c r="A730" s="64">
        <v>725</v>
      </c>
      <c r="B730" s="49" t="s">
        <v>2912</v>
      </c>
      <c r="C730" s="50" t="s">
        <v>3203</v>
      </c>
      <c r="D730" s="49">
        <v>165102</v>
      </c>
      <c r="E730" s="50" t="s">
        <v>3204</v>
      </c>
      <c r="F730" s="49" t="s">
        <v>6</v>
      </c>
      <c r="G730" s="48">
        <v>42992</v>
      </c>
      <c r="H730" s="48">
        <v>42946</v>
      </c>
      <c r="I730" s="61">
        <v>43152</v>
      </c>
      <c r="J730" s="51" t="s">
        <v>3205</v>
      </c>
      <c r="K730" s="58" t="s">
        <v>7</v>
      </c>
      <c r="L730" s="49">
        <v>3</v>
      </c>
      <c r="M730" s="61">
        <v>43152</v>
      </c>
      <c r="N730" s="51" t="s">
        <v>3206</v>
      </c>
      <c r="O730" s="49" t="s">
        <v>7</v>
      </c>
      <c r="P730" s="51">
        <v>3</v>
      </c>
      <c r="Q730" s="51" t="s">
        <v>5002</v>
      </c>
      <c r="R730" s="67" t="e" cm="1">
        <f t="array" ref="R730">_xlfn.CHOOSECOLS(_xlfn.CHOOSEROWS(_xlfn._xlws.FILTER(표2[],표2[DWG No.]=C730,""),1),6)</f>
        <v>#VALUE!</v>
      </c>
      <c r="S730" s="67" t="e" cm="1">
        <f t="array" ref="S730">_xlfn.CHOOSECOLS(_xlfn.CHOOSEROWS(_xlfn._xlws.FILTER(표2[],(표2[DWG No.]=C730)*(ISNUMBER(표2[Rev.])),""),1),6)</f>
        <v>#VALUE!</v>
      </c>
    </row>
    <row r="731" spans="1:19" ht="18" customHeight="1" x14ac:dyDescent="0.45">
      <c r="A731" s="64">
        <v>726</v>
      </c>
      <c r="B731" s="49" t="s">
        <v>2912</v>
      </c>
      <c r="C731" s="50" t="s">
        <v>3207</v>
      </c>
      <c r="D731" s="49">
        <v>165103</v>
      </c>
      <c r="E731" s="50" t="s">
        <v>3208</v>
      </c>
      <c r="F731" s="49" t="s">
        <v>6</v>
      </c>
      <c r="G731" s="48">
        <v>43013</v>
      </c>
      <c r="H731" s="48">
        <v>42946</v>
      </c>
      <c r="I731" s="61">
        <v>43152</v>
      </c>
      <c r="J731" s="51" t="s">
        <v>3205</v>
      </c>
      <c r="K731" s="58" t="s">
        <v>7</v>
      </c>
      <c r="L731" s="49">
        <v>1</v>
      </c>
      <c r="M731" s="61">
        <v>43152</v>
      </c>
      <c r="N731" s="51" t="s">
        <v>3206</v>
      </c>
      <c r="O731" s="49" t="s">
        <v>7</v>
      </c>
      <c r="P731" s="51">
        <v>1</v>
      </c>
      <c r="Q731" s="51" t="s">
        <v>5002</v>
      </c>
      <c r="R731" s="67" t="e" cm="1">
        <f t="array" ref="R731">_xlfn.CHOOSECOLS(_xlfn.CHOOSEROWS(_xlfn._xlws.FILTER(표2[],표2[DWG No.]=C731,""),1),6)</f>
        <v>#VALUE!</v>
      </c>
      <c r="S731" s="67" t="e" cm="1">
        <f t="array" ref="S731">_xlfn.CHOOSECOLS(_xlfn.CHOOSEROWS(_xlfn._xlws.FILTER(표2[],(표2[DWG No.]=C731)*(ISNUMBER(표2[Rev.])),""),1),6)</f>
        <v>#VALUE!</v>
      </c>
    </row>
    <row r="732" spans="1:19" ht="18" customHeight="1" x14ac:dyDescent="0.45">
      <c r="A732" s="64">
        <v>727</v>
      </c>
      <c r="B732" s="49" t="s">
        <v>2912</v>
      </c>
      <c r="C732" s="50" t="s">
        <v>3209</v>
      </c>
      <c r="D732" s="49">
        <v>165104</v>
      </c>
      <c r="E732" s="50" t="s">
        <v>3210</v>
      </c>
      <c r="F732" s="49" t="s">
        <v>6</v>
      </c>
      <c r="G732" s="48">
        <v>42955</v>
      </c>
      <c r="H732" s="48">
        <v>42906</v>
      </c>
      <c r="I732" s="48">
        <v>42955</v>
      </c>
      <c r="J732" s="49" t="s">
        <v>3197</v>
      </c>
      <c r="K732" s="58" t="s">
        <v>7</v>
      </c>
      <c r="L732" s="49">
        <v>0</v>
      </c>
      <c r="M732" s="48">
        <v>42955</v>
      </c>
      <c r="N732" s="49" t="s">
        <v>2917</v>
      </c>
      <c r="O732" s="49" t="s">
        <v>7</v>
      </c>
      <c r="P732" s="49">
        <v>0</v>
      </c>
      <c r="Q732" s="51" t="s">
        <v>5002</v>
      </c>
      <c r="R732" s="67" t="e" cm="1">
        <f t="array" ref="R732">_xlfn.CHOOSECOLS(_xlfn.CHOOSEROWS(_xlfn._xlws.FILTER(표2[],표2[DWG No.]=C732,""),1),6)</f>
        <v>#VALUE!</v>
      </c>
      <c r="S732" s="67" t="e" cm="1">
        <f t="array" ref="S732">_xlfn.CHOOSECOLS(_xlfn.CHOOSEROWS(_xlfn._xlws.FILTER(표2[],(표2[DWG No.]=C732)*(ISNUMBER(표2[Rev.])),""),1),6)</f>
        <v>#VALUE!</v>
      </c>
    </row>
    <row r="733" spans="1:19" ht="18" customHeight="1" x14ac:dyDescent="0.45">
      <c r="A733" s="64">
        <v>728</v>
      </c>
      <c r="B733" s="49" t="s">
        <v>2912</v>
      </c>
      <c r="C733" s="50" t="s">
        <v>3211</v>
      </c>
      <c r="D733" s="49">
        <v>165105</v>
      </c>
      <c r="E733" s="50" t="s">
        <v>3212</v>
      </c>
      <c r="F733" s="49" t="s">
        <v>6</v>
      </c>
      <c r="G733" s="48">
        <v>42900</v>
      </c>
      <c r="H733" s="48">
        <v>42946</v>
      </c>
      <c r="I733" s="48">
        <v>42998</v>
      </c>
      <c r="J733" s="49" t="s">
        <v>3213</v>
      </c>
      <c r="K733" s="58" t="s">
        <v>7</v>
      </c>
      <c r="L733" s="49">
        <v>0</v>
      </c>
      <c r="M733" s="48">
        <v>42998</v>
      </c>
      <c r="N733" s="49" t="s">
        <v>2917</v>
      </c>
      <c r="O733" s="49" t="s">
        <v>7</v>
      </c>
      <c r="P733" s="49">
        <v>0</v>
      </c>
      <c r="Q733" s="51" t="s">
        <v>5002</v>
      </c>
      <c r="R733" s="67" t="e" cm="1">
        <f t="array" ref="R733">_xlfn.CHOOSECOLS(_xlfn.CHOOSEROWS(_xlfn._xlws.FILTER(표2[],표2[DWG No.]=C733,""),1),6)</f>
        <v>#VALUE!</v>
      </c>
      <c r="S733" s="67" t="e" cm="1">
        <f t="array" ref="S733">_xlfn.CHOOSECOLS(_xlfn.CHOOSEROWS(_xlfn._xlws.FILTER(표2[],(표2[DWG No.]=C733)*(ISNUMBER(표2[Rev.])),""),1),6)</f>
        <v>#VALUE!</v>
      </c>
    </row>
    <row r="734" spans="1:19" ht="18" customHeight="1" x14ac:dyDescent="0.45">
      <c r="A734" s="64">
        <v>729</v>
      </c>
      <c r="B734" s="49" t="s">
        <v>2912</v>
      </c>
      <c r="C734" s="50" t="s">
        <v>3214</v>
      </c>
      <c r="D734" s="49">
        <v>165106</v>
      </c>
      <c r="E734" s="50" t="s">
        <v>3215</v>
      </c>
      <c r="F734" s="49" t="s">
        <v>6</v>
      </c>
      <c r="G734" s="48">
        <v>42909</v>
      </c>
      <c r="H734" s="48">
        <v>42939</v>
      </c>
      <c r="I734" s="48">
        <v>42992</v>
      </c>
      <c r="J734" s="49" t="s">
        <v>3110</v>
      </c>
      <c r="K734" s="58" t="s">
        <v>7</v>
      </c>
      <c r="L734" s="49">
        <v>0</v>
      </c>
      <c r="M734" s="48">
        <v>42992</v>
      </c>
      <c r="N734" s="49" t="s">
        <v>2917</v>
      </c>
      <c r="O734" s="49" t="s">
        <v>7</v>
      </c>
      <c r="P734" s="49">
        <v>0</v>
      </c>
      <c r="Q734" s="51" t="s">
        <v>5002</v>
      </c>
      <c r="R734" s="67" t="e" cm="1">
        <f t="array" ref="R734">_xlfn.CHOOSECOLS(_xlfn.CHOOSEROWS(_xlfn._xlws.FILTER(표2[],표2[DWG No.]=C734,""),1),6)</f>
        <v>#VALUE!</v>
      </c>
      <c r="S734" s="67" t="e" cm="1">
        <f t="array" ref="S734">_xlfn.CHOOSECOLS(_xlfn.CHOOSEROWS(_xlfn._xlws.FILTER(표2[],(표2[DWG No.]=C734)*(ISNUMBER(표2[Rev.])),""),1),6)</f>
        <v>#VALUE!</v>
      </c>
    </row>
    <row r="735" spans="1:19" ht="18" customHeight="1" x14ac:dyDescent="0.45">
      <c r="A735" s="64">
        <v>730</v>
      </c>
      <c r="B735" s="49" t="s">
        <v>2912</v>
      </c>
      <c r="C735" s="50" t="s">
        <v>3216</v>
      </c>
      <c r="D735" s="49">
        <v>165107</v>
      </c>
      <c r="E735" s="50" t="s">
        <v>3217</v>
      </c>
      <c r="F735" s="49" t="s">
        <v>6</v>
      </c>
      <c r="G735" s="48">
        <v>42935</v>
      </c>
      <c r="H735" s="48">
        <v>42965</v>
      </c>
      <c r="I735" s="48">
        <v>43017</v>
      </c>
      <c r="J735" s="49" t="s">
        <v>3052</v>
      </c>
      <c r="K735" s="58" t="s">
        <v>7</v>
      </c>
      <c r="L735" s="49">
        <v>0</v>
      </c>
      <c r="M735" s="48">
        <v>43018</v>
      </c>
      <c r="N735" s="49" t="s">
        <v>2917</v>
      </c>
      <c r="O735" s="49" t="s">
        <v>7</v>
      </c>
      <c r="P735" s="49">
        <v>0</v>
      </c>
      <c r="Q735" s="51" t="s">
        <v>5002</v>
      </c>
      <c r="R735" s="67" t="e" cm="1">
        <f t="array" ref="R735">_xlfn.CHOOSECOLS(_xlfn.CHOOSEROWS(_xlfn._xlws.FILTER(표2[],표2[DWG No.]=C735,""),1),6)</f>
        <v>#VALUE!</v>
      </c>
      <c r="S735" s="67" t="e" cm="1">
        <f t="array" ref="S735">_xlfn.CHOOSECOLS(_xlfn.CHOOSEROWS(_xlfn._xlws.FILTER(표2[],(표2[DWG No.]=C735)*(ISNUMBER(표2[Rev.])),""),1),6)</f>
        <v>#VALUE!</v>
      </c>
    </row>
    <row r="736" spans="1:19" ht="18" customHeight="1" x14ac:dyDescent="0.45">
      <c r="A736" s="64">
        <v>731</v>
      </c>
      <c r="B736" s="49" t="s">
        <v>2912</v>
      </c>
      <c r="C736" s="50" t="s">
        <v>3218</v>
      </c>
      <c r="D736" s="49">
        <v>165108</v>
      </c>
      <c r="E736" s="50" t="s">
        <v>3219</v>
      </c>
      <c r="F736" s="49" t="s">
        <v>6</v>
      </c>
      <c r="G736" s="48">
        <v>42900</v>
      </c>
      <c r="H736" s="48">
        <v>42930</v>
      </c>
      <c r="I736" s="48">
        <v>43032</v>
      </c>
      <c r="J736" s="49" t="s">
        <v>3220</v>
      </c>
      <c r="K736" s="58" t="s">
        <v>7</v>
      </c>
      <c r="L736" s="49">
        <v>0</v>
      </c>
      <c r="M736" s="48">
        <v>43033</v>
      </c>
      <c r="N736" s="49" t="s">
        <v>2917</v>
      </c>
      <c r="O736" s="49" t="s">
        <v>7</v>
      </c>
      <c r="P736" s="49">
        <v>0</v>
      </c>
      <c r="Q736" s="51" t="s">
        <v>5002</v>
      </c>
      <c r="R736" s="67" t="e" cm="1">
        <f t="array" ref="R736">_xlfn.CHOOSECOLS(_xlfn.CHOOSEROWS(_xlfn._xlws.FILTER(표2[],표2[DWG No.]=C736,""),1),6)</f>
        <v>#VALUE!</v>
      </c>
      <c r="S736" s="67" t="e" cm="1">
        <f t="array" ref="S736">_xlfn.CHOOSECOLS(_xlfn.CHOOSEROWS(_xlfn._xlws.FILTER(표2[],(표2[DWG No.]=C736)*(ISNUMBER(표2[Rev.])),""),1),6)</f>
        <v>#VALUE!</v>
      </c>
    </row>
    <row r="737" spans="1:19" ht="18" customHeight="1" x14ac:dyDescent="0.45">
      <c r="A737" s="64">
        <v>732</v>
      </c>
      <c r="B737" s="49" t="s">
        <v>2912</v>
      </c>
      <c r="C737" s="50" t="s">
        <v>3221</v>
      </c>
      <c r="D737" s="49">
        <v>165109</v>
      </c>
      <c r="E737" s="50" t="s">
        <v>3222</v>
      </c>
      <c r="F737" s="49" t="s">
        <v>6</v>
      </c>
      <c r="G737" s="48">
        <v>42935</v>
      </c>
      <c r="H737" s="48">
        <v>42965</v>
      </c>
      <c r="I737" s="48">
        <v>43608</v>
      </c>
      <c r="J737" s="51" t="s">
        <v>3223</v>
      </c>
      <c r="K737" s="58" t="s">
        <v>7</v>
      </c>
      <c r="L737" s="49" t="s">
        <v>3224</v>
      </c>
      <c r="M737" s="48">
        <v>43608</v>
      </c>
      <c r="N737" s="49" t="s">
        <v>3225</v>
      </c>
      <c r="O737" s="49"/>
      <c r="P737" s="49" t="s">
        <v>3224</v>
      </c>
      <c r="Q737" s="49" t="s">
        <v>160</v>
      </c>
      <c r="R737" s="67" t="e" cm="1">
        <f t="array" ref="R737">_xlfn.CHOOSECOLS(_xlfn.CHOOSEROWS(_xlfn._xlws.FILTER(표2[],표2[DWG No.]=C737,""),1),6)</f>
        <v>#VALUE!</v>
      </c>
      <c r="S737" s="67" t="e" cm="1">
        <f t="array" ref="S737">_xlfn.CHOOSECOLS(_xlfn.CHOOSEROWS(_xlfn._xlws.FILTER(표2[],(표2[DWG No.]=C737)*(ISNUMBER(표2[Rev.])),""),1),6)</f>
        <v>#VALUE!</v>
      </c>
    </row>
    <row r="738" spans="1:19" ht="18" customHeight="1" x14ac:dyDescent="0.45">
      <c r="A738" s="64">
        <v>733</v>
      </c>
      <c r="B738" s="49" t="s">
        <v>2912</v>
      </c>
      <c r="C738" s="50" t="s">
        <v>3226</v>
      </c>
      <c r="D738" s="49">
        <v>165110</v>
      </c>
      <c r="E738" s="50" t="s">
        <v>3227</v>
      </c>
      <c r="F738" s="49" t="s">
        <v>6</v>
      </c>
      <c r="G738" s="48">
        <v>42935</v>
      </c>
      <c r="H738" s="48">
        <v>42965</v>
      </c>
      <c r="I738" s="61">
        <v>43126</v>
      </c>
      <c r="J738" s="51" t="s">
        <v>3194</v>
      </c>
      <c r="K738" s="58" t="s">
        <v>7</v>
      </c>
      <c r="L738" s="49">
        <v>0</v>
      </c>
      <c r="M738" s="48">
        <v>42948</v>
      </c>
      <c r="N738" s="49" t="s">
        <v>2917</v>
      </c>
      <c r="O738" s="49" t="s">
        <v>7</v>
      </c>
      <c r="P738" s="49">
        <v>0</v>
      </c>
      <c r="Q738" s="51" t="s">
        <v>5002</v>
      </c>
      <c r="R738" s="67" t="e" cm="1">
        <f t="array" ref="R738">_xlfn.CHOOSECOLS(_xlfn.CHOOSEROWS(_xlfn._xlws.FILTER(표2[],표2[DWG No.]=C738,""),1),6)</f>
        <v>#VALUE!</v>
      </c>
      <c r="S738" s="67" t="e" cm="1">
        <f t="array" ref="S738">_xlfn.CHOOSECOLS(_xlfn.CHOOSEROWS(_xlfn._xlws.FILTER(표2[],(표2[DWG No.]=C738)*(ISNUMBER(표2[Rev.])),""),1),6)</f>
        <v>#VALUE!</v>
      </c>
    </row>
    <row r="739" spans="1:19" ht="18" customHeight="1" x14ac:dyDescent="0.45">
      <c r="A739" s="64">
        <v>734</v>
      </c>
      <c r="B739" s="49" t="s">
        <v>2912</v>
      </c>
      <c r="C739" s="50" t="s">
        <v>3228</v>
      </c>
      <c r="D739" s="49">
        <v>165111</v>
      </c>
      <c r="E739" s="50" t="s">
        <v>3229</v>
      </c>
      <c r="F739" s="49" t="s">
        <v>6</v>
      </c>
      <c r="G739" s="48">
        <v>42935</v>
      </c>
      <c r="H739" s="48">
        <v>42965</v>
      </c>
      <c r="I739" s="48">
        <v>43126</v>
      </c>
      <c r="J739" s="51" t="s">
        <v>3230</v>
      </c>
      <c r="K739" s="58" t="s">
        <v>7</v>
      </c>
      <c r="L739" s="49" t="s">
        <v>3231</v>
      </c>
      <c r="M739" s="48"/>
      <c r="N739" s="49" t="s">
        <v>3232</v>
      </c>
      <c r="O739" s="49"/>
      <c r="P739" s="49" t="s">
        <v>3231</v>
      </c>
      <c r="Q739" s="51" t="s">
        <v>5002</v>
      </c>
      <c r="R739" s="67" t="e" cm="1">
        <f t="array" ref="R739">_xlfn.CHOOSECOLS(_xlfn.CHOOSEROWS(_xlfn._xlws.FILTER(표2[],표2[DWG No.]=C739,""),1),6)</f>
        <v>#VALUE!</v>
      </c>
      <c r="S739" s="67" t="e" cm="1">
        <f t="array" ref="S739">_xlfn.CHOOSECOLS(_xlfn.CHOOSEROWS(_xlfn._xlws.FILTER(표2[],(표2[DWG No.]=C739)*(ISNUMBER(표2[Rev.])),""),1),6)</f>
        <v>#VALUE!</v>
      </c>
    </row>
    <row r="740" spans="1:19" ht="18" customHeight="1" x14ac:dyDescent="0.45">
      <c r="A740" s="64">
        <v>735</v>
      </c>
      <c r="B740" s="49" t="s">
        <v>2912</v>
      </c>
      <c r="C740" s="50" t="s">
        <v>3233</v>
      </c>
      <c r="D740" s="49">
        <v>165112</v>
      </c>
      <c r="E740" s="50" t="s">
        <v>3234</v>
      </c>
      <c r="F740" s="49" t="s">
        <v>6</v>
      </c>
      <c r="G740" s="48">
        <v>42923</v>
      </c>
      <c r="H740" s="48">
        <v>42953</v>
      </c>
      <c r="I740" s="61">
        <v>43413</v>
      </c>
      <c r="J740" s="51" t="s">
        <v>3235</v>
      </c>
      <c r="K740" s="58" t="s">
        <v>7</v>
      </c>
      <c r="L740" s="49">
        <v>1</v>
      </c>
      <c r="M740" s="61">
        <v>43418</v>
      </c>
      <c r="N740" s="51" t="s">
        <v>3153</v>
      </c>
      <c r="O740" s="49" t="s">
        <v>7</v>
      </c>
      <c r="P740" s="51">
        <v>1</v>
      </c>
      <c r="Q740" s="51" t="s">
        <v>5002</v>
      </c>
      <c r="R740" s="67" t="e" cm="1">
        <f t="array" ref="R740">_xlfn.CHOOSECOLS(_xlfn.CHOOSEROWS(_xlfn._xlws.FILTER(표2[],표2[DWG No.]=C740,""),1),6)</f>
        <v>#VALUE!</v>
      </c>
      <c r="S740" s="67" t="e" cm="1">
        <f t="array" ref="S740">_xlfn.CHOOSECOLS(_xlfn.CHOOSEROWS(_xlfn._xlws.FILTER(표2[],(표2[DWG No.]=C740)*(ISNUMBER(표2[Rev.])),""),1),6)</f>
        <v>#VALUE!</v>
      </c>
    </row>
    <row r="741" spans="1:19" ht="18" customHeight="1" x14ac:dyDescent="0.45">
      <c r="A741" s="64">
        <v>736</v>
      </c>
      <c r="B741" s="49" t="s">
        <v>2912</v>
      </c>
      <c r="C741" s="50" t="s">
        <v>3236</v>
      </c>
      <c r="D741" s="49">
        <v>165114</v>
      </c>
      <c r="E741" s="50" t="s">
        <v>3237</v>
      </c>
      <c r="F741" s="49" t="s">
        <v>6</v>
      </c>
      <c r="G741" s="48">
        <v>42811</v>
      </c>
      <c r="H741" s="48">
        <v>42841</v>
      </c>
      <c r="I741" s="48">
        <v>42996</v>
      </c>
      <c r="J741" s="49" t="s">
        <v>3158</v>
      </c>
      <c r="K741" s="58" t="s">
        <v>7</v>
      </c>
      <c r="L741" s="49">
        <v>0</v>
      </c>
      <c r="M741" s="48">
        <v>42996</v>
      </c>
      <c r="N741" s="49" t="s">
        <v>2917</v>
      </c>
      <c r="O741" s="49" t="s">
        <v>7</v>
      </c>
      <c r="P741" s="49">
        <v>0</v>
      </c>
      <c r="Q741" s="51" t="s">
        <v>5002</v>
      </c>
      <c r="R741" s="67" t="e" cm="1">
        <f t="array" ref="R741">_xlfn.CHOOSECOLS(_xlfn.CHOOSEROWS(_xlfn._xlws.FILTER(표2[],표2[DWG No.]=C741,""),1),6)</f>
        <v>#VALUE!</v>
      </c>
      <c r="S741" s="67" t="e" cm="1">
        <f t="array" ref="S741">_xlfn.CHOOSECOLS(_xlfn.CHOOSEROWS(_xlfn._xlws.FILTER(표2[],(표2[DWG No.]=C741)*(ISNUMBER(표2[Rev.])),""),1),6)</f>
        <v>#VALUE!</v>
      </c>
    </row>
    <row r="742" spans="1:19" ht="18" customHeight="1" x14ac:dyDescent="0.45">
      <c r="A742" s="64">
        <v>737</v>
      </c>
      <c r="B742" s="49" t="s">
        <v>2912</v>
      </c>
      <c r="C742" s="50" t="s">
        <v>3238</v>
      </c>
      <c r="D742" s="49">
        <v>165115</v>
      </c>
      <c r="E742" s="50" t="s">
        <v>3239</v>
      </c>
      <c r="F742" s="49" t="s">
        <v>6</v>
      </c>
      <c r="G742" s="48">
        <v>42854</v>
      </c>
      <c r="H742" s="48">
        <v>42884</v>
      </c>
      <c r="I742" s="48">
        <v>43042</v>
      </c>
      <c r="J742" s="49" t="s">
        <v>3240</v>
      </c>
      <c r="K742" s="58" t="s">
        <v>5032</v>
      </c>
      <c r="L742" s="49" t="s">
        <v>160</v>
      </c>
      <c r="M742" s="48">
        <v>43054</v>
      </c>
      <c r="N742" s="49" t="s">
        <v>3241</v>
      </c>
      <c r="O742" s="49" t="s">
        <v>6</v>
      </c>
      <c r="P742" s="49" t="s">
        <v>160</v>
      </c>
      <c r="Q742" s="49" t="s">
        <v>160</v>
      </c>
      <c r="R742" s="67" t="e" cm="1">
        <f t="array" ref="R742">_xlfn.CHOOSECOLS(_xlfn.CHOOSEROWS(_xlfn._xlws.FILTER(표2[],표2[DWG No.]=C742,""),1),6)</f>
        <v>#VALUE!</v>
      </c>
      <c r="S742" s="67" t="e" cm="1">
        <f t="array" ref="S742">_xlfn.CHOOSECOLS(_xlfn.CHOOSEROWS(_xlfn._xlws.FILTER(표2[],(표2[DWG No.]=C742)*(ISNUMBER(표2[Rev.])),""),1),6)</f>
        <v>#VALUE!</v>
      </c>
    </row>
    <row r="743" spans="1:19" ht="18" customHeight="1" x14ac:dyDescent="0.45">
      <c r="A743" s="64">
        <v>738</v>
      </c>
      <c r="B743" s="49" t="s">
        <v>2912</v>
      </c>
      <c r="C743" s="50" t="s">
        <v>3242</v>
      </c>
      <c r="D743" s="49">
        <v>165116</v>
      </c>
      <c r="E743" s="50" t="s">
        <v>3243</v>
      </c>
      <c r="F743" s="49" t="s">
        <v>6</v>
      </c>
      <c r="G743" s="48">
        <v>42900</v>
      </c>
      <c r="H743" s="48">
        <v>42930</v>
      </c>
      <c r="I743" s="48">
        <v>43081</v>
      </c>
      <c r="J743" s="49" t="s">
        <v>3244</v>
      </c>
      <c r="K743" s="58" t="s">
        <v>7</v>
      </c>
      <c r="L743" s="49">
        <v>0</v>
      </c>
      <c r="M743" s="48">
        <v>43082</v>
      </c>
      <c r="N743" s="49" t="s">
        <v>2917</v>
      </c>
      <c r="O743" s="49" t="s">
        <v>7</v>
      </c>
      <c r="P743" s="49">
        <v>0</v>
      </c>
      <c r="Q743" s="51" t="s">
        <v>5002</v>
      </c>
      <c r="R743" s="67" t="e" cm="1">
        <f t="array" ref="R743">_xlfn.CHOOSECOLS(_xlfn.CHOOSEROWS(_xlfn._xlws.FILTER(표2[],표2[DWG No.]=C743,""),1),6)</f>
        <v>#VALUE!</v>
      </c>
      <c r="S743" s="67" t="e" cm="1">
        <f t="array" ref="S743">_xlfn.CHOOSECOLS(_xlfn.CHOOSEROWS(_xlfn._xlws.FILTER(표2[],(표2[DWG No.]=C743)*(ISNUMBER(표2[Rev.])),""),1),6)</f>
        <v>#VALUE!</v>
      </c>
    </row>
    <row r="744" spans="1:19" ht="18" customHeight="1" x14ac:dyDescent="0.45">
      <c r="A744" s="64">
        <v>739</v>
      </c>
      <c r="B744" s="49" t="s">
        <v>2912</v>
      </c>
      <c r="C744" s="50" t="s">
        <v>3245</v>
      </c>
      <c r="D744" s="49">
        <v>165117</v>
      </c>
      <c r="E744" s="50" t="s">
        <v>3246</v>
      </c>
      <c r="F744" s="49" t="s">
        <v>6</v>
      </c>
      <c r="G744" s="48">
        <v>42847</v>
      </c>
      <c r="H744" s="48">
        <v>42877</v>
      </c>
      <c r="I744" s="48">
        <v>42992</v>
      </c>
      <c r="J744" s="49" t="s">
        <v>3110</v>
      </c>
      <c r="K744" s="58" t="s">
        <v>7</v>
      </c>
      <c r="L744" s="49">
        <v>0</v>
      </c>
      <c r="M744" s="48">
        <v>42992</v>
      </c>
      <c r="N744" s="49" t="s">
        <v>2917</v>
      </c>
      <c r="O744" s="49" t="s">
        <v>7</v>
      </c>
      <c r="P744" s="49">
        <v>0</v>
      </c>
      <c r="Q744" s="51" t="s">
        <v>5002</v>
      </c>
      <c r="R744" s="67" t="e" cm="1">
        <f t="array" ref="R744">_xlfn.CHOOSECOLS(_xlfn.CHOOSEROWS(_xlfn._xlws.FILTER(표2[],표2[DWG No.]=C744,""),1),6)</f>
        <v>#VALUE!</v>
      </c>
      <c r="S744" s="67" t="e" cm="1">
        <f t="array" ref="S744">_xlfn.CHOOSECOLS(_xlfn.CHOOSEROWS(_xlfn._xlws.FILTER(표2[],(표2[DWG No.]=C744)*(ISNUMBER(표2[Rev.])),""),1),6)</f>
        <v>#VALUE!</v>
      </c>
    </row>
    <row r="745" spans="1:19" ht="18" customHeight="1" x14ac:dyDescent="0.45">
      <c r="A745" s="64">
        <v>740</v>
      </c>
      <c r="B745" s="49" t="s">
        <v>2912</v>
      </c>
      <c r="C745" s="50" t="s">
        <v>3247</v>
      </c>
      <c r="D745" s="49">
        <v>165118</v>
      </c>
      <c r="E745" s="50" t="s">
        <v>3248</v>
      </c>
      <c r="F745" s="49" t="s">
        <v>6</v>
      </c>
      <c r="G745" s="48">
        <v>42850</v>
      </c>
      <c r="H745" s="48">
        <v>42880</v>
      </c>
      <c r="I745" s="48">
        <v>43024</v>
      </c>
      <c r="J745" s="49" t="s">
        <v>3249</v>
      </c>
      <c r="K745" s="58" t="s">
        <v>7</v>
      </c>
      <c r="L745" s="49">
        <v>0</v>
      </c>
      <c r="M745" s="48">
        <v>43025</v>
      </c>
      <c r="N745" s="49" t="s">
        <v>2917</v>
      </c>
      <c r="O745" s="49" t="s">
        <v>7</v>
      </c>
      <c r="P745" s="49">
        <v>0</v>
      </c>
      <c r="Q745" s="51" t="s">
        <v>5002</v>
      </c>
      <c r="R745" s="67" t="e" cm="1">
        <f t="array" ref="R745">_xlfn.CHOOSECOLS(_xlfn.CHOOSEROWS(_xlfn._xlws.FILTER(표2[],표2[DWG No.]=C745,""),1),6)</f>
        <v>#VALUE!</v>
      </c>
      <c r="S745" s="67" t="e" cm="1">
        <f t="array" ref="S745">_xlfn.CHOOSECOLS(_xlfn.CHOOSEROWS(_xlfn._xlws.FILTER(표2[],(표2[DWG No.]=C745)*(ISNUMBER(표2[Rev.])),""),1),6)</f>
        <v>#VALUE!</v>
      </c>
    </row>
    <row r="746" spans="1:19" ht="18" customHeight="1" x14ac:dyDescent="0.45">
      <c r="A746" s="64">
        <v>741</v>
      </c>
      <c r="B746" s="49" t="s">
        <v>2912</v>
      </c>
      <c r="C746" s="50" t="s">
        <v>3250</v>
      </c>
      <c r="D746" s="49">
        <v>165119</v>
      </c>
      <c r="E746" s="50" t="s">
        <v>3251</v>
      </c>
      <c r="F746" s="49" t="s">
        <v>6</v>
      </c>
      <c r="G746" s="48">
        <v>42851</v>
      </c>
      <c r="H746" s="48">
        <v>42881</v>
      </c>
      <c r="I746" s="48">
        <v>43024</v>
      </c>
      <c r="J746" s="49" t="s">
        <v>3249</v>
      </c>
      <c r="K746" s="58" t="s">
        <v>7</v>
      </c>
      <c r="L746" s="49">
        <v>0</v>
      </c>
      <c r="M746" s="48">
        <v>43025</v>
      </c>
      <c r="N746" s="49" t="s">
        <v>2917</v>
      </c>
      <c r="O746" s="49" t="s">
        <v>7</v>
      </c>
      <c r="P746" s="49">
        <v>0</v>
      </c>
      <c r="Q746" s="51" t="s">
        <v>5002</v>
      </c>
      <c r="R746" s="67" t="e" cm="1">
        <f t="array" ref="R746">_xlfn.CHOOSECOLS(_xlfn.CHOOSEROWS(_xlfn._xlws.FILTER(표2[],표2[DWG No.]=C746,""),1),6)</f>
        <v>#VALUE!</v>
      </c>
      <c r="S746" s="67" t="e" cm="1">
        <f t="array" ref="S746">_xlfn.CHOOSECOLS(_xlfn.CHOOSEROWS(_xlfn._xlws.FILTER(표2[],(표2[DWG No.]=C746)*(ISNUMBER(표2[Rev.])),""),1),6)</f>
        <v>#VALUE!</v>
      </c>
    </row>
    <row r="747" spans="1:19" ht="18" customHeight="1" x14ac:dyDescent="0.45">
      <c r="A747" s="64">
        <v>742</v>
      </c>
      <c r="B747" s="49" t="s">
        <v>2912</v>
      </c>
      <c r="C747" s="50" t="s">
        <v>3252</v>
      </c>
      <c r="D747" s="49">
        <v>165120</v>
      </c>
      <c r="E747" s="50" t="s">
        <v>3253</v>
      </c>
      <c r="F747" s="49" t="s">
        <v>6</v>
      </c>
      <c r="G747" s="48">
        <v>42842</v>
      </c>
      <c r="H747" s="48">
        <v>42872</v>
      </c>
      <c r="I747" s="48">
        <v>43003</v>
      </c>
      <c r="J747" s="49" t="s">
        <v>2953</v>
      </c>
      <c r="K747" s="58" t="s">
        <v>7</v>
      </c>
      <c r="L747" s="49">
        <v>0</v>
      </c>
      <c r="M747" s="48">
        <v>43003</v>
      </c>
      <c r="N747" s="49" t="s">
        <v>2917</v>
      </c>
      <c r="O747" s="49" t="s">
        <v>7</v>
      </c>
      <c r="P747" s="49">
        <v>0</v>
      </c>
      <c r="Q747" s="51" t="s">
        <v>5002</v>
      </c>
      <c r="R747" s="67" t="e" cm="1">
        <f t="array" ref="R747">_xlfn.CHOOSECOLS(_xlfn.CHOOSEROWS(_xlfn._xlws.FILTER(표2[],표2[DWG No.]=C747,""),1),6)</f>
        <v>#VALUE!</v>
      </c>
      <c r="S747" s="67" t="e" cm="1">
        <f t="array" ref="S747">_xlfn.CHOOSECOLS(_xlfn.CHOOSEROWS(_xlfn._xlws.FILTER(표2[],(표2[DWG No.]=C747)*(ISNUMBER(표2[Rev.])),""),1),6)</f>
        <v>#VALUE!</v>
      </c>
    </row>
    <row r="748" spans="1:19" ht="18" customHeight="1" x14ac:dyDescent="0.45">
      <c r="A748" s="64">
        <v>743</v>
      </c>
      <c r="B748" s="49" t="s">
        <v>2912</v>
      </c>
      <c r="C748" s="50" t="s">
        <v>3254</v>
      </c>
      <c r="D748" s="49">
        <v>165121</v>
      </c>
      <c r="E748" s="50" t="s">
        <v>3255</v>
      </c>
      <c r="F748" s="49" t="s">
        <v>6</v>
      </c>
      <c r="G748" s="48">
        <v>42784</v>
      </c>
      <c r="H748" s="48">
        <v>42814</v>
      </c>
      <c r="I748" s="48">
        <v>42782</v>
      </c>
      <c r="J748" s="49" t="s">
        <v>3256</v>
      </c>
      <c r="K748" s="58" t="s">
        <v>5</v>
      </c>
      <c r="L748" s="49" t="s">
        <v>65</v>
      </c>
      <c r="M748" s="48">
        <v>42821</v>
      </c>
      <c r="N748" s="49" t="s">
        <v>3257</v>
      </c>
      <c r="O748" s="49" t="s">
        <v>6</v>
      </c>
      <c r="P748" s="49" t="s">
        <v>65</v>
      </c>
      <c r="Q748" s="49" t="s">
        <v>2702</v>
      </c>
      <c r="R748" s="67" t="e" cm="1">
        <f t="array" ref="R748">_xlfn.CHOOSECOLS(_xlfn.CHOOSEROWS(_xlfn._xlws.FILTER(표2[],표2[DWG No.]=C748,""),1),6)</f>
        <v>#VALUE!</v>
      </c>
      <c r="S748" s="67" t="e" cm="1">
        <f t="array" ref="S748">_xlfn.CHOOSECOLS(_xlfn.CHOOSEROWS(_xlfn._xlws.FILTER(표2[],(표2[DWG No.]=C748)*(ISNUMBER(표2[Rev.])),""),1),6)</f>
        <v>#VALUE!</v>
      </c>
    </row>
    <row r="749" spans="1:19" ht="18" customHeight="1" x14ac:dyDescent="0.45">
      <c r="A749" s="64">
        <v>744</v>
      </c>
      <c r="B749" s="49" t="s">
        <v>2912</v>
      </c>
      <c r="C749" s="50" t="s">
        <v>3258</v>
      </c>
      <c r="D749" s="49">
        <v>165123</v>
      </c>
      <c r="E749" s="50" t="s">
        <v>3259</v>
      </c>
      <c r="F749" s="49" t="s">
        <v>6</v>
      </c>
      <c r="G749" s="48">
        <v>42841</v>
      </c>
      <c r="H749" s="48">
        <v>42871</v>
      </c>
      <c r="I749" s="48">
        <v>43003</v>
      </c>
      <c r="J749" s="49" t="s">
        <v>2953</v>
      </c>
      <c r="K749" s="58" t="s">
        <v>7</v>
      </c>
      <c r="L749" s="49">
        <v>0</v>
      </c>
      <c r="M749" s="48">
        <v>43003</v>
      </c>
      <c r="N749" s="49" t="s">
        <v>2917</v>
      </c>
      <c r="O749" s="49" t="s">
        <v>7</v>
      </c>
      <c r="P749" s="49">
        <v>0</v>
      </c>
      <c r="Q749" s="51" t="s">
        <v>5002</v>
      </c>
      <c r="R749" s="67" t="e" cm="1">
        <f t="array" ref="R749">_xlfn.CHOOSECOLS(_xlfn.CHOOSEROWS(_xlfn._xlws.FILTER(표2[],표2[DWG No.]=C749,""),1),6)</f>
        <v>#VALUE!</v>
      </c>
      <c r="S749" s="67" t="e" cm="1">
        <f t="array" ref="S749">_xlfn.CHOOSECOLS(_xlfn.CHOOSEROWS(_xlfn._xlws.FILTER(표2[],(표2[DWG No.]=C749)*(ISNUMBER(표2[Rev.])),""),1),6)</f>
        <v>#VALUE!</v>
      </c>
    </row>
    <row r="750" spans="1:19" ht="18" customHeight="1" x14ac:dyDescent="0.45">
      <c r="A750" s="64">
        <v>745</v>
      </c>
      <c r="B750" s="49" t="s">
        <v>2912</v>
      </c>
      <c r="C750" s="50" t="s">
        <v>3260</v>
      </c>
      <c r="D750" s="49">
        <v>165124</v>
      </c>
      <c r="E750" s="50" t="s">
        <v>3261</v>
      </c>
      <c r="F750" s="49" t="s">
        <v>6</v>
      </c>
      <c r="G750" s="48">
        <v>42847</v>
      </c>
      <c r="H750" s="48">
        <v>42877</v>
      </c>
      <c r="I750" s="61">
        <v>43152</v>
      </c>
      <c r="J750" s="51" t="s">
        <v>3205</v>
      </c>
      <c r="K750" s="58" t="s">
        <v>7</v>
      </c>
      <c r="L750" s="49">
        <v>3</v>
      </c>
      <c r="M750" s="61">
        <v>43152</v>
      </c>
      <c r="N750" s="51" t="s">
        <v>3206</v>
      </c>
      <c r="O750" s="49" t="s">
        <v>7</v>
      </c>
      <c r="P750" s="51">
        <v>3</v>
      </c>
      <c r="Q750" s="51" t="s">
        <v>5002</v>
      </c>
      <c r="R750" s="67" t="e" cm="1">
        <f t="array" ref="R750">_xlfn.CHOOSECOLS(_xlfn.CHOOSEROWS(_xlfn._xlws.FILTER(표2[],표2[DWG No.]=C750,""),1),6)</f>
        <v>#VALUE!</v>
      </c>
      <c r="S750" s="67" t="e" cm="1">
        <f t="array" ref="S750">_xlfn.CHOOSECOLS(_xlfn.CHOOSEROWS(_xlfn._xlws.FILTER(표2[],(표2[DWG No.]=C750)*(ISNUMBER(표2[Rev.])),""),1),6)</f>
        <v>#VALUE!</v>
      </c>
    </row>
    <row r="751" spans="1:19" ht="18" customHeight="1" x14ac:dyDescent="0.45">
      <c r="A751" s="64">
        <v>746</v>
      </c>
      <c r="B751" s="49" t="s">
        <v>2912</v>
      </c>
      <c r="C751" s="50" t="s">
        <v>3262</v>
      </c>
      <c r="D751" s="49">
        <v>165125</v>
      </c>
      <c r="E751" s="50" t="s">
        <v>3263</v>
      </c>
      <c r="F751" s="49" t="s">
        <v>6</v>
      </c>
      <c r="G751" s="48">
        <v>42850</v>
      </c>
      <c r="H751" s="48">
        <v>42880</v>
      </c>
      <c r="I751" s="48">
        <v>42955</v>
      </c>
      <c r="J751" s="49" t="s">
        <v>3197</v>
      </c>
      <c r="K751" s="58" t="s">
        <v>7</v>
      </c>
      <c r="L751" s="49">
        <v>0</v>
      </c>
      <c r="M751" s="48">
        <v>42955</v>
      </c>
      <c r="N751" s="49" t="s">
        <v>2917</v>
      </c>
      <c r="O751" s="49" t="s">
        <v>7</v>
      </c>
      <c r="P751" s="49">
        <v>0</v>
      </c>
      <c r="Q751" s="51" t="s">
        <v>5002</v>
      </c>
      <c r="R751" s="67" t="e" cm="1">
        <f t="array" ref="R751">_xlfn.CHOOSECOLS(_xlfn.CHOOSEROWS(_xlfn._xlws.FILTER(표2[],표2[DWG No.]=C751,""),1),6)</f>
        <v>#VALUE!</v>
      </c>
      <c r="S751" s="67" t="e" cm="1">
        <f t="array" ref="S751">_xlfn.CHOOSECOLS(_xlfn.CHOOSEROWS(_xlfn._xlws.FILTER(표2[],(표2[DWG No.]=C751)*(ISNUMBER(표2[Rev.])),""),1),6)</f>
        <v>#VALUE!</v>
      </c>
    </row>
    <row r="752" spans="1:19" ht="18" customHeight="1" x14ac:dyDescent="0.45">
      <c r="A752" s="64">
        <v>747</v>
      </c>
      <c r="B752" s="49" t="s">
        <v>2912</v>
      </c>
      <c r="C752" s="50" t="s">
        <v>3264</v>
      </c>
      <c r="D752" s="49">
        <v>165126</v>
      </c>
      <c r="E752" s="50" t="s">
        <v>3265</v>
      </c>
      <c r="F752" s="49" t="s">
        <v>6</v>
      </c>
      <c r="G752" s="48">
        <v>42900</v>
      </c>
      <c r="H752" s="48">
        <v>42930</v>
      </c>
      <c r="I752" s="48">
        <v>42996</v>
      </c>
      <c r="J752" s="49" t="s">
        <v>3158</v>
      </c>
      <c r="K752" s="58" t="s">
        <v>7</v>
      </c>
      <c r="L752" s="49">
        <v>0</v>
      </c>
      <c r="M752" s="48">
        <v>42996</v>
      </c>
      <c r="N752" s="49" t="s">
        <v>2917</v>
      </c>
      <c r="O752" s="49" t="s">
        <v>7</v>
      </c>
      <c r="P752" s="49">
        <v>0</v>
      </c>
      <c r="Q752" s="51" t="s">
        <v>5002</v>
      </c>
      <c r="R752" s="67" t="e" cm="1">
        <f t="array" ref="R752">_xlfn.CHOOSECOLS(_xlfn.CHOOSEROWS(_xlfn._xlws.FILTER(표2[],표2[DWG No.]=C752,""),1),6)</f>
        <v>#VALUE!</v>
      </c>
      <c r="S752" s="67" t="e" cm="1">
        <f t="array" ref="S752">_xlfn.CHOOSECOLS(_xlfn.CHOOSEROWS(_xlfn._xlws.FILTER(표2[],(표2[DWG No.]=C752)*(ISNUMBER(표2[Rev.])),""),1),6)</f>
        <v>#VALUE!</v>
      </c>
    </row>
    <row r="753" spans="1:19" ht="18" customHeight="1" x14ac:dyDescent="0.45">
      <c r="A753" s="64">
        <v>748</v>
      </c>
      <c r="B753" s="49" t="s">
        <v>2912</v>
      </c>
      <c r="C753" s="50" t="s">
        <v>3266</v>
      </c>
      <c r="D753" s="49">
        <v>175127</v>
      </c>
      <c r="E753" s="50" t="s">
        <v>3267</v>
      </c>
      <c r="F753" s="49" t="s">
        <v>6</v>
      </c>
      <c r="G753" s="48">
        <v>42789</v>
      </c>
      <c r="H753" s="48">
        <v>42819</v>
      </c>
      <c r="I753" s="48">
        <v>43031</v>
      </c>
      <c r="J753" s="49" t="s">
        <v>3145</v>
      </c>
      <c r="K753" s="58" t="s">
        <v>7</v>
      </c>
      <c r="L753" s="49">
        <v>0</v>
      </c>
      <c r="M753" s="48">
        <v>43032</v>
      </c>
      <c r="N753" s="49" t="s">
        <v>2917</v>
      </c>
      <c r="O753" s="49" t="s">
        <v>7</v>
      </c>
      <c r="P753" s="49">
        <v>0</v>
      </c>
      <c r="Q753" s="51" t="s">
        <v>5002</v>
      </c>
      <c r="R753" s="67" t="e" cm="1">
        <f t="array" ref="R753">_xlfn.CHOOSECOLS(_xlfn.CHOOSEROWS(_xlfn._xlws.FILTER(표2[],표2[DWG No.]=C753,""),1),6)</f>
        <v>#VALUE!</v>
      </c>
      <c r="S753" s="67" t="e" cm="1">
        <f t="array" ref="S753">_xlfn.CHOOSECOLS(_xlfn.CHOOSEROWS(_xlfn._xlws.FILTER(표2[],(표2[DWG No.]=C753)*(ISNUMBER(표2[Rev.])),""),1),6)</f>
        <v>#VALUE!</v>
      </c>
    </row>
    <row r="754" spans="1:19" ht="18" customHeight="1" x14ac:dyDescent="0.45">
      <c r="A754" s="64">
        <v>749</v>
      </c>
      <c r="B754" s="49" t="s">
        <v>2912</v>
      </c>
      <c r="C754" s="50" t="s">
        <v>3268</v>
      </c>
      <c r="D754" s="49">
        <v>115136</v>
      </c>
      <c r="E754" s="50" t="s">
        <v>3269</v>
      </c>
      <c r="F754" s="49" t="s">
        <v>6</v>
      </c>
      <c r="G754" s="48">
        <v>42769</v>
      </c>
      <c r="H754" s="48">
        <v>42799</v>
      </c>
      <c r="I754" s="48">
        <v>43039</v>
      </c>
      <c r="J754" s="49" t="s">
        <v>3092</v>
      </c>
      <c r="K754" s="58" t="s">
        <v>7</v>
      </c>
      <c r="L754" s="49">
        <v>0</v>
      </c>
      <c r="M754" s="48">
        <v>43039</v>
      </c>
      <c r="N754" s="49" t="s">
        <v>2917</v>
      </c>
      <c r="O754" s="49" t="s">
        <v>7</v>
      </c>
      <c r="P754" s="49">
        <v>0</v>
      </c>
      <c r="Q754" s="51" t="s">
        <v>5002</v>
      </c>
      <c r="R754" s="67" t="e" cm="1">
        <f t="array" ref="R754">_xlfn.CHOOSECOLS(_xlfn.CHOOSEROWS(_xlfn._xlws.FILTER(표2[],표2[DWG No.]=C754,""),1),6)</f>
        <v>#VALUE!</v>
      </c>
      <c r="S754" s="67" t="e" cm="1">
        <f t="array" ref="S754">_xlfn.CHOOSECOLS(_xlfn.CHOOSEROWS(_xlfn._xlws.FILTER(표2[],(표2[DWG No.]=C754)*(ISNUMBER(표2[Rev.])),""),1),6)</f>
        <v>#VALUE!</v>
      </c>
    </row>
    <row r="755" spans="1:19" ht="18" customHeight="1" x14ac:dyDescent="0.45">
      <c r="A755" s="64">
        <v>750</v>
      </c>
      <c r="B755" s="49" t="s">
        <v>2912</v>
      </c>
      <c r="C755" s="50" t="s">
        <v>3270</v>
      </c>
      <c r="D755" s="49">
        <v>115137</v>
      </c>
      <c r="E755" s="50" t="s">
        <v>3271</v>
      </c>
      <c r="F755" s="49" t="s">
        <v>6</v>
      </c>
      <c r="G755" s="48">
        <v>42776</v>
      </c>
      <c r="H755" s="48">
        <v>42806</v>
      </c>
      <c r="I755" s="48">
        <v>43003</v>
      </c>
      <c r="J755" s="49" t="s">
        <v>2953</v>
      </c>
      <c r="K755" s="58" t="s">
        <v>7</v>
      </c>
      <c r="L755" s="49">
        <v>0</v>
      </c>
      <c r="M755" s="48">
        <v>43003</v>
      </c>
      <c r="N755" s="49" t="s">
        <v>2917</v>
      </c>
      <c r="O755" s="49" t="s">
        <v>7</v>
      </c>
      <c r="P755" s="49">
        <v>0</v>
      </c>
      <c r="Q755" s="51" t="s">
        <v>5002</v>
      </c>
      <c r="R755" s="67" t="e" cm="1">
        <f t="array" ref="R755">_xlfn.CHOOSECOLS(_xlfn.CHOOSEROWS(_xlfn._xlws.FILTER(표2[],표2[DWG No.]=C755,""),1),6)</f>
        <v>#VALUE!</v>
      </c>
      <c r="S755" s="67" t="e" cm="1">
        <f t="array" ref="S755">_xlfn.CHOOSECOLS(_xlfn.CHOOSEROWS(_xlfn._xlws.FILTER(표2[],(표2[DWG No.]=C755)*(ISNUMBER(표2[Rev.])),""),1),6)</f>
        <v>#VALUE!</v>
      </c>
    </row>
    <row r="756" spans="1:19" ht="18" customHeight="1" x14ac:dyDescent="0.45">
      <c r="A756" s="64">
        <v>751</v>
      </c>
      <c r="B756" s="49" t="s">
        <v>2912</v>
      </c>
      <c r="C756" s="50" t="s">
        <v>3272</v>
      </c>
      <c r="D756" s="49">
        <v>125139</v>
      </c>
      <c r="E756" s="50" t="s">
        <v>3273</v>
      </c>
      <c r="F756" s="49" t="s">
        <v>6</v>
      </c>
      <c r="G756" s="48">
        <v>42931</v>
      </c>
      <c r="H756" s="48">
        <v>42961</v>
      </c>
      <c r="I756" s="48">
        <v>43539</v>
      </c>
      <c r="J756" s="49" t="s">
        <v>3274</v>
      </c>
      <c r="K756" s="58" t="s">
        <v>7</v>
      </c>
      <c r="L756" s="49">
        <v>1</v>
      </c>
      <c r="M756" s="61">
        <v>43539</v>
      </c>
      <c r="N756" s="71" t="s">
        <v>3275</v>
      </c>
      <c r="O756" s="49" t="s">
        <v>7</v>
      </c>
      <c r="P756" s="49">
        <v>1</v>
      </c>
      <c r="Q756" s="51" t="s">
        <v>5002</v>
      </c>
      <c r="R756" s="67" t="e" cm="1">
        <f t="array" ref="R756">_xlfn.CHOOSECOLS(_xlfn.CHOOSEROWS(_xlfn._xlws.FILTER(표2[],표2[DWG No.]=C756,""),1),6)</f>
        <v>#VALUE!</v>
      </c>
      <c r="S756" s="67" t="e" cm="1">
        <f t="array" ref="S756">_xlfn.CHOOSECOLS(_xlfn.CHOOSEROWS(_xlfn._xlws.FILTER(표2[],(표2[DWG No.]=C756)*(ISNUMBER(표2[Rev.])),""),1),6)</f>
        <v>#VALUE!</v>
      </c>
    </row>
    <row r="757" spans="1:19" ht="18" customHeight="1" x14ac:dyDescent="0.45">
      <c r="A757" s="64">
        <v>752</v>
      </c>
      <c r="B757" s="49" t="s">
        <v>2912</v>
      </c>
      <c r="C757" s="50" t="s">
        <v>3276</v>
      </c>
      <c r="D757" s="49">
        <v>125140</v>
      </c>
      <c r="E757" s="50" t="s">
        <v>3277</v>
      </c>
      <c r="F757" s="49" t="s">
        <v>6</v>
      </c>
      <c r="G757" s="48">
        <v>42931</v>
      </c>
      <c r="H757" s="48">
        <v>42961</v>
      </c>
      <c r="I757" s="48">
        <v>43539</v>
      </c>
      <c r="J757" s="49" t="s">
        <v>3274</v>
      </c>
      <c r="K757" s="58" t="s">
        <v>7</v>
      </c>
      <c r="L757" s="49">
        <v>1</v>
      </c>
      <c r="M757" s="48">
        <v>43539</v>
      </c>
      <c r="N757" s="49" t="s">
        <v>3275</v>
      </c>
      <c r="O757" s="49" t="s">
        <v>7</v>
      </c>
      <c r="P757" s="49">
        <v>1</v>
      </c>
      <c r="Q757" s="51" t="s">
        <v>5002</v>
      </c>
      <c r="R757" s="67" t="e" cm="1">
        <f t="array" ref="R757">_xlfn.CHOOSECOLS(_xlfn.CHOOSEROWS(_xlfn._xlws.FILTER(표2[],표2[DWG No.]=C757,""),1),6)</f>
        <v>#VALUE!</v>
      </c>
      <c r="S757" s="67" t="e" cm="1">
        <f t="array" ref="S757">_xlfn.CHOOSECOLS(_xlfn.CHOOSEROWS(_xlfn._xlws.FILTER(표2[],(표2[DWG No.]=C757)*(ISNUMBER(표2[Rev.])),""),1),6)</f>
        <v>#VALUE!</v>
      </c>
    </row>
    <row r="758" spans="1:19" ht="18" customHeight="1" x14ac:dyDescent="0.45">
      <c r="A758" s="64">
        <v>753</v>
      </c>
      <c r="B758" s="49" t="s">
        <v>2912</v>
      </c>
      <c r="C758" s="50" t="s">
        <v>3278</v>
      </c>
      <c r="D758" s="49">
        <v>125141</v>
      </c>
      <c r="E758" s="50" t="s">
        <v>3279</v>
      </c>
      <c r="F758" s="49" t="s">
        <v>6</v>
      </c>
      <c r="G758" s="48">
        <v>42931</v>
      </c>
      <c r="H758" s="48">
        <v>42961</v>
      </c>
      <c r="I758" s="48">
        <v>43539</v>
      </c>
      <c r="J758" s="49" t="s">
        <v>3274</v>
      </c>
      <c r="K758" s="58" t="s">
        <v>7</v>
      </c>
      <c r="L758" s="49">
        <v>1</v>
      </c>
      <c r="M758" s="48">
        <v>43539</v>
      </c>
      <c r="N758" s="49" t="s">
        <v>3275</v>
      </c>
      <c r="O758" s="49" t="s">
        <v>7</v>
      </c>
      <c r="P758" s="49">
        <v>1</v>
      </c>
      <c r="Q758" s="51" t="s">
        <v>5002</v>
      </c>
      <c r="R758" s="67" t="e" cm="1">
        <f t="array" ref="R758">_xlfn.CHOOSECOLS(_xlfn.CHOOSEROWS(_xlfn._xlws.FILTER(표2[],표2[DWG No.]=C758,""),1),6)</f>
        <v>#VALUE!</v>
      </c>
      <c r="S758" s="67" t="e" cm="1">
        <f t="array" ref="S758">_xlfn.CHOOSECOLS(_xlfn.CHOOSEROWS(_xlfn._xlws.FILTER(표2[],(표2[DWG No.]=C758)*(ISNUMBER(표2[Rev.])),""),1),6)</f>
        <v>#VALUE!</v>
      </c>
    </row>
    <row r="759" spans="1:19" ht="18" customHeight="1" x14ac:dyDescent="0.45">
      <c r="A759" s="64">
        <v>754</v>
      </c>
      <c r="B759" s="49" t="s">
        <v>2912</v>
      </c>
      <c r="C759" s="50" t="s">
        <v>3280</v>
      </c>
      <c r="D759" s="49">
        <v>125142</v>
      </c>
      <c r="E759" s="50" t="s">
        <v>3281</v>
      </c>
      <c r="F759" s="49" t="s">
        <v>6</v>
      </c>
      <c r="G759" s="48">
        <v>42777</v>
      </c>
      <c r="H759" s="48">
        <v>42807</v>
      </c>
      <c r="I759" s="48">
        <v>42864</v>
      </c>
      <c r="J759" s="49" t="s">
        <v>2973</v>
      </c>
      <c r="K759" s="58" t="s">
        <v>7</v>
      </c>
      <c r="L759" s="49">
        <v>0</v>
      </c>
      <c r="M759" s="48">
        <v>42870</v>
      </c>
      <c r="N759" s="49" t="s">
        <v>2917</v>
      </c>
      <c r="O759" s="49" t="s">
        <v>7</v>
      </c>
      <c r="P759" s="49">
        <v>0</v>
      </c>
      <c r="Q759" s="51" t="s">
        <v>5002</v>
      </c>
      <c r="R759" s="67" t="e" cm="1">
        <f t="array" ref="R759">_xlfn.CHOOSECOLS(_xlfn.CHOOSEROWS(_xlfn._xlws.FILTER(표2[],표2[DWG No.]=C759,""),1),6)</f>
        <v>#VALUE!</v>
      </c>
      <c r="S759" s="67" t="e" cm="1">
        <f t="array" ref="S759">_xlfn.CHOOSECOLS(_xlfn.CHOOSEROWS(_xlfn._xlws.FILTER(표2[],(표2[DWG No.]=C759)*(ISNUMBER(표2[Rev.])),""),1),6)</f>
        <v>#VALUE!</v>
      </c>
    </row>
    <row r="760" spans="1:19" ht="18" customHeight="1" x14ac:dyDescent="0.45">
      <c r="A760" s="64">
        <v>755</v>
      </c>
      <c r="B760" s="49" t="s">
        <v>2912</v>
      </c>
      <c r="C760" s="50" t="s">
        <v>3282</v>
      </c>
      <c r="D760" s="49">
        <v>145145</v>
      </c>
      <c r="E760" s="50" t="s">
        <v>3283</v>
      </c>
      <c r="F760" s="49" t="s">
        <v>6</v>
      </c>
      <c r="G760" s="48">
        <v>42769</v>
      </c>
      <c r="H760" s="48">
        <v>42799</v>
      </c>
      <c r="I760" s="48">
        <v>42985</v>
      </c>
      <c r="J760" s="49" t="s">
        <v>2998</v>
      </c>
      <c r="K760" s="58" t="s">
        <v>7</v>
      </c>
      <c r="L760" s="49">
        <v>0</v>
      </c>
      <c r="M760" s="48">
        <v>42985</v>
      </c>
      <c r="N760" s="49" t="s">
        <v>2917</v>
      </c>
      <c r="O760" s="49" t="s">
        <v>7</v>
      </c>
      <c r="P760" s="49">
        <v>0</v>
      </c>
      <c r="Q760" s="51" t="s">
        <v>5002</v>
      </c>
      <c r="R760" s="67" t="e" cm="1">
        <f t="array" ref="R760">_xlfn.CHOOSECOLS(_xlfn.CHOOSEROWS(_xlfn._xlws.FILTER(표2[],표2[DWG No.]=C760,""),1),6)</f>
        <v>#VALUE!</v>
      </c>
      <c r="S760" s="67" t="e" cm="1">
        <f t="array" ref="S760">_xlfn.CHOOSECOLS(_xlfn.CHOOSEROWS(_xlfn._xlws.FILTER(표2[],(표2[DWG No.]=C760)*(ISNUMBER(표2[Rev.])),""),1),6)</f>
        <v>#VALUE!</v>
      </c>
    </row>
    <row r="761" spans="1:19" ht="18" customHeight="1" x14ac:dyDescent="0.45">
      <c r="A761" s="64">
        <v>756</v>
      </c>
      <c r="B761" s="49" t="s">
        <v>2912</v>
      </c>
      <c r="C761" s="50" t="s">
        <v>3284</v>
      </c>
      <c r="D761" s="49">
        <v>145146</v>
      </c>
      <c r="E761" s="50" t="s">
        <v>3285</v>
      </c>
      <c r="F761" s="49" t="s">
        <v>6</v>
      </c>
      <c r="G761" s="48">
        <v>42769</v>
      </c>
      <c r="H761" s="48">
        <v>42799</v>
      </c>
      <c r="I761" s="48">
        <v>42985</v>
      </c>
      <c r="J761" s="49" t="s">
        <v>2998</v>
      </c>
      <c r="K761" s="58" t="s">
        <v>7</v>
      </c>
      <c r="L761" s="49">
        <v>0</v>
      </c>
      <c r="M761" s="48">
        <v>42985</v>
      </c>
      <c r="N761" s="49" t="s">
        <v>2917</v>
      </c>
      <c r="O761" s="49" t="s">
        <v>7</v>
      </c>
      <c r="P761" s="49">
        <v>0</v>
      </c>
      <c r="Q761" s="51" t="s">
        <v>5002</v>
      </c>
      <c r="R761" s="67" t="e" cm="1">
        <f t="array" ref="R761">_xlfn.CHOOSECOLS(_xlfn.CHOOSEROWS(_xlfn._xlws.FILTER(표2[],표2[DWG No.]=C761,""),1),6)</f>
        <v>#VALUE!</v>
      </c>
      <c r="S761" s="67" t="e" cm="1">
        <f t="array" ref="S761">_xlfn.CHOOSECOLS(_xlfn.CHOOSEROWS(_xlfn._xlws.FILTER(표2[],(표2[DWG No.]=C761)*(ISNUMBER(표2[Rev.])),""),1),6)</f>
        <v>#VALUE!</v>
      </c>
    </row>
    <row r="762" spans="1:19" ht="18" customHeight="1" x14ac:dyDescent="0.45">
      <c r="A762" s="64">
        <v>757</v>
      </c>
      <c r="B762" s="49" t="s">
        <v>2912</v>
      </c>
      <c r="C762" s="50" t="s">
        <v>3286</v>
      </c>
      <c r="D762" s="49">
        <v>155147</v>
      </c>
      <c r="E762" s="50" t="s">
        <v>3287</v>
      </c>
      <c r="F762" s="49" t="s">
        <v>6</v>
      </c>
      <c r="G762" s="48">
        <v>42769</v>
      </c>
      <c r="H762" s="48">
        <v>42799</v>
      </c>
      <c r="I762" s="48">
        <v>42970</v>
      </c>
      <c r="J762" s="49" t="s">
        <v>3178</v>
      </c>
      <c r="K762" s="58" t="s">
        <v>7</v>
      </c>
      <c r="L762" s="49">
        <v>0</v>
      </c>
      <c r="M762" s="48">
        <v>42970</v>
      </c>
      <c r="N762" s="49" t="s">
        <v>2917</v>
      </c>
      <c r="O762" s="49" t="s">
        <v>7</v>
      </c>
      <c r="P762" s="49">
        <v>0</v>
      </c>
      <c r="Q762" s="51" t="s">
        <v>5002</v>
      </c>
      <c r="R762" s="67" t="e" cm="1">
        <f t="array" ref="R762">_xlfn.CHOOSECOLS(_xlfn.CHOOSEROWS(_xlfn._xlws.FILTER(표2[],표2[DWG No.]=C762,""),1),6)</f>
        <v>#VALUE!</v>
      </c>
      <c r="S762" s="67" t="e" cm="1">
        <f t="array" ref="S762">_xlfn.CHOOSECOLS(_xlfn.CHOOSEROWS(_xlfn._xlws.FILTER(표2[],(표2[DWG No.]=C762)*(ISNUMBER(표2[Rev.])),""),1),6)</f>
        <v>#VALUE!</v>
      </c>
    </row>
    <row r="763" spans="1:19" ht="18" customHeight="1" x14ac:dyDescent="0.45">
      <c r="A763" s="64">
        <v>758</v>
      </c>
      <c r="B763" s="49" t="s">
        <v>2912</v>
      </c>
      <c r="C763" s="50" t="s">
        <v>3288</v>
      </c>
      <c r="D763" s="49">
        <v>155148</v>
      </c>
      <c r="E763" s="50" t="s">
        <v>3289</v>
      </c>
      <c r="F763" s="49" t="s">
        <v>6</v>
      </c>
      <c r="G763" s="48">
        <v>42769</v>
      </c>
      <c r="H763" s="48">
        <v>42799</v>
      </c>
      <c r="I763" s="48">
        <v>42970</v>
      </c>
      <c r="J763" s="49" t="s">
        <v>3178</v>
      </c>
      <c r="K763" s="58" t="s">
        <v>7</v>
      </c>
      <c r="L763" s="49">
        <v>0</v>
      </c>
      <c r="M763" s="48">
        <v>42970</v>
      </c>
      <c r="N763" s="49" t="s">
        <v>2917</v>
      </c>
      <c r="O763" s="49" t="s">
        <v>7</v>
      </c>
      <c r="P763" s="49">
        <v>0</v>
      </c>
      <c r="Q763" s="51" t="s">
        <v>5002</v>
      </c>
      <c r="R763" s="67" t="e" cm="1">
        <f t="array" ref="R763">_xlfn.CHOOSECOLS(_xlfn.CHOOSEROWS(_xlfn._xlws.FILTER(표2[],표2[DWG No.]=C763,""),1),6)</f>
        <v>#VALUE!</v>
      </c>
      <c r="S763" s="67" t="e" cm="1">
        <f t="array" ref="S763">_xlfn.CHOOSECOLS(_xlfn.CHOOSEROWS(_xlfn._xlws.FILTER(표2[],(표2[DWG No.]=C763)*(ISNUMBER(표2[Rev.])),""),1),6)</f>
        <v>#VALUE!</v>
      </c>
    </row>
    <row r="764" spans="1:19" ht="18" customHeight="1" x14ac:dyDescent="0.45">
      <c r="A764" s="64">
        <v>759</v>
      </c>
      <c r="B764" s="49" t="s">
        <v>2912</v>
      </c>
      <c r="C764" s="50" t="s">
        <v>3290</v>
      </c>
      <c r="D764" s="49">
        <v>155149</v>
      </c>
      <c r="E764" s="50" t="s">
        <v>3291</v>
      </c>
      <c r="F764" s="49" t="s">
        <v>6</v>
      </c>
      <c r="G764" s="48">
        <v>42769</v>
      </c>
      <c r="H764" s="48">
        <v>42799</v>
      </c>
      <c r="I764" s="48">
        <v>42970</v>
      </c>
      <c r="J764" s="49" t="s">
        <v>3178</v>
      </c>
      <c r="K764" s="58" t="s">
        <v>7</v>
      </c>
      <c r="L764" s="49">
        <v>0</v>
      </c>
      <c r="M764" s="48">
        <v>42970</v>
      </c>
      <c r="N764" s="49" t="s">
        <v>2917</v>
      </c>
      <c r="O764" s="49" t="s">
        <v>7</v>
      </c>
      <c r="P764" s="49">
        <v>0</v>
      </c>
      <c r="Q764" s="51" t="s">
        <v>5002</v>
      </c>
      <c r="R764" s="67" t="e" cm="1">
        <f t="array" ref="R764">_xlfn.CHOOSECOLS(_xlfn.CHOOSEROWS(_xlfn._xlws.FILTER(표2[],표2[DWG No.]=C764,""),1),6)</f>
        <v>#VALUE!</v>
      </c>
      <c r="S764" s="67" t="e" cm="1">
        <f t="array" ref="S764">_xlfn.CHOOSECOLS(_xlfn.CHOOSEROWS(_xlfn._xlws.FILTER(표2[],(표2[DWG No.]=C764)*(ISNUMBER(표2[Rev.])),""),1),6)</f>
        <v>#VALUE!</v>
      </c>
    </row>
    <row r="765" spans="1:19" ht="18" customHeight="1" x14ac:dyDescent="0.45">
      <c r="A765" s="64">
        <v>760</v>
      </c>
      <c r="B765" s="49" t="s">
        <v>2912</v>
      </c>
      <c r="C765" s="50" t="s">
        <v>3292</v>
      </c>
      <c r="D765" s="49">
        <v>155001</v>
      </c>
      <c r="E765" s="50" t="s">
        <v>3293</v>
      </c>
      <c r="F765" s="49" t="s">
        <v>6</v>
      </c>
      <c r="G765" s="48">
        <v>42769</v>
      </c>
      <c r="H765" s="48">
        <v>42799</v>
      </c>
      <c r="I765" s="48">
        <v>42970</v>
      </c>
      <c r="J765" s="49" t="s">
        <v>3178</v>
      </c>
      <c r="K765" s="58" t="s">
        <v>7</v>
      </c>
      <c r="L765" s="49">
        <v>0</v>
      </c>
      <c r="M765" s="48">
        <v>42970</v>
      </c>
      <c r="N765" s="49" t="s">
        <v>2917</v>
      </c>
      <c r="O765" s="49" t="s">
        <v>7</v>
      </c>
      <c r="P765" s="49">
        <v>0</v>
      </c>
      <c r="Q765" s="51" t="s">
        <v>5002</v>
      </c>
      <c r="R765" s="67" t="e" cm="1">
        <f t="array" ref="R765">_xlfn.CHOOSECOLS(_xlfn.CHOOSEROWS(_xlfn._xlws.FILTER(표2[],표2[DWG No.]=C765,""),1),6)</f>
        <v>#VALUE!</v>
      </c>
      <c r="S765" s="67" t="e" cm="1">
        <f t="array" ref="S765">_xlfn.CHOOSECOLS(_xlfn.CHOOSEROWS(_xlfn._xlws.FILTER(표2[],(표2[DWG No.]=C765)*(ISNUMBER(표2[Rev.])),""),1),6)</f>
        <v>#VALUE!</v>
      </c>
    </row>
    <row r="766" spans="1:19" ht="18" customHeight="1" x14ac:dyDescent="0.45">
      <c r="A766" s="64">
        <v>761</v>
      </c>
      <c r="B766" s="49" t="s">
        <v>2912</v>
      </c>
      <c r="C766" s="50" t="s">
        <v>3294</v>
      </c>
      <c r="D766" s="49">
        <v>155151</v>
      </c>
      <c r="E766" s="50" t="s">
        <v>3295</v>
      </c>
      <c r="F766" s="49" t="s">
        <v>6</v>
      </c>
      <c r="G766" s="48">
        <v>42769</v>
      </c>
      <c r="H766" s="48">
        <v>42799</v>
      </c>
      <c r="I766" s="48">
        <v>42970</v>
      </c>
      <c r="J766" s="49" t="s">
        <v>3178</v>
      </c>
      <c r="K766" s="58" t="s">
        <v>7</v>
      </c>
      <c r="L766" s="49">
        <v>0</v>
      </c>
      <c r="M766" s="48">
        <v>42970</v>
      </c>
      <c r="N766" s="49" t="s">
        <v>2917</v>
      </c>
      <c r="O766" s="49" t="s">
        <v>7</v>
      </c>
      <c r="P766" s="49">
        <v>0</v>
      </c>
      <c r="Q766" s="51" t="s">
        <v>5002</v>
      </c>
      <c r="R766" s="67" t="e" cm="1">
        <f t="array" ref="R766">_xlfn.CHOOSECOLS(_xlfn.CHOOSEROWS(_xlfn._xlws.FILTER(표2[],표2[DWG No.]=C766,""),1),6)</f>
        <v>#VALUE!</v>
      </c>
      <c r="S766" s="67" t="e" cm="1">
        <f t="array" ref="S766">_xlfn.CHOOSECOLS(_xlfn.CHOOSEROWS(_xlfn._xlws.FILTER(표2[],(표2[DWG No.]=C766)*(ISNUMBER(표2[Rev.])),""),1),6)</f>
        <v>#VALUE!</v>
      </c>
    </row>
    <row r="767" spans="1:19" ht="18" customHeight="1" x14ac:dyDescent="0.45">
      <c r="A767" s="64">
        <v>762</v>
      </c>
      <c r="B767" s="49" t="s">
        <v>2912</v>
      </c>
      <c r="C767" s="50" t="s">
        <v>3296</v>
      </c>
      <c r="D767" s="49">
        <v>155152</v>
      </c>
      <c r="E767" s="50" t="s">
        <v>3297</v>
      </c>
      <c r="F767" s="49" t="s">
        <v>6</v>
      </c>
      <c r="G767" s="48">
        <v>42769</v>
      </c>
      <c r="H767" s="48">
        <v>42799</v>
      </c>
      <c r="I767" s="48">
        <v>42970</v>
      </c>
      <c r="J767" s="49" t="s">
        <v>3178</v>
      </c>
      <c r="K767" s="58" t="s">
        <v>7</v>
      </c>
      <c r="L767" s="49">
        <v>0</v>
      </c>
      <c r="M767" s="48">
        <v>42970</v>
      </c>
      <c r="N767" s="49" t="s">
        <v>2917</v>
      </c>
      <c r="O767" s="49" t="s">
        <v>7</v>
      </c>
      <c r="P767" s="49">
        <v>0</v>
      </c>
      <c r="Q767" s="51" t="s">
        <v>5002</v>
      </c>
      <c r="R767" s="67" t="e" cm="1">
        <f t="array" ref="R767">_xlfn.CHOOSECOLS(_xlfn.CHOOSEROWS(_xlfn._xlws.FILTER(표2[],표2[DWG No.]=C767,""),1),6)</f>
        <v>#VALUE!</v>
      </c>
      <c r="S767" s="67" t="e" cm="1">
        <f t="array" ref="S767">_xlfn.CHOOSECOLS(_xlfn.CHOOSEROWS(_xlfn._xlws.FILTER(표2[],(표2[DWG No.]=C767)*(ISNUMBER(표2[Rev.])),""),1),6)</f>
        <v>#VALUE!</v>
      </c>
    </row>
    <row r="768" spans="1:19" ht="18" customHeight="1" x14ac:dyDescent="0.45">
      <c r="A768" s="64">
        <v>763</v>
      </c>
      <c r="B768" s="49" t="s">
        <v>2912</v>
      </c>
      <c r="C768" s="50" t="s">
        <v>3298</v>
      </c>
      <c r="D768" s="49">
        <v>155153</v>
      </c>
      <c r="E768" s="50" t="s">
        <v>3299</v>
      </c>
      <c r="F768" s="49" t="s">
        <v>6</v>
      </c>
      <c r="G768" s="48">
        <v>42769</v>
      </c>
      <c r="H768" s="48">
        <v>42799</v>
      </c>
      <c r="I768" s="48">
        <v>42970</v>
      </c>
      <c r="J768" s="49" t="s">
        <v>3178</v>
      </c>
      <c r="K768" s="58" t="s">
        <v>7</v>
      </c>
      <c r="L768" s="49">
        <v>0</v>
      </c>
      <c r="M768" s="48">
        <v>42970</v>
      </c>
      <c r="N768" s="49" t="s">
        <v>2917</v>
      </c>
      <c r="O768" s="49" t="s">
        <v>7</v>
      </c>
      <c r="P768" s="49">
        <v>0</v>
      </c>
      <c r="Q768" s="51" t="s">
        <v>5002</v>
      </c>
      <c r="R768" s="67" t="e" cm="1">
        <f t="array" ref="R768">_xlfn.CHOOSECOLS(_xlfn.CHOOSEROWS(_xlfn._xlws.FILTER(표2[],표2[DWG No.]=C768,""),1),6)</f>
        <v>#VALUE!</v>
      </c>
      <c r="S768" s="67" t="e" cm="1">
        <f t="array" ref="S768">_xlfn.CHOOSECOLS(_xlfn.CHOOSEROWS(_xlfn._xlws.FILTER(표2[],(표2[DWG No.]=C768)*(ISNUMBER(표2[Rev.])),""),1),6)</f>
        <v>#VALUE!</v>
      </c>
    </row>
    <row r="769" spans="1:19" ht="18" customHeight="1" x14ac:dyDescent="0.45">
      <c r="A769" s="64">
        <v>764</v>
      </c>
      <c r="B769" s="49" t="s">
        <v>2912</v>
      </c>
      <c r="C769" s="50" t="s">
        <v>3300</v>
      </c>
      <c r="D769" s="49">
        <v>155154</v>
      </c>
      <c r="E769" s="50" t="s">
        <v>3301</v>
      </c>
      <c r="F769" s="49" t="s">
        <v>6</v>
      </c>
      <c r="G769" s="48">
        <v>42769</v>
      </c>
      <c r="H769" s="48">
        <v>42799</v>
      </c>
      <c r="I769" s="48">
        <v>42970</v>
      </c>
      <c r="J769" s="49" t="s">
        <v>3178</v>
      </c>
      <c r="K769" s="58" t="s">
        <v>7</v>
      </c>
      <c r="L769" s="49">
        <v>0</v>
      </c>
      <c r="M769" s="48">
        <v>42970</v>
      </c>
      <c r="N769" s="49" t="s">
        <v>2917</v>
      </c>
      <c r="O769" s="49" t="s">
        <v>7</v>
      </c>
      <c r="P769" s="49">
        <v>0</v>
      </c>
      <c r="Q769" s="51" t="s">
        <v>5002</v>
      </c>
      <c r="R769" s="67" t="e" cm="1">
        <f t="array" ref="R769">_xlfn.CHOOSECOLS(_xlfn.CHOOSEROWS(_xlfn._xlws.FILTER(표2[],표2[DWG No.]=C769,""),1),6)</f>
        <v>#VALUE!</v>
      </c>
      <c r="S769" s="67" t="e" cm="1">
        <f t="array" ref="S769">_xlfn.CHOOSECOLS(_xlfn.CHOOSEROWS(_xlfn._xlws.FILTER(표2[],(표2[DWG No.]=C769)*(ISNUMBER(표2[Rev.])),""),1),6)</f>
        <v>#VALUE!</v>
      </c>
    </row>
    <row r="770" spans="1:19" ht="18" customHeight="1" x14ac:dyDescent="0.45">
      <c r="A770" s="64">
        <v>765</v>
      </c>
      <c r="B770" s="49" t="s">
        <v>2912</v>
      </c>
      <c r="C770" s="50" t="s">
        <v>3302</v>
      </c>
      <c r="D770" s="49">
        <v>165155</v>
      </c>
      <c r="E770" s="50" t="s">
        <v>3303</v>
      </c>
      <c r="F770" s="49" t="s">
        <v>6</v>
      </c>
      <c r="G770" s="48">
        <v>42805</v>
      </c>
      <c r="H770" s="48">
        <v>42835</v>
      </c>
      <c r="I770" s="48">
        <v>42940</v>
      </c>
      <c r="J770" s="49" t="s">
        <v>3078</v>
      </c>
      <c r="K770" s="58" t="s">
        <v>7</v>
      </c>
      <c r="L770" s="49">
        <v>0</v>
      </c>
      <c r="M770" s="48">
        <v>42941</v>
      </c>
      <c r="N770" s="49" t="s">
        <v>2917</v>
      </c>
      <c r="O770" s="49" t="s">
        <v>7</v>
      </c>
      <c r="P770" s="49">
        <v>0</v>
      </c>
      <c r="Q770" s="51" t="s">
        <v>5002</v>
      </c>
      <c r="R770" s="67" t="e" cm="1">
        <f t="array" ref="R770">_xlfn.CHOOSECOLS(_xlfn.CHOOSEROWS(_xlfn._xlws.FILTER(표2[],표2[DWG No.]=C770,""),1),6)</f>
        <v>#VALUE!</v>
      </c>
      <c r="S770" s="67" t="e" cm="1">
        <f t="array" ref="S770">_xlfn.CHOOSECOLS(_xlfn.CHOOSEROWS(_xlfn._xlws.FILTER(표2[],(표2[DWG No.]=C770)*(ISNUMBER(표2[Rev.])),""),1),6)</f>
        <v>#VALUE!</v>
      </c>
    </row>
    <row r="771" spans="1:19" ht="18" customHeight="1" x14ac:dyDescent="0.45">
      <c r="A771" s="64">
        <v>766</v>
      </c>
      <c r="B771" s="49" t="s">
        <v>2912</v>
      </c>
      <c r="C771" s="50" t="s">
        <v>3304</v>
      </c>
      <c r="D771" s="49">
        <v>165156</v>
      </c>
      <c r="E771" s="50" t="s">
        <v>3305</v>
      </c>
      <c r="F771" s="49" t="s">
        <v>6</v>
      </c>
      <c r="G771" s="48">
        <v>42805</v>
      </c>
      <c r="H771" s="48">
        <v>42835</v>
      </c>
      <c r="I771" s="48">
        <v>42933</v>
      </c>
      <c r="J771" s="49" t="s">
        <v>3306</v>
      </c>
      <c r="K771" s="58" t="s">
        <v>7</v>
      </c>
      <c r="L771" s="49">
        <v>0</v>
      </c>
      <c r="M771" s="48">
        <v>42933</v>
      </c>
      <c r="N771" s="49" t="s">
        <v>2917</v>
      </c>
      <c r="O771" s="49" t="s">
        <v>7</v>
      </c>
      <c r="P771" s="49">
        <v>0</v>
      </c>
      <c r="Q771" s="51" t="s">
        <v>5002</v>
      </c>
      <c r="R771" s="67" t="e" cm="1">
        <f t="array" ref="R771">_xlfn.CHOOSECOLS(_xlfn.CHOOSEROWS(_xlfn._xlws.FILTER(표2[],표2[DWG No.]=C771,""),1),6)</f>
        <v>#VALUE!</v>
      </c>
      <c r="S771" s="67" t="e" cm="1">
        <f t="array" ref="S771">_xlfn.CHOOSECOLS(_xlfn.CHOOSEROWS(_xlfn._xlws.FILTER(표2[],(표2[DWG No.]=C771)*(ISNUMBER(표2[Rev.])),""),1),6)</f>
        <v>#VALUE!</v>
      </c>
    </row>
    <row r="772" spans="1:19" ht="18" customHeight="1" x14ac:dyDescent="0.45">
      <c r="A772" s="64">
        <v>767</v>
      </c>
      <c r="B772" s="49" t="s">
        <v>2912</v>
      </c>
      <c r="C772" s="50" t="s">
        <v>3307</v>
      </c>
      <c r="D772" s="49">
        <v>165157</v>
      </c>
      <c r="E772" s="50" t="s">
        <v>3308</v>
      </c>
      <c r="F772" s="49" t="s">
        <v>6</v>
      </c>
      <c r="G772" s="48">
        <v>42805</v>
      </c>
      <c r="H772" s="48">
        <v>42835</v>
      </c>
      <c r="I772" s="48">
        <v>42933</v>
      </c>
      <c r="J772" s="49" t="s">
        <v>3306</v>
      </c>
      <c r="K772" s="58" t="s">
        <v>7</v>
      </c>
      <c r="L772" s="49">
        <v>0</v>
      </c>
      <c r="M772" s="48">
        <v>42933</v>
      </c>
      <c r="N772" s="49" t="s">
        <v>2917</v>
      </c>
      <c r="O772" s="49" t="s">
        <v>7</v>
      </c>
      <c r="P772" s="49">
        <v>0</v>
      </c>
      <c r="Q772" s="51" t="s">
        <v>5002</v>
      </c>
      <c r="R772" s="67" t="e" cm="1">
        <f t="array" ref="R772">_xlfn.CHOOSECOLS(_xlfn.CHOOSEROWS(_xlfn._xlws.FILTER(표2[],표2[DWG No.]=C772,""),1),6)</f>
        <v>#VALUE!</v>
      </c>
      <c r="S772" s="67" t="e" cm="1">
        <f t="array" ref="S772">_xlfn.CHOOSECOLS(_xlfn.CHOOSEROWS(_xlfn._xlws.FILTER(표2[],(표2[DWG No.]=C772)*(ISNUMBER(표2[Rev.])),""),1),6)</f>
        <v>#VALUE!</v>
      </c>
    </row>
    <row r="773" spans="1:19" ht="18" customHeight="1" x14ac:dyDescent="0.45">
      <c r="A773" s="64">
        <v>768</v>
      </c>
      <c r="B773" s="49" t="s">
        <v>2912</v>
      </c>
      <c r="C773" s="50" t="s">
        <v>3309</v>
      </c>
      <c r="D773" s="49">
        <v>165158</v>
      </c>
      <c r="E773" s="50" t="s">
        <v>3310</v>
      </c>
      <c r="F773" s="49" t="s">
        <v>6</v>
      </c>
      <c r="G773" s="48">
        <v>42805</v>
      </c>
      <c r="H773" s="48">
        <v>42835</v>
      </c>
      <c r="I773" s="48">
        <v>42933</v>
      </c>
      <c r="J773" s="49" t="s">
        <v>3306</v>
      </c>
      <c r="K773" s="58" t="s">
        <v>7</v>
      </c>
      <c r="L773" s="49">
        <v>0</v>
      </c>
      <c r="M773" s="48">
        <v>42933</v>
      </c>
      <c r="N773" s="49" t="s">
        <v>2917</v>
      </c>
      <c r="O773" s="49" t="s">
        <v>7</v>
      </c>
      <c r="P773" s="49">
        <v>0</v>
      </c>
      <c r="Q773" s="51" t="s">
        <v>5002</v>
      </c>
      <c r="R773" s="67" t="e" cm="1">
        <f t="array" ref="R773">_xlfn.CHOOSECOLS(_xlfn.CHOOSEROWS(_xlfn._xlws.FILTER(표2[],표2[DWG No.]=C773,""),1),6)</f>
        <v>#VALUE!</v>
      </c>
      <c r="S773" s="67" t="e" cm="1">
        <f t="array" ref="S773">_xlfn.CHOOSECOLS(_xlfn.CHOOSEROWS(_xlfn._xlws.FILTER(표2[],(표2[DWG No.]=C773)*(ISNUMBER(표2[Rev.])),""),1),6)</f>
        <v>#VALUE!</v>
      </c>
    </row>
    <row r="774" spans="1:19" ht="18" customHeight="1" x14ac:dyDescent="0.45">
      <c r="A774" s="64">
        <v>769</v>
      </c>
      <c r="B774" s="49" t="s">
        <v>2912</v>
      </c>
      <c r="C774" s="50" t="s">
        <v>3311</v>
      </c>
      <c r="D774" s="49">
        <v>165160</v>
      </c>
      <c r="E774" s="50" t="s">
        <v>3312</v>
      </c>
      <c r="F774" s="49" t="s">
        <v>6</v>
      </c>
      <c r="G774" s="48">
        <v>42805</v>
      </c>
      <c r="H774" s="48">
        <v>42835</v>
      </c>
      <c r="I774" s="48">
        <v>43052</v>
      </c>
      <c r="J774" s="49" t="s">
        <v>3313</v>
      </c>
      <c r="K774" s="58" t="s">
        <v>7</v>
      </c>
      <c r="L774" s="49">
        <v>0</v>
      </c>
      <c r="M774" s="48">
        <v>43052</v>
      </c>
      <c r="N774" s="49" t="s">
        <v>2917</v>
      </c>
      <c r="O774" s="49" t="s">
        <v>7</v>
      </c>
      <c r="P774" s="49">
        <v>0</v>
      </c>
      <c r="Q774" s="51" t="s">
        <v>5002</v>
      </c>
      <c r="R774" s="67" t="e" cm="1">
        <f t="array" ref="R774">_xlfn.CHOOSECOLS(_xlfn.CHOOSEROWS(_xlfn._xlws.FILTER(표2[],표2[DWG No.]=C774,""),1),6)</f>
        <v>#VALUE!</v>
      </c>
      <c r="S774" s="67" t="e" cm="1">
        <f t="array" ref="S774">_xlfn.CHOOSECOLS(_xlfn.CHOOSEROWS(_xlfn._xlws.FILTER(표2[],(표2[DWG No.]=C774)*(ISNUMBER(표2[Rev.])),""),1),6)</f>
        <v>#VALUE!</v>
      </c>
    </row>
    <row r="775" spans="1:19" ht="18" customHeight="1" x14ac:dyDescent="0.45">
      <c r="A775" s="64">
        <v>770</v>
      </c>
      <c r="B775" s="49" t="s">
        <v>2912</v>
      </c>
      <c r="C775" s="50" t="s">
        <v>3314</v>
      </c>
      <c r="D775" s="49">
        <v>165161</v>
      </c>
      <c r="E775" s="50" t="s">
        <v>3315</v>
      </c>
      <c r="F775" s="49" t="s">
        <v>5</v>
      </c>
      <c r="G775" s="48">
        <v>42805</v>
      </c>
      <c r="H775" s="48">
        <v>42835</v>
      </c>
      <c r="I775" s="48">
        <v>43611</v>
      </c>
      <c r="J775" s="49" t="s">
        <v>3316</v>
      </c>
      <c r="K775" s="58" t="s">
        <v>7</v>
      </c>
      <c r="L775" s="49" t="s">
        <v>349</v>
      </c>
      <c r="M775" s="48"/>
      <c r="N775" s="49" t="s">
        <v>3317</v>
      </c>
      <c r="O775" s="49"/>
      <c r="P775" s="49" t="s">
        <v>349</v>
      </c>
      <c r="Q775" s="49" t="s">
        <v>65</v>
      </c>
      <c r="R775" s="67" t="e" cm="1">
        <f t="array" ref="R775">_xlfn.CHOOSECOLS(_xlfn.CHOOSEROWS(_xlfn._xlws.FILTER(표2[],표2[DWG No.]=C775,""),1),6)</f>
        <v>#VALUE!</v>
      </c>
      <c r="S775" s="67" t="e" cm="1">
        <f t="array" ref="S775">_xlfn.CHOOSECOLS(_xlfn.CHOOSEROWS(_xlfn._xlws.FILTER(표2[],(표2[DWG No.]=C775)*(ISNUMBER(표2[Rev.])),""),1),6)</f>
        <v>#VALUE!</v>
      </c>
    </row>
    <row r="776" spans="1:19" ht="18" customHeight="1" x14ac:dyDescent="0.45">
      <c r="A776" s="64">
        <v>771</v>
      </c>
      <c r="B776" s="49" t="s">
        <v>2912</v>
      </c>
      <c r="C776" s="50" t="s">
        <v>3318</v>
      </c>
      <c r="D776" s="49">
        <v>165162</v>
      </c>
      <c r="E776" s="50" t="s">
        <v>3319</v>
      </c>
      <c r="F776" s="49" t="s">
        <v>6</v>
      </c>
      <c r="G776" s="48">
        <v>42805</v>
      </c>
      <c r="H776" s="48">
        <v>42835</v>
      </c>
      <c r="I776" s="48">
        <v>43017</v>
      </c>
      <c r="J776" s="49" t="s">
        <v>3052</v>
      </c>
      <c r="K776" s="58" t="s">
        <v>7</v>
      </c>
      <c r="L776" s="49">
        <v>0</v>
      </c>
      <c r="M776" s="48">
        <v>43018</v>
      </c>
      <c r="N776" s="49" t="s">
        <v>2917</v>
      </c>
      <c r="O776" s="49" t="s">
        <v>7</v>
      </c>
      <c r="P776" s="49">
        <v>0</v>
      </c>
      <c r="Q776" s="51" t="s">
        <v>5002</v>
      </c>
      <c r="R776" s="67" t="e" cm="1">
        <f t="array" ref="R776">_xlfn.CHOOSECOLS(_xlfn.CHOOSEROWS(_xlfn._xlws.FILTER(표2[],표2[DWG No.]=C776,""),1),6)</f>
        <v>#VALUE!</v>
      </c>
      <c r="S776" s="67" t="e" cm="1">
        <f t="array" ref="S776">_xlfn.CHOOSECOLS(_xlfn.CHOOSEROWS(_xlfn._xlws.FILTER(표2[],(표2[DWG No.]=C776)*(ISNUMBER(표2[Rev.])),""),1),6)</f>
        <v>#VALUE!</v>
      </c>
    </row>
    <row r="777" spans="1:19" ht="18" customHeight="1" x14ac:dyDescent="0.45">
      <c r="A777" s="64">
        <v>772</v>
      </c>
      <c r="B777" s="49" t="s">
        <v>2912</v>
      </c>
      <c r="C777" s="50" t="s">
        <v>3320</v>
      </c>
      <c r="D777" s="72" t="s">
        <v>3321</v>
      </c>
      <c r="E777" s="50" t="s">
        <v>3322</v>
      </c>
      <c r="F777" s="49" t="s">
        <v>6</v>
      </c>
      <c r="G777" s="48">
        <v>42780</v>
      </c>
      <c r="H777" s="48">
        <v>42810</v>
      </c>
      <c r="I777" s="48">
        <v>43539</v>
      </c>
      <c r="J777" s="49" t="s">
        <v>3274</v>
      </c>
      <c r="K777" s="58" t="s">
        <v>7</v>
      </c>
      <c r="L777" s="49">
        <v>2</v>
      </c>
      <c r="M777" s="48">
        <v>43539</v>
      </c>
      <c r="N777" s="49" t="s">
        <v>3275</v>
      </c>
      <c r="O777" s="49" t="s">
        <v>7</v>
      </c>
      <c r="P777" s="49">
        <v>2</v>
      </c>
      <c r="Q777" s="51" t="s">
        <v>5002</v>
      </c>
      <c r="R777" s="67" t="e" cm="1">
        <f t="array" ref="R777">_xlfn.CHOOSECOLS(_xlfn.CHOOSEROWS(_xlfn._xlws.FILTER(표2[],표2[DWG No.]=C777,""),1),6)</f>
        <v>#VALUE!</v>
      </c>
      <c r="S777" s="67" t="e" cm="1">
        <f t="array" ref="S777">_xlfn.CHOOSECOLS(_xlfn.CHOOSEROWS(_xlfn._xlws.FILTER(표2[],(표2[DWG No.]=C777)*(ISNUMBER(표2[Rev.])),""),1),6)</f>
        <v>#VALUE!</v>
      </c>
    </row>
    <row r="778" spans="1:19" ht="18" customHeight="1" x14ac:dyDescent="0.45">
      <c r="A778" s="64">
        <v>773</v>
      </c>
      <c r="B778" s="49" t="s">
        <v>2912</v>
      </c>
      <c r="C778" s="50" t="s">
        <v>3323</v>
      </c>
      <c r="D778" s="49">
        <v>175165</v>
      </c>
      <c r="E778" s="50" t="s">
        <v>3324</v>
      </c>
      <c r="F778" s="49" t="s">
        <v>6</v>
      </c>
      <c r="G778" s="48">
        <v>42780</v>
      </c>
      <c r="H778" s="48">
        <v>42810</v>
      </c>
      <c r="I778" s="48">
        <v>43798</v>
      </c>
      <c r="J778" s="49" t="s">
        <v>3325</v>
      </c>
      <c r="K778" s="58" t="s">
        <v>7</v>
      </c>
      <c r="L778" s="49">
        <v>2</v>
      </c>
      <c r="M778" s="48">
        <v>43798</v>
      </c>
      <c r="N778" s="49" t="s">
        <v>3191</v>
      </c>
      <c r="O778" s="49"/>
      <c r="P778" s="49">
        <v>2</v>
      </c>
      <c r="Q778" s="51" t="s">
        <v>5002</v>
      </c>
      <c r="R778" s="67" t="e" cm="1">
        <f t="array" ref="R778">_xlfn.CHOOSECOLS(_xlfn.CHOOSEROWS(_xlfn._xlws.FILTER(표2[],표2[DWG No.]=C778,""),1),6)</f>
        <v>#VALUE!</v>
      </c>
      <c r="S778" s="67" t="e" cm="1">
        <f t="array" ref="S778">_xlfn.CHOOSECOLS(_xlfn.CHOOSEROWS(_xlfn._xlws.FILTER(표2[],(표2[DWG No.]=C778)*(ISNUMBER(표2[Rev.])),""),1),6)</f>
        <v>#VALUE!</v>
      </c>
    </row>
    <row r="779" spans="1:19" ht="18" customHeight="1" x14ac:dyDescent="0.45">
      <c r="A779" s="64">
        <v>774</v>
      </c>
      <c r="B779" s="49" t="s">
        <v>2912</v>
      </c>
      <c r="C779" s="50" t="s">
        <v>3326</v>
      </c>
      <c r="D779" s="49">
        <v>175166</v>
      </c>
      <c r="E779" s="50" t="s">
        <v>3327</v>
      </c>
      <c r="F779" s="49" t="s">
        <v>6</v>
      </c>
      <c r="G779" s="48">
        <v>42780</v>
      </c>
      <c r="H779" s="48">
        <v>42810</v>
      </c>
      <c r="I779" s="48">
        <v>42969</v>
      </c>
      <c r="J779" s="49" t="s">
        <v>3328</v>
      </c>
      <c r="K779" s="58" t="s">
        <v>7</v>
      </c>
      <c r="L779" s="49">
        <v>0</v>
      </c>
      <c r="M779" s="48">
        <v>42969</v>
      </c>
      <c r="N779" s="49" t="s">
        <v>2917</v>
      </c>
      <c r="O779" s="49" t="s">
        <v>7</v>
      </c>
      <c r="P779" s="49">
        <v>0</v>
      </c>
      <c r="Q779" s="51" t="s">
        <v>5002</v>
      </c>
      <c r="R779" s="67" t="e" cm="1">
        <f t="array" ref="R779">_xlfn.CHOOSECOLS(_xlfn.CHOOSEROWS(_xlfn._xlws.FILTER(표2[],표2[DWG No.]=C779,""),1),6)</f>
        <v>#VALUE!</v>
      </c>
      <c r="S779" s="67" t="e" cm="1">
        <f t="array" ref="S779">_xlfn.CHOOSECOLS(_xlfn.CHOOSEROWS(_xlfn._xlws.FILTER(표2[],(표2[DWG No.]=C779)*(ISNUMBER(표2[Rev.])),""),1),6)</f>
        <v>#VALUE!</v>
      </c>
    </row>
    <row r="780" spans="1:19" ht="18" customHeight="1" x14ac:dyDescent="0.45">
      <c r="A780" s="64">
        <v>775</v>
      </c>
      <c r="B780" s="49" t="s">
        <v>2912</v>
      </c>
      <c r="C780" s="50" t="s">
        <v>3329</v>
      </c>
      <c r="D780" s="49">
        <v>175167</v>
      </c>
      <c r="E780" s="50" t="s">
        <v>3330</v>
      </c>
      <c r="F780" s="49" t="s">
        <v>6</v>
      </c>
      <c r="G780" s="48">
        <v>42780</v>
      </c>
      <c r="H780" s="48">
        <v>42810</v>
      </c>
      <c r="I780" s="48">
        <v>43031</v>
      </c>
      <c r="J780" s="49" t="s">
        <v>3145</v>
      </c>
      <c r="K780" s="58" t="s">
        <v>7</v>
      </c>
      <c r="L780" s="49">
        <v>0</v>
      </c>
      <c r="M780" s="48">
        <v>43032</v>
      </c>
      <c r="N780" s="49" t="s">
        <v>2917</v>
      </c>
      <c r="O780" s="49" t="s">
        <v>7</v>
      </c>
      <c r="P780" s="49">
        <v>0</v>
      </c>
      <c r="Q780" s="51" t="s">
        <v>5002</v>
      </c>
      <c r="R780" s="67" t="e" cm="1">
        <f t="array" ref="R780">_xlfn.CHOOSECOLS(_xlfn.CHOOSEROWS(_xlfn._xlws.FILTER(표2[],표2[DWG No.]=C780,""),1),6)</f>
        <v>#VALUE!</v>
      </c>
      <c r="S780" s="67" t="e" cm="1">
        <f t="array" ref="S780">_xlfn.CHOOSECOLS(_xlfn.CHOOSEROWS(_xlfn._xlws.FILTER(표2[],(표2[DWG No.]=C780)*(ISNUMBER(표2[Rev.])),""),1),6)</f>
        <v>#VALUE!</v>
      </c>
    </row>
    <row r="781" spans="1:19" ht="18" customHeight="1" x14ac:dyDescent="0.45">
      <c r="A781" s="64">
        <v>776</v>
      </c>
      <c r="B781" s="49" t="s">
        <v>2912</v>
      </c>
      <c r="C781" s="50" t="s">
        <v>3331</v>
      </c>
      <c r="D781" s="49">
        <v>175168</v>
      </c>
      <c r="E781" s="50" t="s">
        <v>3332</v>
      </c>
      <c r="F781" s="49" t="s">
        <v>6</v>
      </c>
      <c r="G781" s="48">
        <v>42780</v>
      </c>
      <c r="H781" s="48">
        <v>42810</v>
      </c>
      <c r="I781" s="48">
        <v>43031</v>
      </c>
      <c r="J781" s="49" t="s">
        <v>3145</v>
      </c>
      <c r="K781" s="58" t="s">
        <v>7</v>
      </c>
      <c r="L781" s="49">
        <v>0</v>
      </c>
      <c r="M781" s="48">
        <v>43032</v>
      </c>
      <c r="N781" s="49" t="s">
        <v>2917</v>
      </c>
      <c r="O781" s="49" t="s">
        <v>7</v>
      </c>
      <c r="P781" s="49">
        <v>0</v>
      </c>
      <c r="Q781" s="51" t="s">
        <v>5002</v>
      </c>
      <c r="R781" s="67" t="e" cm="1">
        <f t="array" ref="R781">_xlfn.CHOOSECOLS(_xlfn.CHOOSEROWS(_xlfn._xlws.FILTER(표2[],표2[DWG No.]=C781,""),1),6)</f>
        <v>#VALUE!</v>
      </c>
      <c r="S781" s="67" t="e" cm="1">
        <f t="array" ref="S781">_xlfn.CHOOSECOLS(_xlfn.CHOOSEROWS(_xlfn._xlws.FILTER(표2[],(표2[DWG No.]=C781)*(ISNUMBER(표2[Rev.])),""),1),6)</f>
        <v>#VALUE!</v>
      </c>
    </row>
    <row r="782" spans="1:19" ht="18" customHeight="1" x14ac:dyDescent="0.45">
      <c r="A782" s="64">
        <v>777</v>
      </c>
      <c r="B782" s="49" t="s">
        <v>2912</v>
      </c>
      <c r="C782" s="50" t="s">
        <v>3333</v>
      </c>
      <c r="D782" s="49">
        <v>175169</v>
      </c>
      <c r="E782" s="50" t="s">
        <v>3334</v>
      </c>
      <c r="F782" s="49" t="s">
        <v>6</v>
      </c>
      <c r="G782" s="48">
        <v>42780</v>
      </c>
      <c r="H782" s="48">
        <v>42810</v>
      </c>
      <c r="I782" s="48">
        <v>43031</v>
      </c>
      <c r="J782" s="49" t="s">
        <v>3145</v>
      </c>
      <c r="K782" s="58" t="s">
        <v>7</v>
      </c>
      <c r="L782" s="49">
        <v>0</v>
      </c>
      <c r="M782" s="48">
        <v>43032</v>
      </c>
      <c r="N782" s="49" t="s">
        <v>2917</v>
      </c>
      <c r="O782" s="49" t="s">
        <v>7</v>
      </c>
      <c r="P782" s="49">
        <v>0</v>
      </c>
      <c r="Q782" s="51" t="s">
        <v>5002</v>
      </c>
      <c r="R782" s="67" t="e" cm="1">
        <f t="array" ref="R782">_xlfn.CHOOSECOLS(_xlfn.CHOOSEROWS(_xlfn._xlws.FILTER(표2[],표2[DWG No.]=C782,""),1),6)</f>
        <v>#VALUE!</v>
      </c>
      <c r="S782" s="67" t="e" cm="1">
        <f t="array" ref="S782">_xlfn.CHOOSECOLS(_xlfn.CHOOSEROWS(_xlfn._xlws.FILTER(표2[],(표2[DWG No.]=C782)*(ISNUMBER(표2[Rev.])),""),1),6)</f>
        <v>#VALUE!</v>
      </c>
    </row>
    <row r="783" spans="1:19" ht="18" customHeight="1" x14ac:dyDescent="0.45">
      <c r="A783" s="64">
        <v>778</v>
      </c>
      <c r="B783" s="49" t="s">
        <v>2912</v>
      </c>
      <c r="C783" s="50" t="s">
        <v>3335</v>
      </c>
      <c r="D783" s="49">
        <v>175170</v>
      </c>
      <c r="E783" s="50" t="s">
        <v>3336</v>
      </c>
      <c r="F783" s="49" t="s">
        <v>6</v>
      </c>
      <c r="G783" s="48">
        <v>42780</v>
      </c>
      <c r="H783" s="48">
        <v>42810</v>
      </c>
      <c r="I783" s="48">
        <v>43031</v>
      </c>
      <c r="J783" s="49" t="s">
        <v>3145</v>
      </c>
      <c r="K783" s="58" t="s">
        <v>7</v>
      </c>
      <c r="L783" s="49">
        <v>0</v>
      </c>
      <c r="M783" s="48">
        <v>43032</v>
      </c>
      <c r="N783" s="49" t="s">
        <v>2917</v>
      </c>
      <c r="O783" s="49" t="s">
        <v>7</v>
      </c>
      <c r="P783" s="49">
        <v>0</v>
      </c>
      <c r="Q783" s="51" t="s">
        <v>5002</v>
      </c>
      <c r="R783" s="67" t="e" cm="1">
        <f t="array" ref="R783">_xlfn.CHOOSECOLS(_xlfn.CHOOSEROWS(_xlfn._xlws.FILTER(표2[],표2[DWG No.]=C783,""),1),6)</f>
        <v>#VALUE!</v>
      </c>
      <c r="S783" s="67" t="e" cm="1">
        <f t="array" ref="S783">_xlfn.CHOOSECOLS(_xlfn.CHOOSEROWS(_xlfn._xlws.FILTER(표2[],(표2[DWG No.]=C783)*(ISNUMBER(표2[Rev.])),""),1),6)</f>
        <v>#VALUE!</v>
      </c>
    </row>
    <row r="784" spans="1:19" ht="18" customHeight="1" x14ac:dyDescent="0.45">
      <c r="A784" s="64">
        <v>779</v>
      </c>
      <c r="B784" s="49" t="s">
        <v>2912</v>
      </c>
      <c r="C784" s="50" t="s">
        <v>3337</v>
      </c>
      <c r="D784" s="49">
        <v>175170</v>
      </c>
      <c r="E784" s="50" t="s">
        <v>3338</v>
      </c>
      <c r="F784" s="49" t="s">
        <v>6</v>
      </c>
      <c r="G784" s="48">
        <v>42780</v>
      </c>
      <c r="H784" s="48">
        <v>42810</v>
      </c>
      <c r="I784" s="48">
        <v>43031</v>
      </c>
      <c r="J784" s="49" t="s">
        <v>3145</v>
      </c>
      <c r="K784" s="58" t="s">
        <v>7</v>
      </c>
      <c r="L784" s="49">
        <v>0</v>
      </c>
      <c r="M784" s="48">
        <v>43032</v>
      </c>
      <c r="N784" s="49" t="s">
        <v>2917</v>
      </c>
      <c r="O784" s="49" t="s">
        <v>7</v>
      </c>
      <c r="P784" s="49">
        <v>0</v>
      </c>
      <c r="Q784" s="51" t="s">
        <v>5002</v>
      </c>
      <c r="R784" s="67" t="e" cm="1">
        <f t="array" ref="R784">_xlfn.CHOOSECOLS(_xlfn.CHOOSEROWS(_xlfn._xlws.FILTER(표2[],표2[DWG No.]=C784,""),1),6)</f>
        <v>#VALUE!</v>
      </c>
      <c r="S784" s="67" t="e" cm="1">
        <f t="array" ref="S784">_xlfn.CHOOSECOLS(_xlfn.CHOOSEROWS(_xlfn._xlws.FILTER(표2[],(표2[DWG No.]=C784)*(ISNUMBER(표2[Rev.])),""),1),6)</f>
        <v>#VALUE!</v>
      </c>
    </row>
    <row r="785" spans="1:19" ht="18" customHeight="1" x14ac:dyDescent="0.45">
      <c r="A785" s="64">
        <v>780</v>
      </c>
      <c r="B785" s="49" t="s">
        <v>2912</v>
      </c>
      <c r="C785" s="50" t="s">
        <v>3339</v>
      </c>
      <c r="D785" s="49">
        <v>175170</v>
      </c>
      <c r="E785" s="50" t="s">
        <v>3340</v>
      </c>
      <c r="F785" s="49" t="s">
        <v>6</v>
      </c>
      <c r="G785" s="48">
        <v>42780</v>
      </c>
      <c r="H785" s="48">
        <v>42810</v>
      </c>
      <c r="I785" s="48">
        <v>43031</v>
      </c>
      <c r="J785" s="49" t="s">
        <v>3145</v>
      </c>
      <c r="K785" s="58" t="s">
        <v>7</v>
      </c>
      <c r="L785" s="49">
        <v>0</v>
      </c>
      <c r="M785" s="48">
        <v>43032</v>
      </c>
      <c r="N785" s="49" t="s">
        <v>2917</v>
      </c>
      <c r="O785" s="49" t="s">
        <v>7</v>
      </c>
      <c r="P785" s="49">
        <v>0</v>
      </c>
      <c r="Q785" s="51" t="s">
        <v>5002</v>
      </c>
      <c r="R785" s="67" t="e" cm="1">
        <f t="array" ref="R785">_xlfn.CHOOSECOLS(_xlfn.CHOOSEROWS(_xlfn._xlws.FILTER(표2[],표2[DWG No.]=C785,""),1),6)</f>
        <v>#VALUE!</v>
      </c>
      <c r="S785" s="67" t="e" cm="1">
        <f t="array" ref="S785">_xlfn.CHOOSECOLS(_xlfn.CHOOSEROWS(_xlfn._xlws.FILTER(표2[],(표2[DWG No.]=C785)*(ISNUMBER(표2[Rev.])),""),1),6)</f>
        <v>#VALUE!</v>
      </c>
    </row>
    <row r="786" spans="1:19" ht="18" customHeight="1" x14ac:dyDescent="0.45">
      <c r="A786" s="64">
        <v>781</v>
      </c>
      <c r="B786" s="49" t="s">
        <v>2912</v>
      </c>
      <c r="C786" s="50" t="s">
        <v>3341</v>
      </c>
      <c r="D786" s="49">
        <v>175170</v>
      </c>
      <c r="E786" s="50" t="s">
        <v>3342</v>
      </c>
      <c r="F786" s="49" t="s">
        <v>6</v>
      </c>
      <c r="G786" s="48">
        <v>42780</v>
      </c>
      <c r="H786" s="48">
        <v>42810</v>
      </c>
      <c r="I786" s="48">
        <v>43031</v>
      </c>
      <c r="J786" s="49" t="s">
        <v>3145</v>
      </c>
      <c r="K786" s="58" t="s">
        <v>7</v>
      </c>
      <c r="L786" s="49">
        <v>0</v>
      </c>
      <c r="M786" s="48">
        <v>43032</v>
      </c>
      <c r="N786" s="49" t="s">
        <v>2917</v>
      </c>
      <c r="O786" s="49" t="s">
        <v>7</v>
      </c>
      <c r="P786" s="49">
        <v>0</v>
      </c>
      <c r="Q786" s="51" t="s">
        <v>5002</v>
      </c>
      <c r="R786" s="67" t="e" cm="1">
        <f t="array" ref="R786">_xlfn.CHOOSECOLS(_xlfn.CHOOSEROWS(_xlfn._xlws.FILTER(표2[],표2[DWG No.]=C786,""),1),6)</f>
        <v>#VALUE!</v>
      </c>
      <c r="S786" s="67" t="e" cm="1">
        <f t="array" ref="S786">_xlfn.CHOOSECOLS(_xlfn.CHOOSEROWS(_xlfn._xlws.FILTER(표2[],(표2[DWG No.]=C786)*(ISNUMBER(표2[Rev.])),""),1),6)</f>
        <v>#VALUE!</v>
      </c>
    </row>
    <row r="787" spans="1:19" ht="18" customHeight="1" x14ac:dyDescent="0.45">
      <c r="A787" s="64">
        <v>782</v>
      </c>
      <c r="B787" s="49" t="s">
        <v>2912</v>
      </c>
      <c r="C787" s="50" t="s">
        <v>3343</v>
      </c>
      <c r="D787" s="49">
        <v>175170</v>
      </c>
      <c r="E787" s="50" t="s">
        <v>3344</v>
      </c>
      <c r="F787" s="49" t="s">
        <v>6</v>
      </c>
      <c r="G787" s="48">
        <v>42780</v>
      </c>
      <c r="H787" s="48">
        <v>42810</v>
      </c>
      <c r="I787" s="48">
        <v>43031</v>
      </c>
      <c r="J787" s="49" t="s">
        <v>3145</v>
      </c>
      <c r="K787" s="58" t="s">
        <v>7</v>
      </c>
      <c r="L787" s="49">
        <v>0</v>
      </c>
      <c r="M787" s="48">
        <v>43032</v>
      </c>
      <c r="N787" s="49" t="s">
        <v>2917</v>
      </c>
      <c r="O787" s="49" t="s">
        <v>7</v>
      </c>
      <c r="P787" s="49">
        <v>0</v>
      </c>
      <c r="Q787" s="51" t="s">
        <v>5002</v>
      </c>
      <c r="R787" s="67" t="e" cm="1">
        <f t="array" ref="R787">_xlfn.CHOOSECOLS(_xlfn.CHOOSEROWS(_xlfn._xlws.FILTER(표2[],표2[DWG No.]=C787,""),1),6)</f>
        <v>#VALUE!</v>
      </c>
      <c r="S787" s="67" t="e" cm="1">
        <f t="array" ref="S787">_xlfn.CHOOSECOLS(_xlfn.CHOOSEROWS(_xlfn._xlws.FILTER(표2[],(표2[DWG No.]=C787)*(ISNUMBER(표2[Rev.])),""),1),6)</f>
        <v>#VALUE!</v>
      </c>
    </row>
    <row r="788" spans="1:19" ht="18" customHeight="1" x14ac:dyDescent="0.45">
      <c r="A788" s="64">
        <v>783</v>
      </c>
      <c r="B788" s="49" t="s">
        <v>2912</v>
      </c>
      <c r="C788" s="50" t="s">
        <v>3345</v>
      </c>
      <c r="D788" s="49">
        <v>175170</v>
      </c>
      <c r="E788" s="50" t="s">
        <v>3346</v>
      </c>
      <c r="F788" s="49" t="s">
        <v>6</v>
      </c>
      <c r="G788" s="48">
        <v>42780</v>
      </c>
      <c r="H788" s="48">
        <v>42810</v>
      </c>
      <c r="I788" s="48">
        <v>43031</v>
      </c>
      <c r="J788" s="49" t="s">
        <v>3145</v>
      </c>
      <c r="K788" s="58" t="s">
        <v>7</v>
      </c>
      <c r="L788" s="49">
        <v>0</v>
      </c>
      <c r="M788" s="48">
        <v>43032</v>
      </c>
      <c r="N788" s="49" t="s">
        <v>2917</v>
      </c>
      <c r="O788" s="49" t="s">
        <v>7</v>
      </c>
      <c r="P788" s="49">
        <v>0</v>
      </c>
      <c r="Q788" s="51" t="s">
        <v>5002</v>
      </c>
      <c r="R788" s="67" t="e" cm="1">
        <f t="array" ref="R788">_xlfn.CHOOSECOLS(_xlfn.CHOOSEROWS(_xlfn._xlws.FILTER(표2[],표2[DWG No.]=C788,""),1),6)</f>
        <v>#VALUE!</v>
      </c>
      <c r="S788" s="67" t="e" cm="1">
        <f t="array" ref="S788">_xlfn.CHOOSECOLS(_xlfn.CHOOSEROWS(_xlfn._xlws.FILTER(표2[],(표2[DWG No.]=C788)*(ISNUMBER(표2[Rev.])),""),1),6)</f>
        <v>#VALUE!</v>
      </c>
    </row>
    <row r="789" spans="1:19" ht="18" customHeight="1" x14ac:dyDescent="0.45">
      <c r="A789" s="64">
        <v>784</v>
      </c>
      <c r="B789" s="49" t="s">
        <v>2912</v>
      </c>
      <c r="C789" s="50" t="s">
        <v>3347</v>
      </c>
      <c r="D789" s="49">
        <v>175170</v>
      </c>
      <c r="E789" s="50" t="s">
        <v>3348</v>
      </c>
      <c r="F789" s="49" t="s">
        <v>6</v>
      </c>
      <c r="G789" s="48">
        <v>42780</v>
      </c>
      <c r="H789" s="48">
        <v>42810</v>
      </c>
      <c r="I789" s="48">
        <v>43031</v>
      </c>
      <c r="J789" s="49" t="s">
        <v>3145</v>
      </c>
      <c r="K789" s="58" t="s">
        <v>7</v>
      </c>
      <c r="L789" s="49">
        <v>0</v>
      </c>
      <c r="M789" s="48">
        <v>43032</v>
      </c>
      <c r="N789" s="49" t="s">
        <v>2917</v>
      </c>
      <c r="O789" s="49" t="s">
        <v>7</v>
      </c>
      <c r="P789" s="49">
        <v>0</v>
      </c>
      <c r="Q789" s="51" t="s">
        <v>5002</v>
      </c>
      <c r="R789" s="67" t="e" cm="1">
        <f t="array" ref="R789">_xlfn.CHOOSECOLS(_xlfn.CHOOSEROWS(_xlfn._xlws.FILTER(표2[],표2[DWG No.]=C789,""),1),6)</f>
        <v>#VALUE!</v>
      </c>
      <c r="S789" s="67" t="e" cm="1">
        <f t="array" ref="S789">_xlfn.CHOOSECOLS(_xlfn.CHOOSEROWS(_xlfn._xlws.FILTER(표2[],(표2[DWG No.]=C789)*(ISNUMBER(표2[Rev.])),""),1),6)</f>
        <v>#VALUE!</v>
      </c>
    </row>
    <row r="790" spans="1:19" ht="18" customHeight="1" x14ac:dyDescent="0.45">
      <c r="A790" s="64">
        <v>785</v>
      </c>
      <c r="B790" s="49" t="s">
        <v>2912</v>
      </c>
      <c r="C790" s="50" t="s">
        <v>3349</v>
      </c>
      <c r="D790" s="49">
        <v>175170</v>
      </c>
      <c r="E790" s="50" t="s">
        <v>3348</v>
      </c>
      <c r="F790" s="49" t="s">
        <v>6</v>
      </c>
      <c r="G790" s="48">
        <v>42780</v>
      </c>
      <c r="H790" s="48">
        <v>42810</v>
      </c>
      <c r="I790" s="48">
        <v>43031</v>
      </c>
      <c r="J790" s="49" t="s">
        <v>3145</v>
      </c>
      <c r="K790" s="58" t="s">
        <v>7</v>
      </c>
      <c r="L790" s="49">
        <v>0</v>
      </c>
      <c r="M790" s="48">
        <v>43032</v>
      </c>
      <c r="N790" s="49" t="s">
        <v>2917</v>
      </c>
      <c r="O790" s="49" t="s">
        <v>7</v>
      </c>
      <c r="P790" s="49">
        <v>0</v>
      </c>
      <c r="Q790" s="51" t="s">
        <v>5002</v>
      </c>
      <c r="R790" s="67" t="e" cm="1">
        <f t="array" ref="R790">_xlfn.CHOOSECOLS(_xlfn.CHOOSEROWS(_xlfn._xlws.FILTER(표2[],표2[DWG No.]=C790,""),1),6)</f>
        <v>#VALUE!</v>
      </c>
      <c r="S790" s="67" t="e" cm="1">
        <f t="array" ref="S790">_xlfn.CHOOSECOLS(_xlfn.CHOOSEROWS(_xlfn._xlws.FILTER(표2[],(표2[DWG No.]=C790)*(ISNUMBER(표2[Rev.])),""),1),6)</f>
        <v>#VALUE!</v>
      </c>
    </row>
    <row r="791" spans="1:19" ht="18" customHeight="1" x14ac:dyDescent="0.45">
      <c r="A791" s="64">
        <v>786</v>
      </c>
      <c r="B791" s="49" t="s">
        <v>2912</v>
      </c>
      <c r="C791" s="50" t="s">
        <v>3350</v>
      </c>
      <c r="D791" s="49">
        <v>175174</v>
      </c>
      <c r="E791" s="50" t="s">
        <v>3351</v>
      </c>
      <c r="F791" s="49" t="s">
        <v>6</v>
      </c>
      <c r="G791" s="48">
        <v>42780</v>
      </c>
      <c r="H791" s="48">
        <v>42810</v>
      </c>
      <c r="I791" s="48">
        <v>43013</v>
      </c>
      <c r="J791" s="49" t="s">
        <v>3352</v>
      </c>
      <c r="K791" s="58" t="s">
        <v>7</v>
      </c>
      <c r="L791" s="49">
        <v>0</v>
      </c>
      <c r="M791" s="48">
        <v>43013</v>
      </c>
      <c r="N791" s="49" t="s">
        <v>2917</v>
      </c>
      <c r="O791" s="49" t="s">
        <v>7</v>
      </c>
      <c r="P791" s="49">
        <v>0</v>
      </c>
      <c r="Q791" s="51" t="s">
        <v>5002</v>
      </c>
      <c r="R791" s="67" t="e" cm="1">
        <f t="array" ref="R791">_xlfn.CHOOSECOLS(_xlfn.CHOOSEROWS(_xlfn._xlws.FILTER(표2[],표2[DWG No.]=C791,""),1),6)</f>
        <v>#VALUE!</v>
      </c>
      <c r="S791" s="67" t="e" cm="1">
        <f t="array" ref="S791">_xlfn.CHOOSECOLS(_xlfn.CHOOSEROWS(_xlfn._xlws.FILTER(표2[],(표2[DWG No.]=C791)*(ISNUMBER(표2[Rev.])),""),1),6)</f>
        <v>#VALUE!</v>
      </c>
    </row>
    <row r="792" spans="1:19" ht="18" customHeight="1" x14ac:dyDescent="0.45">
      <c r="A792" s="64">
        <v>787</v>
      </c>
      <c r="B792" s="49" t="s">
        <v>2912</v>
      </c>
      <c r="C792" s="50" t="s">
        <v>3353</v>
      </c>
      <c r="D792" s="49">
        <v>145176</v>
      </c>
      <c r="E792" s="50" t="s">
        <v>3354</v>
      </c>
      <c r="F792" s="49" t="s">
        <v>6</v>
      </c>
      <c r="G792" s="48">
        <v>42931</v>
      </c>
      <c r="H792" s="48">
        <v>42961</v>
      </c>
      <c r="I792" s="48">
        <v>43020</v>
      </c>
      <c r="J792" s="49" t="s">
        <v>3048</v>
      </c>
      <c r="K792" s="58" t="s">
        <v>7</v>
      </c>
      <c r="L792" s="49">
        <v>0</v>
      </c>
      <c r="M792" s="48">
        <v>43020</v>
      </c>
      <c r="N792" s="49" t="s">
        <v>2917</v>
      </c>
      <c r="O792" s="49" t="s">
        <v>7</v>
      </c>
      <c r="P792" s="49">
        <v>0</v>
      </c>
      <c r="Q792" s="51" t="s">
        <v>5002</v>
      </c>
      <c r="R792" s="67" t="e" cm="1">
        <f t="array" ref="R792">_xlfn.CHOOSECOLS(_xlfn.CHOOSEROWS(_xlfn._xlws.FILTER(표2[],표2[DWG No.]=C792,""),1),6)</f>
        <v>#VALUE!</v>
      </c>
      <c r="S792" s="67" t="e" cm="1">
        <f t="array" ref="S792">_xlfn.CHOOSECOLS(_xlfn.CHOOSEROWS(_xlfn._xlws.FILTER(표2[],(표2[DWG No.]=C792)*(ISNUMBER(표2[Rev.])),""),1),6)</f>
        <v>#VALUE!</v>
      </c>
    </row>
    <row r="793" spans="1:19" ht="18" customHeight="1" x14ac:dyDescent="0.45">
      <c r="A793" s="64">
        <v>788</v>
      </c>
      <c r="B793" s="49" t="s">
        <v>2912</v>
      </c>
      <c r="C793" s="50" t="s">
        <v>3355</v>
      </c>
      <c r="D793" s="49">
        <v>145177</v>
      </c>
      <c r="E793" s="50" t="s">
        <v>3356</v>
      </c>
      <c r="F793" s="49" t="s">
        <v>6</v>
      </c>
      <c r="G793" s="48">
        <v>42923</v>
      </c>
      <c r="H793" s="48">
        <v>42953</v>
      </c>
      <c r="I793" s="48">
        <v>43020</v>
      </c>
      <c r="J793" s="49" t="s">
        <v>3048</v>
      </c>
      <c r="K793" s="58" t="s">
        <v>7</v>
      </c>
      <c r="L793" s="49">
        <v>0</v>
      </c>
      <c r="M793" s="48">
        <v>43020</v>
      </c>
      <c r="N793" s="49" t="s">
        <v>2917</v>
      </c>
      <c r="O793" s="49" t="s">
        <v>7</v>
      </c>
      <c r="P793" s="49">
        <v>0</v>
      </c>
      <c r="Q793" s="51" t="s">
        <v>5002</v>
      </c>
      <c r="R793" s="67" t="e" cm="1">
        <f t="array" ref="R793">_xlfn.CHOOSECOLS(_xlfn.CHOOSEROWS(_xlfn._xlws.FILTER(표2[],표2[DWG No.]=C793,""),1),6)</f>
        <v>#VALUE!</v>
      </c>
      <c r="S793" s="67" t="e" cm="1">
        <f t="array" ref="S793">_xlfn.CHOOSECOLS(_xlfn.CHOOSEROWS(_xlfn._xlws.FILTER(표2[],(표2[DWG No.]=C793)*(ISNUMBER(표2[Rev.])),""),1),6)</f>
        <v>#VALUE!</v>
      </c>
    </row>
    <row r="794" spans="1:19" ht="18" customHeight="1" x14ac:dyDescent="0.45">
      <c r="A794" s="64">
        <v>789</v>
      </c>
      <c r="B794" s="49" t="s">
        <v>2912</v>
      </c>
      <c r="C794" s="50" t="s">
        <v>3357</v>
      </c>
      <c r="D794" s="49">
        <v>175178</v>
      </c>
      <c r="E794" s="50" t="s">
        <v>3358</v>
      </c>
      <c r="F794" s="49" t="s">
        <v>6</v>
      </c>
      <c r="G794" s="48">
        <v>42777</v>
      </c>
      <c r="H794" s="48">
        <v>42807</v>
      </c>
      <c r="I794" s="48">
        <v>42991</v>
      </c>
      <c r="J794" s="49" t="s">
        <v>3359</v>
      </c>
      <c r="K794" s="58" t="s">
        <v>7</v>
      </c>
      <c r="L794" s="49">
        <v>1</v>
      </c>
      <c r="M794" s="48">
        <v>42996</v>
      </c>
      <c r="N794" s="49" t="s">
        <v>2917</v>
      </c>
      <c r="O794" s="49" t="s">
        <v>7</v>
      </c>
      <c r="P794" s="49">
        <v>1</v>
      </c>
      <c r="Q794" s="51" t="s">
        <v>5002</v>
      </c>
      <c r="R794" s="67" t="e" cm="1">
        <f t="array" ref="R794">_xlfn.CHOOSECOLS(_xlfn.CHOOSEROWS(_xlfn._xlws.FILTER(표2[],표2[DWG No.]=C794,""),1),6)</f>
        <v>#VALUE!</v>
      </c>
      <c r="S794" s="67" t="e" cm="1">
        <f t="array" ref="S794">_xlfn.CHOOSECOLS(_xlfn.CHOOSEROWS(_xlfn._xlws.FILTER(표2[],(표2[DWG No.]=C794)*(ISNUMBER(표2[Rev.])),""),1),6)</f>
        <v>#VALUE!</v>
      </c>
    </row>
    <row r="795" spans="1:19" ht="18" customHeight="1" x14ac:dyDescent="0.45">
      <c r="A795" s="64">
        <v>790</v>
      </c>
      <c r="B795" s="49" t="s">
        <v>2912</v>
      </c>
      <c r="C795" s="50" t="s">
        <v>3360</v>
      </c>
      <c r="D795" s="49">
        <v>175178</v>
      </c>
      <c r="E795" s="50" t="s">
        <v>3361</v>
      </c>
      <c r="F795" s="49" t="s">
        <v>6</v>
      </c>
      <c r="G795" s="48">
        <v>42777</v>
      </c>
      <c r="H795" s="48">
        <v>42807</v>
      </c>
      <c r="I795" s="48">
        <v>42991</v>
      </c>
      <c r="J795" s="49" t="s">
        <v>3359</v>
      </c>
      <c r="K795" s="58" t="s">
        <v>7</v>
      </c>
      <c r="L795" s="49">
        <v>1</v>
      </c>
      <c r="M795" s="48">
        <v>42996</v>
      </c>
      <c r="N795" s="49" t="s">
        <v>2917</v>
      </c>
      <c r="O795" s="49" t="s">
        <v>7</v>
      </c>
      <c r="P795" s="49">
        <v>1</v>
      </c>
      <c r="Q795" s="51" t="s">
        <v>5002</v>
      </c>
      <c r="R795" s="67" t="e" cm="1">
        <f t="array" ref="R795">_xlfn.CHOOSECOLS(_xlfn.CHOOSEROWS(_xlfn._xlws.FILTER(표2[],표2[DWG No.]=C795,""),1),6)</f>
        <v>#VALUE!</v>
      </c>
      <c r="S795" s="67" t="e" cm="1">
        <f t="array" ref="S795">_xlfn.CHOOSECOLS(_xlfn.CHOOSEROWS(_xlfn._xlws.FILTER(표2[],(표2[DWG No.]=C795)*(ISNUMBER(표2[Rev.])),""),1),6)</f>
        <v>#VALUE!</v>
      </c>
    </row>
    <row r="796" spans="1:19" ht="18" customHeight="1" x14ac:dyDescent="0.45">
      <c r="A796" s="64">
        <v>791</v>
      </c>
      <c r="B796" s="49" t="s">
        <v>2912</v>
      </c>
      <c r="C796" s="50" t="s">
        <v>3362</v>
      </c>
      <c r="D796" s="49">
        <v>175178</v>
      </c>
      <c r="E796" s="50" t="s">
        <v>3363</v>
      </c>
      <c r="F796" s="49" t="s">
        <v>6</v>
      </c>
      <c r="G796" s="48">
        <v>42777</v>
      </c>
      <c r="H796" s="48">
        <v>42807</v>
      </c>
      <c r="I796" s="48">
        <v>42991</v>
      </c>
      <c r="J796" s="49" t="s">
        <v>3359</v>
      </c>
      <c r="K796" s="58" t="s">
        <v>7</v>
      </c>
      <c r="L796" s="49">
        <v>1</v>
      </c>
      <c r="M796" s="48">
        <v>42996</v>
      </c>
      <c r="N796" s="49" t="s">
        <v>2917</v>
      </c>
      <c r="O796" s="49" t="s">
        <v>7</v>
      </c>
      <c r="P796" s="49">
        <v>1</v>
      </c>
      <c r="Q796" s="51" t="s">
        <v>5002</v>
      </c>
      <c r="R796" s="67" t="e" cm="1">
        <f t="array" ref="R796">_xlfn.CHOOSECOLS(_xlfn.CHOOSEROWS(_xlfn._xlws.FILTER(표2[],표2[DWG No.]=C796,""),1),6)</f>
        <v>#VALUE!</v>
      </c>
      <c r="S796" s="67" t="e" cm="1">
        <f t="array" ref="S796">_xlfn.CHOOSECOLS(_xlfn.CHOOSEROWS(_xlfn._xlws.FILTER(표2[],(표2[DWG No.]=C796)*(ISNUMBER(표2[Rev.])),""),1),6)</f>
        <v>#VALUE!</v>
      </c>
    </row>
    <row r="797" spans="1:19" ht="18" customHeight="1" x14ac:dyDescent="0.45">
      <c r="A797" s="64">
        <v>792</v>
      </c>
      <c r="B797" s="49" t="s">
        <v>2912</v>
      </c>
      <c r="C797" s="50" t="s">
        <v>3364</v>
      </c>
      <c r="D797" s="49">
        <v>175179</v>
      </c>
      <c r="E797" s="50" t="s">
        <v>3365</v>
      </c>
      <c r="F797" s="49" t="s">
        <v>6</v>
      </c>
      <c r="G797" s="48">
        <v>42777</v>
      </c>
      <c r="H797" s="48">
        <v>42807</v>
      </c>
      <c r="I797" s="48">
        <v>42991</v>
      </c>
      <c r="J797" s="49" t="s">
        <v>3359</v>
      </c>
      <c r="K797" s="58" t="s">
        <v>7</v>
      </c>
      <c r="L797" s="49">
        <v>1</v>
      </c>
      <c r="M797" s="48">
        <v>42996</v>
      </c>
      <c r="N797" s="49" t="s">
        <v>2917</v>
      </c>
      <c r="O797" s="49" t="s">
        <v>7</v>
      </c>
      <c r="P797" s="49">
        <v>1</v>
      </c>
      <c r="Q797" s="51" t="s">
        <v>5002</v>
      </c>
      <c r="R797" s="67" t="e" cm="1">
        <f t="array" ref="R797">_xlfn.CHOOSECOLS(_xlfn.CHOOSEROWS(_xlfn._xlws.FILTER(표2[],표2[DWG No.]=C797,""),1),6)</f>
        <v>#VALUE!</v>
      </c>
      <c r="S797" s="67" t="e" cm="1">
        <f t="array" ref="S797">_xlfn.CHOOSECOLS(_xlfn.CHOOSEROWS(_xlfn._xlws.FILTER(표2[],(표2[DWG No.]=C797)*(ISNUMBER(표2[Rev.])),""),1),6)</f>
        <v>#VALUE!</v>
      </c>
    </row>
    <row r="798" spans="1:19" ht="18" customHeight="1" x14ac:dyDescent="0.45">
      <c r="A798" s="64">
        <v>793</v>
      </c>
      <c r="B798" s="49" t="s">
        <v>2912</v>
      </c>
      <c r="C798" s="50" t="s">
        <v>3366</v>
      </c>
      <c r="D798" s="49">
        <v>175179</v>
      </c>
      <c r="E798" s="50" t="s">
        <v>3365</v>
      </c>
      <c r="F798" s="49" t="s">
        <v>6</v>
      </c>
      <c r="G798" s="48">
        <v>42777</v>
      </c>
      <c r="H798" s="48">
        <v>42807</v>
      </c>
      <c r="I798" s="48">
        <v>42991</v>
      </c>
      <c r="J798" s="49" t="s">
        <v>3359</v>
      </c>
      <c r="K798" s="58" t="s">
        <v>7</v>
      </c>
      <c r="L798" s="49">
        <v>1</v>
      </c>
      <c r="M798" s="48">
        <v>42996</v>
      </c>
      <c r="N798" s="49" t="s">
        <v>2917</v>
      </c>
      <c r="O798" s="49" t="s">
        <v>7</v>
      </c>
      <c r="P798" s="49">
        <v>1</v>
      </c>
      <c r="Q798" s="51" t="s">
        <v>5002</v>
      </c>
      <c r="R798" s="67" t="e" cm="1">
        <f t="array" ref="R798">_xlfn.CHOOSECOLS(_xlfn.CHOOSEROWS(_xlfn._xlws.FILTER(표2[],표2[DWG No.]=C798,""),1),6)</f>
        <v>#VALUE!</v>
      </c>
      <c r="S798" s="67" t="e" cm="1">
        <f t="array" ref="S798">_xlfn.CHOOSECOLS(_xlfn.CHOOSEROWS(_xlfn._xlws.FILTER(표2[],(표2[DWG No.]=C798)*(ISNUMBER(표2[Rev.])),""),1),6)</f>
        <v>#VALUE!</v>
      </c>
    </row>
    <row r="799" spans="1:19" ht="18" customHeight="1" x14ac:dyDescent="0.45">
      <c r="A799" s="64">
        <v>794</v>
      </c>
      <c r="B799" s="49" t="s">
        <v>2912</v>
      </c>
      <c r="C799" s="50" t="s">
        <v>3367</v>
      </c>
      <c r="D799" s="49">
        <v>175180</v>
      </c>
      <c r="E799" s="50" t="s">
        <v>3368</v>
      </c>
      <c r="F799" s="49" t="s">
        <v>6</v>
      </c>
      <c r="G799" s="48">
        <v>42777</v>
      </c>
      <c r="H799" s="48">
        <v>42807</v>
      </c>
      <c r="I799" s="48">
        <v>42991</v>
      </c>
      <c r="J799" s="49" t="s">
        <v>3359</v>
      </c>
      <c r="K799" s="58" t="s">
        <v>7</v>
      </c>
      <c r="L799" s="49">
        <v>0</v>
      </c>
      <c r="M799" s="48">
        <v>42996</v>
      </c>
      <c r="N799" s="49" t="s">
        <v>2917</v>
      </c>
      <c r="O799" s="49" t="s">
        <v>7</v>
      </c>
      <c r="P799" s="49">
        <v>0</v>
      </c>
      <c r="Q799" s="51" t="s">
        <v>5002</v>
      </c>
      <c r="R799" s="67" t="e" cm="1">
        <f t="array" ref="R799">_xlfn.CHOOSECOLS(_xlfn.CHOOSEROWS(_xlfn._xlws.FILTER(표2[],표2[DWG No.]=C799,""),1),6)</f>
        <v>#VALUE!</v>
      </c>
      <c r="S799" s="67" t="e" cm="1">
        <f t="array" ref="S799">_xlfn.CHOOSECOLS(_xlfn.CHOOSEROWS(_xlfn._xlws.FILTER(표2[],(표2[DWG No.]=C799)*(ISNUMBER(표2[Rev.])),""),1),6)</f>
        <v>#VALUE!</v>
      </c>
    </row>
    <row r="800" spans="1:19" ht="18" customHeight="1" x14ac:dyDescent="0.45">
      <c r="A800" s="64">
        <v>795</v>
      </c>
      <c r="B800" s="49" t="s">
        <v>2912</v>
      </c>
      <c r="C800" s="50" t="s">
        <v>3369</v>
      </c>
      <c r="D800" s="49">
        <v>115183</v>
      </c>
      <c r="E800" s="50" t="s">
        <v>3370</v>
      </c>
      <c r="F800" s="49" t="s">
        <v>6</v>
      </c>
      <c r="G800" s="48">
        <v>42893</v>
      </c>
      <c r="H800" s="48">
        <v>42923</v>
      </c>
      <c r="I800" s="48">
        <v>43089</v>
      </c>
      <c r="J800" s="51" t="s">
        <v>3371</v>
      </c>
      <c r="K800" s="58" t="s">
        <v>7</v>
      </c>
      <c r="L800" s="49">
        <v>0</v>
      </c>
      <c r="M800" s="61">
        <v>43090</v>
      </c>
      <c r="N800" s="51" t="s">
        <v>2917</v>
      </c>
      <c r="O800" s="49" t="s">
        <v>7</v>
      </c>
      <c r="P800" s="51">
        <v>0</v>
      </c>
      <c r="Q800" s="51" t="s">
        <v>5002</v>
      </c>
      <c r="R800" s="67" t="e" cm="1">
        <f t="array" ref="R800">_xlfn.CHOOSECOLS(_xlfn.CHOOSEROWS(_xlfn._xlws.FILTER(표2[],표2[DWG No.]=C800,""),1),6)</f>
        <v>#VALUE!</v>
      </c>
      <c r="S800" s="67" t="e" cm="1">
        <f t="array" ref="S800">_xlfn.CHOOSECOLS(_xlfn.CHOOSEROWS(_xlfn._xlws.FILTER(표2[],(표2[DWG No.]=C800)*(ISNUMBER(표2[Rev.])),""),1),6)</f>
        <v>#VALUE!</v>
      </c>
    </row>
    <row r="801" spans="1:19" ht="18" customHeight="1" x14ac:dyDescent="0.45">
      <c r="A801" s="64">
        <v>796</v>
      </c>
      <c r="B801" s="49" t="s">
        <v>2912</v>
      </c>
      <c r="C801" s="50" t="s">
        <v>3372</v>
      </c>
      <c r="D801" s="49">
        <v>115184</v>
      </c>
      <c r="E801" s="50" t="s">
        <v>3373</v>
      </c>
      <c r="F801" s="49" t="s">
        <v>6</v>
      </c>
      <c r="G801" s="48">
        <v>42893</v>
      </c>
      <c r="H801" s="48">
        <v>42923</v>
      </c>
      <c r="I801" s="48">
        <v>43039</v>
      </c>
      <c r="J801" s="49" t="s">
        <v>3083</v>
      </c>
      <c r="K801" s="58" t="s">
        <v>5032</v>
      </c>
      <c r="L801" s="49" t="s">
        <v>164</v>
      </c>
      <c r="M801" s="48">
        <v>43054</v>
      </c>
      <c r="N801" s="49" t="s">
        <v>3241</v>
      </c>
      <c r="O801" s="49" t="s">
        <v>6</v>
      </c>
      <c r="P801" s="49" t="s">
        <v>164</v>
      </c>
      <c r="Q801" s="49" t="s">
        <v>160</v>
      </c>
      <c r="R801" s="67" t="e" cm="1">
        <f t="array" ref="R801">_xlfn.CHOOSECOLS(_xlfn.CHOOSEROWS(_xlfn._xlws.FILTER(표2[],표2[DWG No.]=C801,""),1),6)</f>
        <v>#VALUE!</v>
      </c>
      <c r="S801" s="67" t="e" cm="1">
        <f t="array" ref="S801">_xlfn.CHOOSECOLS(_xlfn.CHOOSEROWS(_xlfn._xlws.FILTER(표2[],(표2[DWG No.]=C801)*(ISNUMBER(표2[Rev.])),""),1),6)</f>
        <v>#VALUE!</v>
      </c>
    </row>
    <row r="802" spans="1:19" ht="18" customHeight="1" x14ac:dyDescent="0.45">
      <c r="A802" s="64">
        <v>797</v>
      </c>
      <c r="B802" s="49" t="s">
        <v>2912</v>
      </c>
      <c r="C802" s="50" t="s">
        <v>3374</v>
      </c>
      <c r="D802" s="49">
        <v>125185</v>
      </c>
      <c r="E802" s="50" t="s">
        <v>3375</v>
      </c>
      <c r="F802" s="49" t="s">
        <v>6</v>
      </c>
      <c r="G802" s="48">
        <v>42805</v>
      </c>
      <c r="H802" s="48">
        <v>42835</v>
      </c>
      <c r="I802" s="48">
        <v>42832</v>
      </c>
      <c r="J802" s="49" t="s">
        <v>3376</v>
      </c>
      <c r="K802" s="58" t="s">
        <v>5032</v>
      </c>
      <c r="L802" s="49" t="s">
        <v>65</v>
      </c>
      <c r="M802" s="48">
        <v>42846</v>
      </c>
      <c r="N802" s="49" t="s">
        <v>3377</v>
      </c>
      <c r="O802" s="49" t="s">
        <v>6</v>
      </c>
      <c r="P802" s="49" t="s">
        <v>65</v>
      </c>
      <c r="Q802" s="49" t="s">
        <v>160</v>
      </c>
      <c r="R802" s="67" t="e" cm="1">
        <f t="array" ref="R802">_xlfn.CHOOSECOLS(_xlfn.CHOOSEROWS(_xlfn._xlws.FILTER(표2[],표2[DWG No.]=C802,""),1),6)</f>
        <v>#VALUE!</v>
      </c>
      <c r="S802" s="67" t="e" cm="1">
        <f t="array" ref="S802">_xlfn.CHOOSECOLS(_xlfn.CHOOSEROWS(_xlfn._xlws.FILTER(표2[],(표2[DWG No.]=C802)*(ISNUMBER(표2[Rev.])),""),1),6)</f>
        <v>#VALUE!</v>
      </c>
    </row>
    <row r="803" spans="1:19" ht="18" customHeight="1" x14ac:dyDescent="0.45">
      <c r="A803" s="64">
        <v>798</v>
      </c>
      <c r="B803" s="49" t="s">
        <v>2912</v>
      </c>
      <c r="C803" s="50" t="s">
        <v>3378</v>
      </c>
      <c r="D803" s="49">
        <v>125186</v>
      </c>
      <c r="E803" s="50" t="s">
        <v>3379</v>
      </c>
      <c r="F803" s="49" t="s">
        <v>6</v>
      </c>
      <c r="G803" s="48">
        <v>42805</v>
      </c>
      <c r="H803" s="48">
        <v>42835</v>
      </c>
      <c r="I803" s="48">
        <v>42832</v>
      </c>
      <c r="J803" s="49" t="s">
        <v>3376</v>
      </c>
      <c r="K803" s="58" t="s">
        <v>5032</v>
      </c>
      <c r="L803" s="49" t="s">
        <v>65</v>
      </c>
      <c r="M803" s="48">
        <v>42846</v>
      </c>
      <c r="N803" s="49" t="s">
        <v>3377</v>
      </c>
      <c r="O803" s="49" t="s">
        <v>6</v>
      </c>
      <c r="P803" s="49" t="s">
        <v>65</v>
      </c>
      <c r="Q803" s="49" t="s">
        <v>160</v>
      </c>
      <c r="R803" s="67" t="e" cm="1">
        <f t="array" ref="R803">_xlfn.CHOOSECOLS(_xlfn.CHOOSEROWS(_xlfn._xlws.FILTER(표2[],표2[DWG No.]=C803,""),1),6)</f>
        <v>#VALUE!</v>
      </c>
      <c r="S803" s="67" t="e" cm="1">
        <f t="array" ref="S803">_xlfn.CHOOSECOLS(_xlfn.CHOOSEROWS(_xlfn._xlws.FILTER(표2[],(표2[DWG No.]=C803)*(ISNUMBER(표2[Rev.])),""),1),6)</f>
        <v>#VALUE!</v>
      </c>
    </row>
    <row r="804" spans="1:19" ht="18" customHeight="1" x14ac:dyDescent="0.45">
      <c r="A804" s="64">
        <v>799</v>
      </c>
      <c r="B804" s="49" t="s">
        <v>2912</v>
      </c>
      <c r="C804" s="50" t="s">
        <v>3380</v>
      </c>
      <c r="D804" s="49">
        <v>125187</v>
      </c>
      <c r="E804" s="50" t="s">
        <v>3381</v>
      </c>
      <c r="F804" s="49" t="s">
        <v>6</v>
      </c>
      <c r="G804" s="48">
        <v>42805</v>
      </c>
      <c r="H804" s="48">
        <v>42835</v>
      </c>
      <c r="I804" s="48">
        <v>42954</v>
      </c>
      <c r="J804" s="49" t="s">
        <v>2981</v>
      </c>
      <c r="K804" s="58" t="s">
        <v>7</v>
      </c>
      <c r="L804" s="49">
        <v>0</v>
      </c>
      <c r="M804" s="48">
        <v>42954</v>
      </c>
      <c r="N804" s="49" t="s">
        <v>2917</v>
      </c>
      <c r="O804" s="49" t="s">
        <v>7</v>
      </c>
      <c r="P804" s="49">
        <v>0</v>
      </c>
      <c r="Q804" s="51" t="s">
        <v>5002</v>
      </c>
      <c r="R804" s="67" t="e" cm="1">
        <f t="array" ref="R804">_xlfn.CHOOSECOLS(_xlfn.CHOOSEROWS(_xlfn._xlws.FILTER(표2[],표2[DWG No.]=C804,""),1),6)</f>
        <v>#VALUE!</v>
      </c>
      <c r="S804" s="67" t="e" cm="1">
        <f t="array" ref="S804">_xlfn.CHOOSECOLS(_xlfn.CHOOSEROWS(_xlfn._xlws.FILTER(표2[],(표2[DWG No.]=C804)*(ISNUMBER(표2[Rev.])),""),1),6)</f>
        <v>#VALUE!</v>
      </c>
    </row>
    <row r="805" spans="1:19" ht="18" customHeight="1" x14ac:dyDescent="0.45">
      <c r="A805" s="64">
        <v>800</v>
      </c>
      <c r="B805" s="49" t="s">
        <v>2912</v>
      </c>
      <c r="C805" s="50" t="s">
        <v>3382</v>
      </c>
      <c r="D805" s="49">
        <v>125188</v>
      </c>
      <c r="E805" s="50" t="s">
        <v>3383</v>
      </c>
      <c r="F805" s="49" t="s">
        <v>6</v>
      </c>
      <c r="G805" s="48">
        <v>42805</v>
      </c>
      <c r="H805" s="48">
        <v>42835</v>
      </c>
      <c r="I805" s="48">
        <v>43012</v>
      </c>
      <c r="J805" s="49" t="s">
        <v>3202</v>
      </c>
      <c r="K805" s="58" t="s">
        <v>7</v>
      </c>
      <c r="L805" s="49">
        <v>0</v>
      </c>
      <c r="M805" s="48">
        <v>43012</v>
      </c>
      <c r="N805" s="49" t="s">
        <v>2917</v>
      </c>
      <c r="O805" s="49" t="s">
        <v>7</v>
      </c>
      <c r="P805" s="49">
        <v>0</v>
      </c>
      <c r="Q805" s="51" t="s">
        <v>5002</v>
      </c>
      <c r="R805" s="67" t="e" cm="1">
        <f t="array" ref="R805">_xlfn.CHOOSECOLS(_xlfn.CHOOSEROWS(_xlfn._xlws.FILTER(표2[],표2[DWG No.]=C805,""),1),6)</f>
        <v>#VALUE!</v>
      </c>
      <c r="S805" s="67" t="e" cm="1">
        <f t="array" ref="S805">_xlfn.CHOOSECOLS(_xlfn.CHOOSEROWS(_xlfn._xlws.FILTER(표2[],(표2[DWG No.]=C805)*(ISNUMBER(표2[Rev.])),""),1),6)</f>
        <v>#VALUE!</v>
      </c>
    </row>
    <row r="806" spans="1:19" ht="18" customHeight="1" x14ac:dyDescent="0.45">
      <c r="A806" s="64">
        <v>801</v>
      </c>
      <c r="B806" s="49" t="s">
        <v>2912</v>
      </c>
      <c r="C806" s="50" t="s">
        <v>3384</v>
      </c>
      <c r="D806" s="49">
        <v>125189</v>
      </c>
      <c r="E806" s="50" t="s">
        <v>3385</v>
      </c>
      <c r="F806" s="49" t="s">
        <v>6</v>
      </c>
      <c r="G806" s="48">
        <v>42805</v>
      </c>
      <c r="H806" s="48">
        <v>42835</v>
      </c>
      <c r="I806" s="48">
        <v>43018</v>
      </c>
      <c r="J806" s="49" t="s">
        <v>3386</v>
      </c>
      <c r="K806" s="58" t="s">
        <v>7</v>
      </c>
      <c r="L806" s="49">
        <v>0</v>
      </c>
      <c r="M806" s="48">
        <v>43018</v>
      </c>
      <c r="N806" s="49" t="s">
        <v>2917</v>
      </c>
      <c r="O806" s="49" t="s">
        <v>7</v>
      </c>
      <c r="P806" s="49">
        <v>0</v>
      </c>
      <c r="Q806" s="51" t="s">
        <v>5002</v>
      </c>
      <c r="R806" s="67" t="e" cm="1">
        <f t="array" ref="R806">_xlfn.CHOOSECOLS(_xlfn.CHOOSEROWS(_xlfn._xlws.FILTER(표2[],표2[DWG No.]=C806,""),1),6)</f>
        <v>#VALUE!</v>
      </c>
      <c r="S806" s="67" t="e" cm="1">
        <f t="array" ref="S806">_xlfn.CHOOSECOLS(_xlfn.CHOOSEROWS(_xlfn._xlws.FILTER(표2[],(표2[DWG No.]=C806)*(ISNUMBER(표2[Rev.])),""),1),6)</f>
        <v>#VALUE!</v>
      </c>
    </row>
    <row r="807" spans="1:19" ht="18" customHeight="1" x14ac:dyDescent="0.45">
      <c r="A807" s="64">
        <v>802</v>
      </c>
      <c r="B807" s="49" t="s">
        <v>2912</v>
      </c>
      <c r="C807" s="50" t="s">
        <v>3387</v>
      </c>
      <c r="D807" s="49">
        <v>125189</v>
      </c>
      <c r="E807" s="50" t="s">
        <v>3388</v>
      </c>
      <c r="F807" s="49" t="s">
        <v>6</v>
      </c>
      <c r="G807" s="48">
        <v>42805</v>
      </c>
      <c r="H807" s="48">
        <v>42835</v>
      </c>
      <c r="I807" s="48">
        <v>43018</v>
      </c>
      <c r="J807" s="49" t="s">
        <v>3386</v>
      </c>
      <c r="K807" s="58" t="s">
        <v>7</v>
      </c>
      <c r="L807" s="49">
        <v>0</v>
      </c>
      <c r="M807" s="48">
        <v>43018</v>
      </c>
      <c r="N807" s="49" t="s">
        <v>2917</v>
      </c>
      <c r="O807" s="49" t="s">
        <v>7</v>
      </c>
      <c r="P807" s="49">
        <v>0</v>
      </c>
      <c r="Q807" s="51" t="s">
        <v>5002</v>
      </c>
      <c r="R807" s="67" t="e" cm="1">
        <f t="array" ref="R807">_xlfn.CHOOSECOLS(_xlfn.CHOOSEROWS(_xlfn._xlws.FILTER(표2[],표2[DWG No.]=C807,""),1),6)</f>
        <v>#VALUE!</v>
      </c>
      <c r="S807" s="67" t="e" cm="1">
        <f t="array" ref="S807">_xlfn.CHOOSECOLS(_xlfn.CHOOSEROWS(_xlfn._xlws.FILTER(표2[],(표2[DWG No.]=C807)*(ISNUMBER(표2[Rev.])),""),1),6)</f>
        <v>#VALUE!</v>
      </c>
    </row>
    <row r="808" spans="1:19" ht="18" customHeight="1" x14ac:dyDescent="0.45">
      <c r="A808" s="64">
        <v>803</v>
      </c>
      <c r="B808" s="49" t="s">
        <v>2912</v>
      </c>
      <c r="C808" s="50" t="s">
        <v>3389</v>
      </c>
      <c r="D808" s="49">
        <v>125191</v>
      </c>
      <c r="E808" s="50" t="s">
        <v>3390</v>
      </c>
      <c r="F808" s="49" t="s">
        <v>6</v>
      </c>
      <c r="G808" s="48">
        <v>42923</v>
      </c>
      <c r="H808" s="48">
        <v>42953</v>
      </c>
      <c r="I808" s="48">
        <v>42984</v>
      </c>
      <c r="J808" s="49" t="s">
        <v>2977</v>
      </c>
      <c r="K808" s="58" t="s">
        <v>7</v>
      </c>
      <c r="L808" s="49">
        <v>0</v>
      </c>
      <c r="M808" s="48">
        <v>42984</v>
      </c>
      <c r="N808" s="49" t="s">
        <v>2917</v>
      </c>
      <c r="O808" s="49" t="s">
        <v>7</v>
      </c>
      <c r="P808" s="49">
        <v>0</v>
      </c>
      <c r="Q808" s="51" t="s">
        <v>5002</v>
      </c>
      <c r="R808" s="67" t="e" cm="1">
        <f t="array" ref="R808">_xlfn.CHOOSECOLS(_xlfn.CHOOSEROWS(_xlfn._xlws.FILTER(표2[],표2[DWG No.]=C808,""),1),6)</f>
        <v>#VALUE!</v>
      </c>
      <c r="S808" s="67" t="e" cm="1">
        <f t="array" ref="S808">_xlfn.CHOOSECOLS(_xlfn.CHOOSEROWS(_xlfn._xlws.FILTER(표2[],(표2[DWG No.]=C808)*(ISNUMBER(표2[Rev.])),""),1),6)</f>
        <v>#VALUE!</v>
      </c>
    </row>
    <row r="809" spans="1:19" ht="18" customHeight="1" x14ac:dyDescent="0.45">
      <c r="A809" s="64">
        <v>804</v>
      </c>
      <c r="B809" s="49" t="s">
        <v>2912</v>
      </c>
      <c r="C809" s="50" t="s">
        <v>3391</v>
      </c>
      <c r="D809" s="49">
        <v>145192</v>
      </c>
      <c r="E809" s="50" t="s">
        <v>3392</v>
      </c>
      <c r="F809" s="49" t="s">
        <v>6</v>
      </c>
      <c r="G809" s="48">
        <v>42931</v>
      </c>
      <c r="H809" s="48">
        <v>42961</v>
      </c>
      <c r="I809" s="48">
        <v>43017</v>
      </c>
      <c r="J809" s="49" t="s">
        <v>3052</v>
      </c>
      <c r="K809" s="58" t="s">
        <v>7</v>
      </c>
      <c r="L809" s="49">
        <v>0</v>
      </c>
      <c r="M809" s="48">
        <v>43018</v>
      </c>
      <c r="N809" s="49" t="s">
        <v>2917</v>
      </c>
      <c r="O809" s="49" t="s">
        <v>7</v>
      </c>
      <c r="P809" s="49">
        <v>0</v>
      </c>
      <c r="Q809" s="51" t="s">
        <v>5002</v>
      </c>
      <c r="R809" s="67" t="e" cm="1">
        <f t="array" ref="R809">_xlfn.CHOOSECOLS(_xlfn.CHOOSEROWS(_xlfn._xlws.FILTER(표2[],표2[DWG No.]=C809,""),1),6)</f>
        <v>#VALUE!</v>
      </c>
      <c r="S809" s="67" t="e" cm="1">
        <f t="array" ref="S809">_xlfn.CHOOSECOLS(_xlfn.CHOOSEROWS(_xlfn._xlws.FILTER(표2[],(표2[DWG No.]=C809)*(ISNUMBER(표2[Rev.])),""),1),6)</f>
        <v>#VALUE!</v>
      </c>
    </row>
    <row r="810" spans="1:19" ht="18" customHeight="1" x14ac:dyDescent="0.45">
      <c r="A810" s="64">
        <v>805</v>
      </c>
      <c r="B810" s="49" t="s">
        <v>2912</v>
      </c>
      <c r="C810" s="50" t="s">
        <v>3393</v>
      </c>
      <c r="D810" s="49">
        <v>155193</v>
      </c>
      <c r="E810" s="50" t="s">
        <v>3394</v>
      </c>
      <c r="F810" s="49" t="s">
        <v>6</v>
      </c>
      <c r="G810" s="48">
        <v>42805</v>
      </c>
      <c r="H810" s="48">
        <v>42835</v>
      </c>
      <c r="I810" s="48">
        <v>43097</v>
      </c>
      <c r="J810" s="49" t="s">
        <v>3395</v>
      </c>
      <c r="K810" s="58" t="s">
        <v>7</v>
      </c>
      <c r="L810" s="49">
        <v>1</v>
      </c>
      <c r="M810" s="48">
        <v>43098</v>
      </c>
      <c r="N810" s="49" t="s">
        <v>2917</v>
      </c>
      <c r="O810" s="49" t="s">
        <v>7</v>
      </c>
      <c r="P810" s="49">
        <v>1</v>
      </c>
      <c r="Q810" s="51" t="s">
        <v>5002</v>
      </c>
      <c r="R810" s="67" t="e" cm="1">
        <f t="array" ref="R810">_xlfn.CHOOSECOLS(_xlfn.CHOOSEROWS(_xlfn._xlws.FILTER(표2[],표2[DWG No.]=C810,""),1),6)</f>
        <v>#VALUE!</v>
      </c>
      <c r="S810" s="67" t="e" cm="1">
        <f t="array" ref="S810">_xlfn.CHOOSECOLS(_xlfn.CHOOSEROWS(_xlfn._xlws.FILTER(표2[],(표2[DWG No.]=C810)*(ISNUMBER(표2[Rev.])),""),1),6)</f>
        <v>#VALUE!</v>
      </c>
    </row>
    <row r="811" spans="1:19" ht="18" customHeight="1" x14ac:dyDescent="0.45">
      <c r="A811" s="64">
        <v>806</v>
      </c>
      <c r="B811" s="49" t="s">
        <v>2912</v>
      </c>
      <c r="C811" s="50" t="s">
        <v>3396</v>
      </c>
      <c r="D811" s="49">
        <v>155194</v>
      </c>
      <c r="E811" s="50" t="s">
        <v>3397</v>
      </c>
      <c r="F811" s="49" t="s">
        <v>6</v>
      </c>
      <c r="G811" s="48">
        <v>42805</v>
      </c>
      <c r="H811" s="48">
        <v>42835</v>
      </c>
      <c r="I811" s="48">
        <v>43000</v>
      </c>
      <c r="J811" s="49" t="s">
        <v>3183</v>
      </c>
      <c r="K811" s="58" t="s">
        <v>7</v>
      </c>
      <c r="L811" s="49">
        <v>0</v>
      </c>
      <c r="M811" s="48">
        <v>43003</v>
      </c>
      <c r="N811" s="49" t="s">
        <v>2917</v>
      </c>
      <c r="O811" s="49" t="s">
        <v>7</v>
      </c>
      <c r="P811" s="49">
        <v>0</v>
      </c>
      <c r="Q811" s="51" t="s">
        <v>5002</v>
      </c>
      <c r="R811" s="67" t="e" cm="1">
        <f t="array" ref="R811">_xlfn.CHOOSECOLS(_xlfn.CHOOSEROWS(_xlfn._xlws.FILTER(표2[],표2[DWG No.]=C811,""),1),6)</f>
        <v>#VALUE!</v>
      </c>
      <c r="S811" s="67" t="e" cm="1">
        <f t="array" ref="S811">_xlfn.CHOOSECOLS(_xlfn.CHOOSEROWS(_xlfn._xlws.FILTER(표2[],(표2[DWG No.]=C811)*(ISNUMBER(표2[Rev.])),""),1),6)</f>
        <v>#VALUE!</v>
      </c>
    </row>
    <row r="812" spans="1:19" ht="18" customHeight="1" x14ac:dyDescent="0.45">
      <c r="A812" s="64">
        <v>807</v>
      </c>
      <c r="B812" s="49" t="s">
        <v>2912</v>
      </c>
      <c r="C812" s="50" t="s">
        <v>3398</v>
      </c>
      <c r="D812" s="49">
        <v>155195</v>
      </c>
      <c r="E812" s="50" t="s">
        <v>3399</v>
      </c>
      <c r="F812" s="49" t="s">
        <v>6</v>
      </c>
      <c r="G812" s="48">
        <v>42805</v>
      </c>
      <c r="H812" s="48">
        <v>42835</v>
      </c>
      <c r="I812" s="48">
        <v>43727</v>
      </c>
      <c r="J812" s="49" t="s">
        <v>3400</v>
      </c>
      <c r="K812" s="58" t="s">
        <v>7</v>
      </c>
      <c r="L812" s="49" t="s">
        <v>1851</v>
      </c>
      <c r="M812" s="48">
        <v>43734</v>
      </c>
      <c r="N812" s="49" t="s">
        <v>3401</v>
      </c>
      <c r="O812" s="49"/>
      <c r="P812" s="49" t="s">
        <v>1851</v>
      </c>
      <c r="Q812" s="51" t="s">
        <v>5002</v>
      </c>
      <c r="R812" s="67" t="e" cm="1">
        <f t="array" ref="R812">_xlfn.CHOOSECOLS(_xlfn.CHOOSEROWS(_xlfn._xlws.FILTER(표2[],표2[DWG No.]=C812,""),1),6)</f>
        <v>#VALUE!</v>
      </c>
      <c r="S812" s="67" t="e" cm="1">
        <f t="array" ref="S812">_xlfn.CHOOSECOLS(_xlfn.CHOOSEROWS(_xlfn._xlws.FILTER(표2[],(표2[DWG No.]=C812)*(ISNUMBER(표2[Rev.])),""),1),6)</f>
        <v>#VALUE!</v>
      </c>
    </row>
    <row r="813" spans="1:19" ht="18" customHeight="1" x14ac:dyDescent="0.45">
      <c r="A813" s="64">
        <v>808</v>
      </c>
      <c r="B813" s="49" t="s">
        <v>2912</v>
      </c>
      <c r="C813" s="50" t="s">
        <v>3402</v>
      </c>
      <c r="D813" s="49">
        <v>155196</v>
      </c>
      <c r="E813" s="50" t="s">
        <v>3403</v>
      </c>
      <c r="F813" s="49" t="s">
        <v>6</v>
      </c>
      <c r="G813" s="48">
        <v>42805</v>
      </c>
      <c r="H813" s="48">
        <v>42835</v>
      </c>
      <c r="I813" s="48">
        <v>42965</v>
      </c>
      <c r="J813" s="49" t="s">
        <v>3070</v>
      </c>
      <c r="K813" s="58" t="s">
        <v>7</v>
      </c>
      <c r="L813" s="49">
        <v>0</v>
      </c>
      <c r="M813" s="48">
        <v>42969</v>
      </c>
      <c r="N813" s="49" t="s">
        <v>2917</v>
      </c>
      <c r="O813" s="49" t="s">
        <v>7</v>
      </c>
      <c r="P813" s="49">
        <v>0</v>
      </c>
      <c r="Q813" s="51" t="s">
        <v>5002</v>
      </c>
      <c r="R813" s="67" t="e" cm="1">
        <f t="array" ref="R813">_xlfn.CHOOSECOLS(_xlfn.CHOOSEROWS(_xlfn._xlws.FILTER(표2[],표2[DWG No.]=C813,""),1),6)</f>
        <v>#VALUE!</v>
      </c>
      <c r="S813" s="67" t="e" cm="1">
        <f t="array" ref="S813">_xlfn.CHOOSECOLS(_xlfn.CHOOSEROWS(_xlfn._xlws.FILTER(표2[],(표2[DWG No.]=C813)*(ISNUMBER(표2[Rev.])),""),1),6)</f>
        <v>#VALUE!</v>
      </c>
    </row>
    <row r="814" spans="1:19" ht="18" customHeight="1" x14ac:dyDescent="0.45">
      <c r="A814" s="64">
        <v>809</v>
      </c>
      <c r="B814" s="49" t="s">
        <v>2912</v>
      </c>
      <c r="C814" s="50" t="s">
        <v>3404</v>
      </c>
      <c r="D814" s="49">
        <v>155197</v>
      </c>
      <c r="E814" s="50" t="s">
        <v>3405</v>
      </c>
      <c r="F814" s="49" t="s">
        <v>6</v>
      </c>
      <c r="G814" s="48">
        <v>42805</v>
      </c>
      <c r="H814" s="48">
        <v>42835</v>
      </c>
      <c r="I814" s="48">
        <v>42965</v>
      </c>
      <c r="J814" s="49" t="s">
        <v>3070</v>
      </c>
      <c r="K814" s="58" t="s">
        <v>7</v>
      </c>
      <c r="L814" s="49">
        <v>0</v>
      </c>
      <c r="M814" s="48">
        <v>42969</v>
      </c>
      <c r="N814" s="49" t="s">
        <v>2917</v>
      </c>
      <c r="O814" s="49" t="s">
        <v>7</v>
      </c>
      <c r="P814" s="49">
        <v>0</v>
      </c>
      <c r="Q814" s="51" t="s">
        <v>5002</v>
      </c>
      <c r="R814" s="67" t="e" cm="1">
        <f t="array" ref="R814">_xlfn.CHOOSECOLS(_xlfn.CHOOSEROWS(_xlfn._xlws.FILTER(표2[],표2[DWG No.]=C814,""),1),6)</f>
        <v>#VALUE!</v>
      </c>
      <c r="S814" s="67" t="e" cm="1">
        <f t="array" ref="S814">_xlfn.CHOOSECOLS(_xlfn.CHOOSEROWS(_xlfn._xlws.FILTER(표2[],(표2[DWG No.]=C814)*(ISNUMBER(표2[Rev.])),""),1),6)</f>
        <v>#VALUE!</v>
      </c>
    </row>
    <row r="815" spans="1:19" ht="18" customHeight="1" x14ac:dyDescent="0.45">
      <c r="A815" s="64">
        <v>810</v>
      </c>
      <c r="B815" s="49" t="s">
        <v>2912</v>
      </c>
      <c r="C815" s="50" t="s">
        <v>3406</v>
      </c>
      <c r="D815" s="49">
        <v>175206</v>
      </c>
      <c r="E815" s="50" t="s">
        <v>3407</v>
      </c>
      <c r="F815" s="49" t="s">
        <v>6</v>
      </c>
      <c r="G815" s="48">
        <v>42798</v>
      </c>
      <c r="H815" s="48">
        <v>42828</v>
      </c>
      <c r="I815" s="48">
        <v>42971</v>
      </c>
      <c r="J815" s="49" t="s">
        <v>3408</v>
      </c>
      <c r="K815" s="58" t="s">
        <v>7</v>
      </c>
      <c r="L815" s="49">
        <v>0</v>
      </c>
      <c r="M815" s="48">
        <v>42972</v>
      </c>
      <c r="N815" s="49" t="s">
        <v>2917</v>
      </c>
      <c r="O815" s="49" t="s">
        <v>7</v>
      </c>
      <c r="P815" s="49">
        <v>0</v>
      </c>
      <c r="Q815" s="51" t="s">
        <v>5002</v>
      </c>
      <c r="R815" s="67" t="e" cm="1">
        <f t="array" ref="R815">_xlfn.CHOOSECOLS(_xlfn.CHOOSEROWS(_xlfn._xlws.FILTER(표2[],표2[DWG No.]=C815,""),1),6)</f>
        <v>#VALUE!</v>
      </c>
      <c r="S815" s="67" t="e" cm="1">
        <f t="array" ref="S815">_xlfn.CHOOSECOLS(_xlfn.CHOOSEROWS(_xlfn._xlws.FILTER(표2[],(표2[DWG No.]=C815)*(ISNUMBER(표2[Rev.])),""),1),6)</f>
        <v>#VALUE!</v>
      </c>
    </row>
    <row r="816" spans="1:19" ht="18" customHeight="1" x14ac:dyDescent="0.45">
      <c r="A816" s="64">
        <v>811</v>
      </c>
      <c r="B816" s="49" t="s">
        <v>2912</v>
      </c>
      <c r="C816" s="50" t="s">
        <v>3409</v>
      </c>
      <c r="D816" s="49">
        <v>175207</v>
      </c>
      <c r="E816" s="50" t="s">
        <v>3410</v>
      </c>
      <c r="F816" s="49" t="s">
        <v>6</v>
      </c>
      <c r="G816" s="48">
        <v>42909</v>
      </c>
      <c r="H816" s="48">
        <v>42939</v>
      </c>
      <c r="I816" s="48">
        <v>42971</v>
      </c>
      <c r="J816" s="49" t="s">
        <v>3408</v>
      </c>
      <c r="K816" s="58" t="s">
        <v>7</v>
      </c>
      <c r="L816" s="49">
        <v>0</v>
      </c>
      <c r="M816" s="48">
        <v>42972</v>
      </c>
      <c r="N816" s="49" t="s">
        <v>2917</v>
      </c>
      <c r="O816" s="49" t="s">
        <v>7</v>
      </c>
      <c r="P816" s="49">
        <v>0</v>
      </c>
      <c r="Q816" s="51" t="s">
        <v>5002</v>
      </c>
      <c r="R816" s="67" t="e" cm="1">
        <f t="array" ref="R816">_xlfn.CHOOSECOLS(_xlfn.CHOOSEROWS(_xlfn._xlws.FILTER(표2[],표2[DWG No.]=C816,""),1),6)</f>
        <v>#VALUE!</v>
      </c>
      <c r="S816" s="67" t="e" cm="1">
        <f t="array" ref="S816">_xlfn.CHOOSECOLS(_xlfn.CHOOSEROWS(_xlfn._xlws.FILTER(표2[],(표2[DWG No.]=C816)*(ISNUMBER(표2[Rev.])),""),1),6)</f>
        <v>#VALUE!</v>
      </c>
    </row>
    <row r="817" spans="1:19" ht="18" customHeight="1" x14ac:dyDescent="0.45">
      <c r="A817" s="64">
        <v>812</v>
      </c>
      <c r="B817" s="49" t="s">
        <v>2912</v>
      </c>
      <c r="C817" s="50" t="s">
        <v>3411</v>
      </c>
      <c r="D817" s="49">
        <v>175208</v>
      </c>
      <c r="E817" s="50" t="s">
        <v>3412</v>
      </c>
      <c r="F817" s="49" t="s">
        <v>6</v>
      </c>
      <c r="G817" s="48">
        <v>42909</v>
      </c>
      <c r="H817" s="48">
        <v>42939</v>
      </c>
      <c r="I817" s="48">
        <v>42971</v>
      </c>
      <c r="J817" s="49" t="s">
        <v>3408</v>
      </c>
      <c r="K817" s="58" t="s">
        <v>7</v>
      </c>
      <c r="L817" s="49">
        <v>0</v>
      </c>
      <c r="M817" s="48">
        <v>42972</v>
      </c>
      <c r="N817" s="49" t="s">
        <v>2917</v>
      </c>
      <c r="O817" s="49" t="s">
        <v>7</v>
      </c>
      <c r="P817" s="49">
        <v>0</v>
      </c>
      <c r="Q817" s="51" t="s">
        <v>5002</v>
      </c>
      <c r="R817" s="67" t="e" cm="1">
        <f t="array" ref="R817">_xlfn.CHOOSECOLS(_xlfn.CHOOSEROWS(_xlfn._xlws.FILTER(표2[],표2[DWG No.]=C817,""),1),6)</f>
        <v>#VALUE!</v>
      </c>
      <c r="S817" s="67" t="e" cm="1">
        <f t="array" ref="S817">_xlfn.CHOOSECOLS(_xlfn.CHOOSEROWS(_xlfn._xlws.FILTER(표2[],(표2[DWG No.]=C817)*(ISNUMBER(표2[Rev.])),""),1),6)</f>
        <v>#VALUE!</v>
      </c>
    </row>
    <row r="818" spans="1:19" ht="18" customHeight="1" x14ac:dyDescent="0.45">
      <c r="A818" s="64">
        <v>813</v>
      </c>
      <c r="B818" s="49" t="s">
        <v>2912</v>
      </c>
      <c r="C818" s="50" t="s">
        <v>3413</v>
      </c>
      <c r="D818" s="49">
        <v>175209</v>
      </c>
      <c r="E818" s="50" t="s">
        <v>3414</v>
      </c>
      <c r="F818" s="49" t="s">
        <v>6</v>
      </c>
      <c r="G818" s="48">
        <v>42909</v>
      </c>
      <c r="H818" s="48">
        <v>42939</v>
      </c>
      <c r="I818" s="48">
        <v>42971</v>
      </c>
      <c r="J818" s="49" t="s">
        <v>3408</v>
      </c>
      <c r="K818" s="58" t="s">
        <v>7</v>
      </c>
      <c r="L818" s="49">
        <v>0</v>
      </c>
      <c r="M818" s="48">
        <v>42972</v>
      </c>
      <c r="N818" s="49" t="s">
        <v>2917</v>
      </c>
      <c r="O818" s="49" t="s">
        <v>7</v>
      </c>
      <c r="P818" s="49">
        <v>0</v>
      </c>
      <c r="Q818" s="51" t="s">
        <v>5002</v>
      </c>
      <c r="R818" s="67" t="e" cm="1">
        <f t="array" ref="R818">_xlfn.CHOOSECOLS(_xlfn.CHOOSEROWS(_xlfn._xlws.FILTER(표2[],표2[DWG No.]=C818,""),1),6)</f>
        <v>#VALUE!</v>
      </c>
      <c r="S818" s="67" t="e" cm="1">
        <f t="array" ref="S818">_xlfn.CHOOSECOLS(_xlfn.CHOOSEROWS(_xlfn._xlws.FILTER(표2[],(표2[DWG No.]=C818)*(ISNUMBER(표2[Rev.])),""),1),6)</f>
        <v>#VALUE!</v>
      </c>
    </row>
    <row r="819" spans="1:19" ht="18" customHeight="1" x14ac:dyDescent="0.45">
      <c r="A819" s="64">
        <v>814</v>
      </c>
      <c r="B819" s="49" t="s">
        <v>2912</v>
      </c>
      <c r="C819" s="50" t="s">
        <v>3415</v>
      </c>
      <c r="D819" s="49">
        <v>175210</v>
      </c>
      <c r="E819" s="50" t="s">
        <v>3416</v>
      </c>
      <c r="F819" s="49" t="s">
        <v>6</v>
      </c>
      <c r="G819" s="48">
        <v>42909</v>
      </c>
      <c r="H819" s="48">
        <v>42939</v>
      </c>
      <c r="I819" s="48">
        <v>42971</v>
      </c>
      <c r="J819" s="49" t="s">
        <v>3408</v>
      </c>
      <c r="K819" s="58" t="s">
        <v>7</v>
      </c>
      <c r="L819" s="49">
        <v>0</v>
      </c>
      <c r="M819" s="48">
        <v>42972</v>
      </c>
      <c r="N819" s="49" t="s">
        <v>2917</v>
      </c>
      <c r="O819" s="49" t="s">
        <v>7</v>
      </c>
      <c r="P819" s="49">
        <v>0</v>
      </c>
      <c r="Q819" s="51" t="s">
        <v>5002</v>
      </c>
      <c r="R819" s="67" t="e" cm="1">
        <f t="array" ref="R819">_xlfn.CHOOSECOLS(_xlfn.CHOOSEROWS(_xlfn._xlws.FILTER(표2[],표2[DWG No.]=C819,""),1),6)</f>
        <v>#VALUE!</v>
      </c>
      <c r="S819" s="67" t="e" cm="1">
        <f t="array" ref="S819">_xlfn.CHOOSECOLS(_xlfn.CHOOSEROWS(_xlfn._xlws.FILTER(표2[],(표2[DWG No.]=C819)*(ISNUMBER(표2[Rev.])),""),1),6)</f>
        <v>#VALUE!</v>
      </c>
    </row>
    <row r="820" spans="1:19" ht="18" customHeight="1" x14ac:dyDescent="0.45">
      <c r="A820" s="64">
        <v>815</v>
      </c>
      <c r="B820" s="49" t="s">
        <v>2912</v>
      </c>
      <c r="C820" s="50" t="s">
        <v>3417</v>
      </c>
      <c r="D820" s="49">
        <v>175211</v>
      </c>
      <c r="E820" s="50" t="s">
        <v>3418</v>
      </c>
      <c r="F820" s="49" t="s">
        <v>6</v>
      </c>
      <c r="G820" s="48">
        <v>42909</v>
      </c>
      <c r="H820" s="48">
        <v>42939</v>
      </c>
      <c r="I820" s="48">
        <v>42971</v>
      </c>
      <c r="J820" s="49" t="s">
        <v>3408</v>
      </c>
      <c r="K820" s="58" t="s">
        <v>7</v>
      </c>
      <c r="L820" s="49">
        <v>0</v>
      </c>
      <c r="M820" s="48">
        <v>42972</v>
      </c>
      <c r="N820" s="49" t="s">
        <v>2917</v>
      </c>
      <c r="O820" s="49" t="s">
        <v>7</v>
      </c>
      <c r="P820" s="49">
        <v>0</v>
      </c>
      <c r="Q820" s="51" t="s">
        <v>5002</v>
      </c>
      <c r="R820" s="67" t="e" cm="1">
        <f t="array" ref="R820">_xlfn.CHOOSECOLS(_xlfn.CHOOSEROWS(_xlfn._xlws.FILTER(표2[],표2[DWG No.]=C820,""),1),6)</f>
        <v>#VALUE!</v>
      </c>
      <c r="S820" s="67" t="e" cm="1">
        <f t="array" ref="S820">_xlfn.CHOOSECOLS(_xlfn.CHOOSEROWS(_xlfn._xlws.FILTER(표2[],(표2[DWG No.]=C820)*(ISNUMBER(표2[Rev.])),""),1),6)</f>
        <v>#VALUE!</v>
      </c>
    </row>
    <row r="821" spans="1:19" ht="18" customHeight="1" x14ac:dyDescent="0.45">
      <c r="A821" s="64">
        <v>816</v>
      </c>
      <c r="B821" s="49" t="s">
        <v>2912</v>
      </c>
      <c r="C821" s="50" t="s">
        <v>3419</v>
      </c>
      <c r="D821" s="49">
        <v>175212</v>
      </c>
      <c r="E821" s="50" t="s">
        <v>3420</v>
      </c>
      <c r="F821" s="49" t="s">
        <v>6</v>
      </c>
      <c r="G821" s="48">
        <v>42909</v>
      </c>
      <c r="H821" s="48">
        <v>42939</v>
      </c>
      <c r="I821" s="48">
        <v>42971</v>
      </c>
      <c r="J821" s="49" t="s">
        <v>3408</v>
      </c>
      <c r="K821" s="58" t="s">
        <v>7</v>
      </c>
      <c r="L821" s="49">
        <v>0</v>
      </c>
      <c r="M821" s="48">
        <v>42972</v>
      </c>
      <c r="N821" s="49" t="s">
        <v>2917</v>
      </c>
      <c r="O821" s="49" t="s">
        <v>7</v>
      </c>
      <c r="P821" s="49">
        <v>0</v>
      </c>
      <c r="Q821" s="51" t="s">
        <v>5002</v>
      </c>
      <c r="R821" s="67" t="e" cm="1">
        <f t="array" ref="R821">_xlfn.CHOOSECOLS(_xlfn.CHOOSEROWS(_xlfn._xlws.FILTER(표2[],표2[DWG No.]=C821,""),1),6)</f>
        <v>#VALUE!</v>
      </c>
      <c r="S821" s="67" t="e" cm="1">
        <f t="array" ref="S821">_xlfn.CHOOSECOLS(_xlfn.CHOOSEROWS(_xlfn._xlws.FILTER(표2[],(표2[DWG No.]=C821)*(ISNUMBER(표2[Rev.])),""),1),6)</f>
        <v>#VALUE!</v>
      </c>
    </row>
    <row r="822" spans="1:19" ht="18" customHeight="1" x14ac:dyDescent="0.45">
      <c r="A822" s="64">
        <v>817</v>
      </c>
      <c r="B822" s="49" t="s">
        <v>2912</v>
      </c>
      <c r="C822" s="50" t="s">
        <v>3421</v>
      </c>
      <c r="D822" s="49">
        <v>155213</v>
      </c>
      <c r="E822" s="50" t="s">
        <v>3422</v>
      </c>
      <c r="F822" s="49" t="s">
        <v>6</v>
      </c>
      <c r="G822" s="48">
        <v>42901</v>
      </c>
      <c r="H822" s="48">
        <v>42931</v>
      </c>
      <c r="I822" s="48">
        <v>42992</v>
      </c>
      <c r="J822" s="49" t="s">
        <v>3110</v>
      </c>
      <c r="K822" s="58" t="s">
        <v>7</v>
      </c>
      <c r="L822" s="49">
        <v>0</v>
      </c>
      <c r="M822" s="48">
        <v>42992</v>
      </c>
      <c r="N822" s="49" t="s">
        <v>2917</v>
      </c>
      <c r="O822" s="49" t="s">
        <v>7</v>
      </c>
      <c r="P822" s="49">
        <v>0</v>
      </c>
      <c r="Q822" s="51" t="s">
        <v>5002</v>
      </c>
      <c r="R822" s="67" t="e" cm="1">
        <f t="array" ref="R822">_xlfn.CHOOSECOLS(_xlfn.CHOOSEROWS(_xlfn._xlws.FILTER(표2[],표2[DWG No.]=C822,""),1),6)</f>
        <v>#VALUE!</v>
      </c>
      <c r="S822" s="67" t="e" cm="1">
        <f t="array" ref="S822">_xlfn.CHOOSECOLS(_xlfn.CHOOSEROWS(_xlfn._xlws.FILTER(표2[],(표2[DWG No.]=C822)*(ISNUMBER(표2[Rev.])),""),1),6)</f>
        <v>#VALUE!</v>
      </c>
    </row>
    <row r="823" spans="1:19" ht="18" customHeight="1" x14ac:dyDescent="0.45">
      <c r="A823" s="64">
        <v>818</v>
      </c>
      <c r="B823" s="49" t="s">
        <v>2912</v>
      </c>
      <c r="C823" s="50" t="s">
        <v>3423</v>
      </c>
      <c r="D823" s="49">
        <v>155214</v>
      </c>
      <c r="E823" s="50" t="s">
        <v>3424</v>
      </c>
      <c r="F823" s="49" t="s">
        <v>6</v>
      </c>
      <c r="G823" s="48">
        <v>43039</v>
      </c>
      <c r="H823" s="48">
        <v>42906</v>
      </c>
      <c r="I823" s="48">
        <v>43039</v>
      </c>
      <c r="J823" s="49" t="s">
        <v>3092</v>
      </c>
      <c r="K823" s="58" t="s">
        <v>7</v>
      </c>
      <c r="L823" s="49">
        <v>0</v>
      </c>
      <c r="M823" s="48">
        <v>43039</v>
      </c>
      <c r="N823" s="49" t="s">
        <v>2917</v>
      </c>
      <c r="O823" s="49" t="s">
        <v>7</v>
      </c>
      <c r="P823" s="49">
        <v>0</v>
      </c>
      <c r="Q823" s="51" t="s">
        <v>5002</v>
      </c>
      <c r="R823" s="67" t="e" cm="1">
        <f t="array" ref="R823">_xlfn.CHOOSECOLS(_xlfn.CHOOSEROWS(_xlfn._xlws.FILTER(표2[],표2[DWG No.]=C823,""),1),6)</f>
        <v>#VALUE!</v>
      </c>
      <c r="S823" s="67" t="e" cm="1">
        <f t="array" ref="S823">_xlfn.CHOOSECOLS(_xlfn.CHOOSEROWS(_xlfn._xlws.FILTER(표2[],(표2[DWG No.]=C823)*(ISNUMBER(표2[Rev.])),""),1),6)</f>
        <v>#VALUE!</v>
      </c>
    </row>
    <row r="824" spans="1:19" ht="18" customHeight="1" x14ac:dyDescent="0.45">
      <c r="A824" s="64">
        <v>819</v>
      </c>
      <c r="B824" s="49" t="s">
        <v>2912</v>
      </c>
      <c r="C824" s="50" t="s">
        <v>3425</v>
      </c>
      <c r="D824" s="49">
        <v>155215</v>
      </c>
      <c r="E824" s="50" t="s">
        <v>3426</v>
      </c>
      <c r="F824" s="49" t="s">
        <v>6</v>
      </c>
      <c r="G824" s="48">
        <v>42892</v>
      </c>
      <c r="H824" s="48">
        <v>42906</v>
      </c>
      <c r="I824" s="48">
        <v>42892</v>
      </c>
      <c r="J824" s="49" t="s">
        <v>3427</v>
      </c>
      <c r="K824" s="58" t="s">
        <v>7</v>
      </c>
      <c r="L824" s="49">
        <v>0</v>
      </c>
      <c r="M824" s="48">
        <v>42892</v>
      </c>
      <c r="N824" s="49" t="s">
        <v>2917</v>
      </c>
      <c r="O824" s="49" t="s">
        <v>7</v>
      </c>
      <c r="P824" s="49">
        <v>0</v>
      </c>
      <c r="Q824" s="51" t="s">
        <v>5002</v>
      </c>
      <c r="R824" s="67" t="e" cm="1">
        <f t="array" ref="R824">_xlfn.CHOOSECOLS(_xlfn.CHOOSEROWS(_xlfn._xlws.FILTER(표2[],표2[DWG No.]=C824,""),1),6)</f>
        <v>#VALUE!</v>
      </c>
      <c r="S824" s="67" t="e" cm="1">
        <f t="array" ref="S824">_xlfn.CHOOSECOLS(_xlfn.CHOOSEROWS(_xlfn._xlws.FILTER(표2[],(표2[DWG No.]=C824)*(ISNUMBER(표2[Rev.])),""),1),6)</f>
        <v>#VALUE!</v>
      </c>
    </row>
    <row r="825" spans="1:19" ht="18" customHeight="1" x14ac:dyDescent="0.45">
      <c r="A825" s="64">
        <v>820</v>
      </c>
      <c r="B825" s="49" t="s">
        <v>2912</v>
      </c>
      <c r="C825" s="50" t="s">
        <v>3428</v>
      </c>
      <c r="D825" s="49">
        <v>155216</v>
      </c>
      <c r="E825" s="50" t="s">
        <v>3429</v>
      </c>
      <c r="F825" s="49" t="s">
        <v>6</v>
      </c>
      <c r="G825" s="48">
        <v>42901</v>
      </c>
      <c r="H825" s="48">
        <v>42931</v>
      </c>
      <c r="I825" s="48">
        <v>43061</v>
      </c>
      <c r="J825" s="49" t="s">
        <v>3142</v>
      </c>
      <c r="K825" s="58" t="s">
        <v>7</v>
      </c>
      <c r="L825" s="49">
        <v>0</v>
      </c>
      <c r="M825" s="48">
        <v>43061</v>
      </c>
      <c r="N825" s="49" t="s">
        <v>2917</v>
      </c>
      <c r="O825" s="49" t="s">
        <v>7</v>
      </c>
      <c r="P825" s="49">
        <v>0</v>
      </c>
      <c r="Q825" s="51" t="s">
        <v>5002</v>
      </c>
      <c r="R825" s="67" t="e" cm="1">
        <f t="array" ref="R825">_xlfn.CHOOSECOLS(_xlfn.CHOOSEROWS(_xlfn._xlws.FILTER(표2[],표2[DWG No.]=C825,""),1),6)</f>
        <v>#VALUE!</v>
      </c>
      <c r="S825" s="67" t="e" cm="1">
        <f t="array" ref="S825">_xlfn.CHOOSECOLS(_xlfn.CHOOSEROWS(_xlfn._xlws.FILTER(표2[],(표2[DWG No.]=C825)*(ISNUMBER(표2[Rev.])),""),1),6)</f>
        <v>#VALUE!</v>
      </c>
    </row>
    <row r="826" spans="1:19" ht="18" customHeight="1" x14ac:dyDescent="0.45">
      <c r="A826" s="64">
        <v>821</v>
      </c>
      <c r="B826" s="49" t="s">
        <v>2912</v>
      </c>
      <c r="C826" s="50" t="s">
        <v>3430</v>
      </c>
      <c r="D826" s="49">
        <v>155217</v>
      </c>
      <c r="E826" s="50" t="s">
        <v>3431</v>
      </c>
      <c r="F826" s="49" t="s">
        <v>6</v>
      </c>
      <c r="G826" s="48">
        <v>42901</v>
      </c>
      <c r="H826" s="48">
        <v>42931</v>
      </c>
      <c r="I826" s="48">
        <v>42991</v>
      </c>
      <c r="J826" s="49" t="s">
        <v>3359</v>
      </c>
      <c r="K826" s="58" t="s">
        <v>7</v>
      </c>
      <c r="L826" s="49">
        <v>0</v>
      </c>
      <c r="M826" s="48">
        <v>42991</v>
      </c>
      <c r="N826" s="49" t="s">
        <v>2917</v>
      </c>
      <c r="O826" s="49" t="s">
        <v>7</v>
      </c>
      <c r="P826" s="49">
        <v>0</v>
      </c>
      <c r="Q826" s="51" t="s">
        <v>5002</v>
      </c>
      <c r="R826" s="67" t="e" cm="1">
        <f t="array" ref="R826">_xlfn.CHOOSECOLS(_xlfn.CHOOSEROWS(_xlfn._xlws.FILTER(표2[],표2[DWG No.]=C826,""),1),6)</f>
        <v>#VALUE!</v>
      </c>
      <c r="S826" s="67" t="e" cm="1">
        <f t="array" ref="S826">_xlfn.CHOOSECOLS(_xlfn.CHOOSEROWS(_xlfn._xlws.FILTER(표2[],(표2[DWG No.]=C826)*(ISNUMBER(표2[Rev.])),""),1),6)</f>
        <v>#VALUE!</v>
      </c>
    </row>
    <row r="827" spans="1:19" ht="18" customHeight="1" x14ac:dyDescent="0.45">
      <c r="A827" s="64">
        <v>822</v>
      </c>
      <c r="B827" s="49" t="s">
        <v>2912</v>
      </c>
      <c r="C827" s="50" t="s">
        <v>3432</v>
      </c>
      <c r="D827" s="49">
        <v>155218</v>
      </c>
      <c r="E827" s="50" t="s">
        <v>3433</v>
      </c>
      <c r="F827" s="49" t="s">
        <v>6</v>
      </c>
      <c r="G827" s="48">
        <v>42928</v>
      </c>
      <c r="H827" s="48">
        <v>42928</v>
      </c>
      <c r="I827" s="48">
        <v>42991</v>
      </c>
      <c r="J827" s="49" t="s">
        <v>3359</v>
      </c>
      <c r="K827" s="58" t="s">
        <v>7</v>
      </c>
      <c r="L827" s="49">
        <v>0</v>
      </c>
      <c r="M827" s="48">
        <v>42991</v>
      </c>
      <c r="N827" s="49" t="s">
        <v>2917</v>
      </c>
      <c r="O827" s="49" t="s">
        <v>7</v>
      </c>
      <c r="P827" s="49">
        <v>0</v>
      </c>
      <c r="Q827" s="51" t="s">
        <v>5002</v>
      </c>
      <c r="R827" s="67" t="e" cm="1">
        <f t="array" ref="R827">_xlfn.CHOOSECOLS(_xlfn.CHOOSEROWS(_xlfn._xlws.FILTER(표2[],표2[DWG No.]=C827,""),1),6)</f>
        <v>#VALUE!</v>
      </c>
      <c r="S827" s="67" t="e" cm="1">
        <f t="array" ref="S827">_xlfn.CHOOSECOLS(_xlfn.CHOOSEROWS(_xlfn._xlws.FILTER(표2[],(표2[DWG No.]=C827)*(ISNUMBER(표2[Rev.])),""),1),6)</f>
        <v>#VALUE!</v>
      </c>
    </row>
    <row r="828" spans="1:19" ht="18" customHeight="1" x14ac:dyDescent="0.45">
      <c r="A828" s="64">
        <v>823</v>
      </c>
      <c r="B828" s="49" t="s">
        <v>2912</v>
      </c>
      <c r="C828" s="50" t="s">
        <v>3434</v>
      </c>
      <c r="D828" s="49">
        <v>165219</v>
      </c>
      <c r="E828" s="50" t="s">
        <v>3435</v>
      </c>
      <c r="F828" s="49" t="s">
        <v>6</v>
      </c>
      <c r="G828" s="48">
        <v>42901</v>
      </c>
      <c r="H828" s="48">
        <v>42931</v>
      </c>
      <c r="I828" s="48">
        <v>43042</v>
      </c>
      <c r="J828" s="49" t="s">
        <v>3436</v>
      </c>
      <c r="K828" s="58" t="s">
        <v>7</v>
      </c>
      <c r="L828" s="49">
        <v>0</v>
      </c>
      <c r="M828" s="48">
        <v>43042</v>
      </c>
      <c r="N828" s="49" t="s">
        <v>2917</v>
      </c>
      <c r="O828" s="49" t="s">
        <v>7</v>
      </c>
      <c r="P828" s="49">
        <v>0</v>
      </c>
      <c r="Q828" s="51" t="s">
        <v>5002</v>
      </c>
      <c r="R828" s="67" t="e" cm="1">
        <f t="array" ref="R828">_xlfn.CHOOSECOLS(_xlfn.CHOOSEROWS(_xlfn._xlws.FILTER(표2[],표2[DWG No.]=C828,""),1),6)</f>
        <v>#VALUE!</v>
      </c>
      <c r="S828" s="67" t="e" cm="1">
        <f t="array" ref="S828">_xlfn.CHOOSECOLS(_xlfn.CHOOSEROWS(_xlfn._xlws.FILTER(표2[],(표2[DWG No.]=C828)*(ISNUMBER(표2[Rev.])),""),1),6)</f>
        <v>#VALUE!</v>
      </c>
    </row>
    <row r="829" spans="1:19" ht="18" customHeight="1" x14ac:dyDescent="0.45">
      <c r="A829" s="64">
        <v>824</v>
      </c>
      <c r="B829" s="49" t="s">
        <v>2912</v>
      </c>
      <c r="C829" s="50" t="s">
        <v>3437</v>
      </c>
      <c r="D829" s="49">
        <v>175220</v>
      </c>
      <c r="E829" s="50" t="s">
        <v>3438</v>
      </c>
      <c r="F829" s="49" t="s">
        <v>6</v>
      </c>
      <c r="G829" s="48">
        <v>42819</v>
      </c>
      <c r="H829" s="48">
        <v>42849</v>
      </c>
      <c r="I829" s="48">
        <v>42881</v>
      </c>
      <c r="J829" s="49" t="s">
        <v>3087</v>
      </c>
      <c r="K829" s="58" t="s">
        <v>7</v>
      </c>
      <c r="L829" s="49">
        <v>0</v>
      </c>
      <c r="M829" s="48">
        <v>42881</v>
      </c>
      <c r="N829" s="49" t="s">
        <v>2917</v>
      </c>
      <c r="O829" s="49" t="s">
        <v>7</v>
      </c>
      <c r="P829" s="49">
        <v>0</v>
      </c>
      <c r="Q829" s="51" t="s">
        <v>5002</v>
      </c>
      <c r="R829" s="67" t="e" cm="1">
        <f t="array" ref="R829">_xlfn.CHOOSECOLS(_xlfn.CHOOSEROWS(_xlfn._xlws.FILTER(표2[],표2[DWG No.]=C829,""),1),6)</f>
        <v>#VALUE!</v>
      </c>
      <c r="S829" s="67" t="e" cm="1">
        <f t="array" ref="S829">_xlfn.CHOOSECOLS(_xlfn.CHOOSEROWS(_xlfn._xlws.FILTER(표2[],(표2[DWG No.]=C829)*(ISNUMBER(표2[Rev.])),""),1),6)</f>
        <v>#VALUE!</v>
      </c>
    </row>
    <row r="830" spans="1:19" ht="18" customHeight="1" x14ac:dyDescent="0.45">
      <c r="A830" s="64">
        <v>825</v>
      </c>
      <c r="B830" s="49" t="s">
        <v>2912</v>
      </c>
      <c r="C830" s="50" t="s">
        <v>3439</v>
      </c>
      <c r="D830" s="49">
        <v>175221</v>
      </c>
      <c r="E830" s="50" t="s">
        <v>3440</v>
      </c>
      <c r="F830" s="49" t="s">
        <v>6</v>
      </c>
      <c r="G830" s="48">
        <v>42819</v>
      </c>
      <c r="H830" s="48">
        <v>42849</v>
      </c>
      <c r="I830" s="48">
        <v>42881</v>
      </c>
      <c r="J830" s="49" t="s">
        <v>3087</v>
      </c>
      <c r="K830" s="58" t="s">
        <v>7</v>
      </c>
      <c r="L830" s="49">
        <v>0</v>
      </c>
      <c r="M830" s="48">
        <v>42881</v>
      </c>
      <c r="N830" s="49" t="s">
        <v>2917</v>
      </c>
      <c r="O830" s="49" t="s">
        <v>7</v>
      </c>
      <c r="P830" s="49">
        <v>0</v>
      </c>
      <c r="Q830" s="51" t="s">
        <v>5002</v>
      </c>
      <c r="R830" s="67" t="e" cm="1">
        <f t="array" ref="R830">_xlfn.CHOOSECOLS(_xlfn.CHOOSEROWS(_xlfn._xlws.FILTER(표2[],표2[DWG No.]=C830,""),1),6)</f>
        <v>#VALUE!</v>
      </c>
      <c r="S830" s="67" t="e" cm="1">
        <f t="array" ref="S830">_xlfn.CHOOSECOLS(_xlfn.CHOOSEROWS(_xlfn._xlws.FILTER(표2[],(표2[DWG No.]=C830)*(ISNUMBER(표2[Rev.])),""),1),6)</f>
        <v>#VALUE!</v>
      </c>
    </row>
    <row r="831" spans="1:19" ht="18" customHeight="1" x14ac:dyDescent="0.45">
      <c r="A831" s="64">
        <v>826</v>
      </c>
      <c r="B831" s="49" t="s">
        <v>2912</v>
      </c>
      <c r="C831" s="50" t="s">
        <v>3441</v>
      </c>
      <c r="D831" s="49">
        <v>175222</v>
      </c>
      <c r="E831" s="50" t="s">
        <v>3442</v>
      </c>
      <c r="F831" s="49" t="s">
        <v>6</v>
      </c>
      <c r="G831" s="48">
        <v>42819</v>
      </c>
      <c r="H831" s="48">
        <v>42849</v>
      </c>
      <c r="I831" s="48">
        <v>42881</v>
      </c>
      <c r="J831" s="49" t="s">
        <v>3087</v>
      </c>
      <c r="K831" s="58" t="s">
        <v>7</v>
      </c>
      <c r="L831" s="49">
        <v>0</v>
      </c>
      <c r="M831" s="48">
        <v>42881</v>
      </c>
      <c r="N831" s="49" t="s">
        <v>2917</v>
      </c>
      <c r="O831" s="49" t="s">
        <v>7</v>
      </c>
      <c r="P831" s="49">
        <v>0</v>
      </c>
      <c r="Q831" s="51" t="s">
        <v>5002</v>
      </c>
      <c r="R831" s="67" t="e" cm="1">
        <f t="array" ref="R831">_xlfn.CHOOSECOLS(_xlfn.CHOOSEROWS(_xlfn._xlws.FILTER(표2[],표2[DWG No.]=C831,""),1),6)</f>
        <v>#VALUE!</v>
      </c>
      <c r="S831" s="67" t="e" cm="1">
        <f t="array" ref="S831">_xlfn.CHOOSECOLS(_xlfn.CHOOSEROWS(_xlfn._xlws.FILTER(표2[],(표2[DWG No.]=C831)*(ISNUMBER(표2[Rev.])),""),1),6)</f>
        <v>#VALUE!</v>
      </c>
    </row>
    <row r="832" spans="1:19" ht="18" customHeight="1" x14ac:dyDescent="0.45">
      <c r="A832" s="64">
        <v>827</v>
      </c>
      <c r="B832" s="49" t="s">
        <v>2912</v>
      </c>
      <c r="C832" s="50" t="s">
        <v>3443</v>
      </c>
      <c r="D832" s="49">
        <v>0.12523300000000001</v>
      </c>
      <c r="E832" s="50" t="s">
        <v>3444</v>
      </c>
      <c r="F832" s="49" t="s">
        <v>6</v>
      </c>
      <c r="G832" s="48">
        <v>42805</v>
      </c>
      <c r="H832" s="48">
        <v>42835</v>
      </c>
      <c r="I832" s="48">
        <v>42902</v>
      </c>
      <c r="J832" s="49" t="s">
        <v>3445</v>
      </c>
      <c r="K832" s="58" t="s">
        <v>7</v>
      </c>
      <c r="L832" s="49">
        <v>0</v>
      </c>
      <c r="M832" s="48">
        <v>42902</v>
      </c>
      <c r="N832" s="49" t="s">
        <v>2917</v>
      </c>
      <c r="O832" s="49" t="s">
        <v>7</v>
      </c>
      <c r="P832" s="49">
        <v>0</v>
      </c>
      <c r="Q832" s="51" t="s">
        <v>5002</v>
      </c>
      <c r="R832" s="67" t="e" cm="1">
        <f t="array" ref="R832">_xlfn.CHOOSECOLS(_xlfn.CHOOSEROWS(_xlfn._xlws.FILTER(표2[],표2[DWG No.]=C832,""),1),6)</f>
        <v>#VALUE!</v>
      </c>
      <c r="S832" s="67" t="e" cm="1">
        <f t="array" ref="S832">_xlfn.CHOOSECOLS(_xlfn.CHOOSEROWS(_xlfn._xlws.FILTER(표2[],(표2[DWG No.]=C832)*(ISNUMBER(표2[Rev.])),""),1),6)</f>
        <v>#VALUE!</v>
      </c>
    </row>
    <row r="833" spans="1:19" ht="18" customHeight="1" x14ac:dyDescent="0.45">
      <c r="A833" s="64">
        <v>828</v>
      </c>
      <c r="B833" s="49" t="s">
        <v>2912</v>
      </c>
      <c r="C833" s="50" t="s">
        <v>3446</v>
      </c>
      <c r="D833" s="49">
        <v>125234</v>
      </c>
      <c r="E833" s="50" t="s">
        <v>3447</v>
      </c>
      <c r="F833" s="49" t="s">
        <v>6</v>
      </c>
      <c r="G833" s="48">
        <v>42805</v>
      </c>
      <c r="H833" s="48">
        <v>42835</v>
      </c>
      <c r="I833" s="48">
        <v>42824</v>
      </c>
      <c r="J833" s="49" t="s">
        <v>3116</v>
      </c>
      <c r="K833" s="58" t="s">
        <v>7</v>
      </c>
      <c r="L833" s="49">
        <v>0</v>
      </c>
      <c r="M833" s="48">
        <v>42824</v>
      </c>
      <c r="N833" s="49" t="s">
        <v>2917</v>
      </c>
      <c r="O833" s="49" t="s">
        <v>7</v>
      </c>
      <c r="P833" s="49">
        <v>0</v>
      </c>
      <c r="Q833" s="51" t="s">
        <v>5002</v>
      </c>
      <c r="R833" s="67" t="e" cm="1">
        <f t="array" ref="R833">_xlfn.CHOOSECOLS(_xlfn.CHOOSEROWS(_xlfn._xlws.FILTER(표2[],표2[DWG No.]=C833,""),1),6)</f>
        <v>#VALUE!</v>
      </c>
      <c r="S833" s="67" t="e" cm="1">
        <f t="array" ref="S833">_xlfn.CHOOSECOLS(_xlfn.CHOOSEROWS(_xlfn._xlws.FILTER(표2[],(표2[DWG No.]=C833)*(ISNUMBER(표2[Rev.])),""),1),6)</f>
        <v>#VALUE!</v>
      </c>
    </row>
    <row r="834" spans="1:19" ht="18" customHeight="1" x14ac:dyDescent="0.45">
      <c r="A834" s="64">
        <v>829</v>
      </c>
      <c r="B834" s="49" t="s">
        <v>2912</v>
      </c>
      <c r="C834" s="50" t="s">
        <v>3448</v>
      </c>
      <c r="D834" s="49">
        <v>125235</v>
      </c>
      <c r="E834" s="50" t="s">
        <v>3449</v>
      </c>
      <c r="F834" s="49" t="s">
        <v>6</v>
      </c>
      <c r="G834" s="48">
        <v>42805</v>
      </c>
      <c r="H834" s="48">
        <v>42835</v>
      </c>
      <c r="I834" s="48">
        <v>43734</v>
      </c>
      <c r="J834" s="49" t="s">
        <v>3450</v>
      </c>
      <c r="K834" s="58" t="s">
        <v>7</v>
      </c>
      <c r="L834" s="49">
        <v>1</v>
      </c>
      <c r="M834" s="48">
        <v>43734</v>
      </c>
      <c r="N834" s="49" t="s">
        <v>3401</v>
      </c>
      <c r="O834" s="49" t="s">
        <v>7</v>
      </c>
      <c r="P834" s="49">
        <v>1</v>
      </c>
      <c r="Q834" s="51" t="s">
        <v>5002</v>
      </c>
      <c r="R834" s="67" t="e" cm="1">
        <f t="array" ref="R834">_xlfn.CHOOSECOLS(_xlfn.CHOOSEROWS(_xlfn._xlws.FILTER(표2[],표2[DWG No.]=C834,""),1),6)</f>
        <v>#VALUE!</v>
      </c>
      <c r="S834" s="67" t="e" cm="1">
        <f t="array" ref="S834">_xlfn.CHOOSECOLS(_xlfn.CHOOSEROWS(_xlfn._xlws.FILTER(표2[],(표2[DWG No.]=C834)*(ISNUMBER(표2[Rev.])),""),1),6)</f>
        <v>#VALUE!</v>
      </c>
    </row>
    <row r="835" spans="1:19" ht="18" customHeight="1" x14ac:dyDescent="0.45">
      <c r="A835" s="64">
        <v>830</v>
      </c>
      <c r="B835" s="49" t="s">
        <v>2912</v>
      </c>
      <c r="C835" s="50" t="s">
        <v>3451</v>
      </c>
      <c r="D835" s="49">
        <v>125236</v>
      </c>
      <c r="E835" s="50" t="s">
        <v>3452</v>
      </c>
      <c r="F835" s="49" t="s">
        <v>6</v>
      </c>
      <c r="G835" s="48">
        <v>42805</v>
      </c>
      <c r="H835" s="48">
        <v>42835</v>
      </c>
      <c r="I835" s="48">
        <v>43734</v>
      </c>
      <c r="J835" s="49" t="s">
        <v>3450</v>
      </c>
      <c r="K835" s="58" t="s">
        <v>7</v>
      </c>
      <c r="L835" s="49">
        <v>1</v>
      </c>
      <c r="M835" s="48">
        <v>43734</v>
      </c>
      <c r="N835" s="49" t="s">
        <v>3401</v>
      </c>
      <c r="O835" s="49" t="s">
        <v>7</v>
      </c>
      <c r="P835" s="49">
        <v>1</v>
      </c>
      <c r="Q835" s="51" t="s">
        <v>5002</v>
      </c>
      <c r="R835" s="67" t="e" cm="1">
        <f t="array" ref="R835">_xlfn.CHOOSECOLS(_xlfn.CHOOSEROWS(_xlfn._xlws.FILTER(표2[],표2[DWG No.]=C835,""),1),6)</f>
        <v>#VALUE!</v>
      </c>
      <c r="S835" s="67" t="e" cm="1">
        <f t="array" ref="S835">_xlfn.CHOOSECOLS(_xlfn.CHOOSEROWS(_xlfn._xlws.FILTER(표2[],(표2[DWG No.]=C835)*(ISNUMBER(표2[Rev.])),""),1),6)</f>
        <v>#VALUE!</v>
      </c>
    </row>
    <row r="836" spans="1:19" ht="18" customHeight="1" x14ac:dyDescent="0.45">
      <c r="A836" s="64">
        <v>831</v>
      </c>
      <c r="B836" s="49" t="s">
        <v>2912</v>
      </c>
      <c r="C836" s="50" t="s">
        <v>3453</v>
      </c>
      <c r="D836" s="49">
        <v>125237</v>
      </c>
      <c r="E836" s="50" t="s">
        <v>3454</v>
      </c>
      <c r="F836" s="49" t="s">
        <v>6</v>
      </c>
      <c r="G836" s="48">
        <v>42906</v>
      </c>
      <c r="H836" s="48">
        <v>42936</v>
      </c>
      <c r="I836" s="48">
        <v>43012</v>
      </c>
      <c r="J836" s="49" t="s">
        <v>3202</v>
      </c>
      <c r="K836" s="58" t="s">
        <v>7</v>
      </c>
      <c r="L836" s="49">
        <v>0</v>
      </c>
      <c r="M836" s="48">
        <v>43012</v>
      </c>
      <c r="N836" s="49" t="s">
        <v>2917</v>
      </c>
      <c r="O836" s="49" t="s">
        <v>7</v>
      </c>
      <c r="P836" s="49">
        <v>0</v>
      </c>
      <c r="Q836" s="51" t="s">
        <v>5002</v>
      </c>
      <c r="R836" s="67" t="e" cm="1">
        <f t="array" ref="R836">_xlfn.CHOOSECOLS(_xlfn.CHOOSEROWS(_xlfn._xlws.FILTER(표2[],표2[DWG No.]=C836,""),1),6)</f>
        <v>#VALUE!</v>
      </c>
      <c r="S836" s="67" t="e" cm="1">
        <f t="array" ref="S836">_xlfn.CHOOSECOLS(_xlfn.CHOOSEROWS(_xlfn._xlws.FILTER(표2[],(표2[DWG No.]=C836)*(ISNUMBER(표2[Rev.])),""),1),6)</f>
        <v>#VALUE!</v>
      </c>
    </row>
    <row r="837" spans="1:19" ht="18" customHeight="1" x14ac:dyDescent="0.45">
      <c r="A837" s="64">
        <v>832</v>
      </c>
      <c r="B837" s="49" t="s">
        <v>2912</v>
      </c>
      <c r="C837" s="50" t="s">
        <v>3455</v>
      </c>
      <c r="D837" s="49">
        <v>155238</v>
      </c>
      <c r="E837" s="50" t="s">
        <v>3456</v>
      </c>
      <c r="F837" s="49" t="s">
        <v>6</v>
      </c>
      <c r="G837" s="48">
        <v>42900</v>
      </c>
      <c r="H837" s="48">
        <v>42930</v>
      </c>
      <c r="I837" s="48">
        <v>43031</v>
      </c>
      <c r="J837" s="49" t="s">
        <v>3145</v>
      </c>
      <c r="K837" s="58" t="s">
        <v>7</v>
      </c>
      <c r="L837" s="49">
        <v>0</v>
      </c>
      <c r="M837" s="48">
        <v>43032</v>
      </c>
      <c r="N837" s="49" t="s">
        <v>2917</v>
      </c>
      <c r="O837" s="49" t="s">
        <v>7</v>
      </c>
      <c r="P837" s="49">
        <v>0</v>
      </c>
      <c r="Q837" s="51" t="s">
        <v>5002</v>
      </c>
      <c r="R837" s="67" t="e" cm="1">
        <f t="array" ref="R837">_xlfn.CHOOSECOLS(_xlfn.CHOOSEROWS(_xlfn._xlws.FILTER(표2[],표2[DWG No.]=C837,""),1),6)</f>
        <v>#VALUE!</v>
      </c>
      <c r="S837" s="67" t="e" cm="1">
        <f t="array" ref="S837">_xlfn.CHOOSECOLS(_xlfn.CHOOSEROWS(_xlfn._xlws.FILTER(표2[],(표2[DWG No.]=C837)*(ISNUMBER(표2[Rev.])),""),1),6)</f>
        <v>#VALUE!</v>
      </c>
    </row>
    <row r="838" spans="1:19" ht="18" customHeight="1" x14ac:dyDescent="0.45">
      <c r="A838" s="64">
        <v>833</v>
      </c>
      <c r="B838" s="49" t="s">
        <v>2912</v>
      </c>
      <c r="C838" s="50" t="s">
        <v>3457</v>
      </c>
      <c r="D838" s="49">
        <v>155240</v>
      </c>
      <c r="E838" s="50" t="s">
        <v>3458</v>
      </c>
      <c r="F838" s="49" t="s">
        <v>6</v>
      </c>
      <c r="G838" s="48">
        <v>42833</v>
      </c>
      <c r="H838" s="48">
        <v>42863</v>
      </c>
      <c r="I838" s="48">
        <v>42892</v>
      </c>
      <c r="J838" s="49" t="s">
        <v>3427</v>
      </c>
      <c r="K838" s="58" t="s">
        <v>7</v>
      </c>
      <c r="L838" s="49">
        <v>0</v>
      </c>
      <c r="M838" s="48">
        <v>42892</v>
      </c>
      <c r="N838" s="49" t="s">
        <v>2917</v>
      </c>
      <c r="O838" s="49" t="s">
        <v>7</v>
      </c>
      <c r="P838" s="49">
        <v>0</v>
      </c>
      <c r="Q838" s="51" t="s">
        <v>5002</v>
      </c>
      <c r="R838" s="67" t="e" cm="1">
        <f t="array" ref="R838">_xlfn.CHOOSECOLS(_xlfn.CHOOSEROWS(_xlfn._xlws.FILTER(표2[],표2[DWG No.]=C838,""),1),6)</f>
        <v>#VALUE!</v>
      </c>
      <c r="S838" s="67" t="e" cm="1">
        <f t="array" ref="S838">_xlfn.CHOOSECOLS(_xlfn.CHOOSEROWS(_xlfn._xlws.FILTER(표2[],(표2[DWG No.]=C838)*(ISNUMBER(표2[Rev.])),""),1),6)</f>
        <v>#VALUE!</v>
      </c>
    </row>
    <row r="839" spans="1:19" ht="18" customHeight="1" x14ac:dyDescent="0.45">
      <c r="A839" s="64">
        <v>834</v>
      </c>
      <c r="B839" s="49" t="s">
        <v>2912</v>
      </c>
      <c r="C839" s="50" t="s">
        <v>3459</v>
      </c>
      <c r="D839" s="49">
        <v>155241</v>
      </c>
      <c r="E839" s="50" t="s">
        <v>3460</v>
      </c>
      <c r="F839" s="49" t="s">
        <v>6</v>
      </c>
      <c r="G839" s="48">
        <v>42833</v>
      </c>
      <c r="H839" s="48">
        <v>42863</v>
      </c>
      <c r="I839" s="48">
        <v>43734</v>
      </c>
      <c r="J839" s="49" t="s">
        <v>3461</v>
      </c>
      <c r="K839" s="58" t="s">
        <v>7</v>
      </c>
      <c r="L839" s="49" t="s">
        <v>349</v>
      </c>
      <c r="M839" s="48">
        <v>43734</v>
      </c>
      <c r="N839" s="49" t="s">
        <v>3401</v>
      </c>
      <c r="O839" s="49" t="s">
        <v>7</v>
      </c>
      <c r="P839" s="49" t="s">
        <v>349</v>
      </c>
      <c r="Q839" s="51" t="s">
        <v>5002</v>
      </c>
      <c r="R839" s="67" t="e" cm="1">
        <f t="array" ref="R839">_xlfn.CHOOSECOLS(_xlfn.CHOOSEROWS(_xlfn._xlws.FILTER(표2[],표2[DWG No.]=C839,""),1),6)</f>
        <v>#VALUE!</v>
      </c>
      <c r="S839" s="67" t="e" cm="1">
        <f t="array" ref="S839">_xlfn.CHOOSECOLS(_xlfn.CHOOSEROWS(_xlfn._xlws.FILTER(표2[],(표2[DWG No.]=C839)*(ISNUMBER(표2[Rev.])),""),1),6)</f>
        <v>#VALUE!</v>
      </c>
    </row>
    <row r="840" spans="1:19" ht="18" customHeight="1" x14ac:dyDescent="0.45">
      <c r="A840" s="64">
        <v>835</v>
      </c>
      <c r="B840" s="49" t="s">
        <v>2912</v>
      </c>
      <c r="C840" s="50" t="s">
        <v>3462</v>
      </c>
      <c r="D840" s="49">
        <v>155242</v>
      </c>
      <c r="E840" s="50" t="s">
        <v>3463</v>
      </c>
      <c r="F840" s="49" t="s">
        <v>6</v>
      </c>
      <c r="G840" s="48">
        <v>42833</v>
      </c>
      <c r="H840" s="48">
        <v>42863</v>
      </c>
      <c r="I840" s="48">
        <v>42965</v>
      </c>
      <c r="J840" s="49" t="s">
        <v>3070</v>
      </c>
      <c r="K840" s="58" t="s">
        <v>7</v>
      </c>
      <c r="L840" s="49">
        <v>0</v>
      </c>
      <c r="M840" s="48">
        <v>42969</v>
      </c>
      <c r="N840" s="49" t="s">
        <v>2917</v>
      </c>
      <c r="O840" s="49" t="s">
        <v>7</v>
      </c>
      <c r="P840" s="49">
        <v>0</v>
      </c>
      <c r="Q840" s="51" t="s">
        <v>5002</v>
      </c>
      <c r="R840" s="67" t="e" cm="1">
        <f t="array" ref="R840">_xlfn.CHOOSECOLS(_xlfn.CHOOSEROWS(_xlfn._xlws.FILTER(표2[],표2[DWG No.]=C840,""),1),6)</f>
        <v>#VALUE!</v>
      </c>
      <c r="S840" s="67" t="e" cm="1">
        <f t="array" ref="S840">_xlfn.CHOOSECOLS(_xlfn.CHOOSEROWS(_xlfn._xlws.FILTER(표2[],(표2[DWG No.]=C840)*(ISNUMBER(표2[Rev.])),""),1),6)</f>
        <v>#VALUE!</v>
      </c>
    </row>
    <row r="841" spans="1:19" ht="18" customHeight="1" x14ac:dyDescent="0.45">
      <c r="A841" s="64">
        <v>836</v>
      </c>
      <c r="B841" s="49" t="s">
        <v>2912</v>
      </c>
      <c r="C841" s="50" t="s">
        <v>3464</v>
      </c>
      <c r="D841" s="49">
        <v>155243</v>
      </c>
      <c r="E841" s="50" t="s">
        <v>3465</v>
      </c>
      <c r="F841" s="49" t="s">
        <v>6</v>
      </c>
      <c r="G841" s="48">
        <v>42928</v>
      </c>
      <c r="H841" s="48">
        <v>42958</v>
      </c>
      <c r="I841" s="48">
        <v>42965</v>
      </c>
      <c r="J841" s="49" t="s">
        <v>3070</v>
      </c>
      <c r="K841" s="58" t="s">
        <v>7</v>
      </c>
      <c r="L841" s="49">
        <v>0</v>
      </c>
      <c r="M841" s="48">
        <v>42969</v>
      </c>
      <c r="N841" s="49" t="s">
        <v>2917</v>
      </c>
      <c r="O841" s="49" t="s">
        <v>7</v>
      </c>
      <c r="P841" s="49">
        <v>0</v>
      </c>
      <c r="Q841" s="51" t="s">
        <v>5002</v>
      </c>
      <c r="R841" s="67" t="e" cm="1">
        <f t="array" ref="R841">_xlfn.CHOOSECOLS(_xlfn.CHOOSEROWS(_xlfn._xlws.FILTER(표2[],표2[DWG No.]=C841,""),1),6)</f>
        <v>#VALUE!</v>
      </c>
      <c r="S841" s="67" t="e" cm="1">
        <f t="array" ref="S841">_xlfn.CHOOSECOLS(_xlfn.CHOOSEROWS(_xlfn._xlws.FILTER(표2[],(표2[DWG No.]=C841)*(ISNUMBER(표2[Rev.])),""),1),6)</f>
        <v>#VALUE!</v>
      </c>
    </row>
    <row r="842" spans="1:19" ht="18" customHeight="1" x14ac:dyDescent="0.45">
      <c r="A842" s="64">
        <v>837</v>
      </c>
      <c r="B842" s="49" t="s">
        <v>2912</v>
      </c>
      <c r="C842" s="50" t="s">
        <v>3466</v>
      </c>
      <c r="D842" s="49">
        <v>165244</v>
      </c>
      <c r="E842" s="50" t="s">
        <v>3467</v>
      </c>
      <c r="F842" s="49" t="s">
        <v>6</v>
      </c>
      <c r="G842" s="48">
        <v>42922</v>
      </c>
      <c r="H842" s="48">
        <v>42952</v>
      </c>
      <c r="I842" s="48">
        <v>43081</v>
      </c>
      <c r="J842" s="49" t="s">
        <v>3244</v>
      </c>
      <c r="K842" s="58" t="s">
        <v>7</v>
      </c>
      <c r="L842" s="49">
        <v>0</v>
      </c>
      <c r="M842" s="48">
        <v>43082</v>
      </c>
      <c r="N842" s="49" t="s">
        <v>2917</v>
      </c>
      <c r="O842" s="49" t="s">
        <v>7</v>
      </c>
      <c r="P842" s="49">
        <v>0</v>
      </c>
      <c r="Q842" s="51" t="s">
        <v>5002</v>
      </c>
      <c r="R842" s="67" t="e" cm="1">
        <f t="array" ref="R842">_xlfn.CHOOSECOLS(_xlfn.CHOOSEROWS(_xlfn._xlws.FILTER(표2[],표2[DWG No.]=C842,""),1),6)</f>
        <v>#VALUE!</v>
      </c>
      <c r="S842" s="67" t="e" cm="1">
        <f t="array" ref="S842">_xlfn.CHOOSECOLS(_xlfn.CHOOSEROWS(_xlfn._xlws.FILTER(표2[],(표2[DWG No.]=C842)*(ISNUMBER(표2[Rev.])),""),1),6)</f>
        <v>#VALUE!</v>
      </c>
    </row>
    <row r="843" spans="1:19" ht="18" customHeight="1" x14ac:dyDescent="0.45">
      <c r="A843" s="64">
        <v>838</v>
      </c>
      <c r="B843" s="49" t="s">
        <v>2912</v>
      </c>
      <c r="C843" s="50" t="s">
        <v>3468</v>
      </c>
      <c r="D843" s="49">
        <v>175245</v>
      </c>
      <c r="E843" s="50" t="s">
        <v>3469</v>
      </c>
      <c r="F843" s="49" t="s">
        <v>6</v>
      </c>
      <c r="G843" s="48">
        <v>42798</v>
      </c>
      <c r="H843" s="48">
        <v>42828</v>
      </c>
      <c r="I843" s="48">
        <v>43539</v>
      </c>
      <c r="J843" s="49" t="s">
        <v>3470</v>
      </c>
      <c r="K843" s="58" t="s">
        <v>7</v>
      </c>
      <c r="L843" s="49">
        <v>1</v>
      </c>
      <c r="M843" s="48">
        <v>43539</v>
      </c>
      <c r="N843" s="49" t="s">
        <v>3275</v>
      </c>
      <c r="O843" s="49" t="s">
        <v>7</v>
      </c>
      <c r="P843" s="49">
        <v>1</v>
      </c>
      <c r="Q843" s="49" t="s">
        <v>160</v>
      </c>
      <c r="R843" s="67" t="e" cm="1">
        <f t="array" ref="R843">_xlfn.CHOOSECOLS(_xlfn.CHOOSEROWS(_xlfn._xlws.FILTER(표2[],표2[DWG No.]=C843,""),1),6)</f>
        <v>#VALUE!</v>
      </c>
      <c r="S843" s="67" t="e" cm="1">
        <f t="array" ref="S843">_xlfn.CHOOSECOLS(_xlfn.CHOOSEROWS(_xlfn._xlws.FILTER(표2[],(표2[DWG No.]=C843)*(ISNUMBER(표2[Rev.])),""),1),6)</f>
        <v>#VALUE!</v>
      </c>
    </row>
    <row r="844" spans="1:19" ht="18" customHeight="1" x14ac:dyDescent="0.45">
      <c r="A844" s="64">
        <v>839</v>
      </c>
      <c r="B844" s="49" t="s">
        <v>2912</v>
      </c>
      <c r="C844" s="50" t="s">
        <v>3471</v>
      </c>
      <c r="D844" s="49">
        <v>175246</v>
      </c>
      <c r="E844" s="50" t="s">
        <v>3472</v>
      </c>
      <c r="F844" s="49" t="s">
        <v>6</v>
      </c>
      <c r="G844" s="48">
        <v>42891</v>
      </c>
      <c r="H844" s="48">
        <v>42921</v>
      </c>
      <c r="I844" s="48">
        <v>43056</v>
      </c>
      <c r="J844" s="49" t="s">
        <v>3473</v>
      </c>
      <c r="K844" s="58" t="s">
        <v>7</v>
      </c>
      <c r="L844" s="49">
        <v>2</v>
      </c>
      <c r="M844" s="48">
        <v>43056</v>
      </c>
      <c r="N844" s="49" t="s">
        <v>3474</v>
      </c>
      <c r="O844" s="49" t="s">
        <v>6</v>
      </c>
      <c r="P844" s="49" t="s">
        <v>164</v>
      </c>
      <c r="Q844" s="51" t="s">
        <v>65</v>
      </c>
      <c r="R844" s="67" t="e" cm="1">
        <f t="array" ref="R844">_xlfn.CHOOSECOLS(_xlfn.CHOOSEROWS(_xlfn._xlws.FILTER(표2[],표2[DWG No.]=C844,""),1),6)</f>
        <v>#VALUE!</v>
      </c>
      <c r="S844" s="67" t="e" cm="1">
        <f t="array" ref="S844">_xlfn.CHOOSECOLS(_xlfn.CHOOSEROWS(_xlfn._xlws.FILTER(표2[],(표2[DWG No.]=C844)*(ISNUMBER(표2[Rev.])),""),1),6)</f>
        <v>#VALUE!</v>
      </c>
    </row>
    <row r="845" spans="1:19" ht="18" customHeight="1" x14ac:dyDescent="0.45">
      <c r="A845" s="64">
        <v>840</v>
      </c>
      <c r="B845" s="49" t="s">
        <v>2912</v>
      </c>
      <c r="C845" s="50" t="s">
        <v>3475</v>
      </c>
      <c r="D845" s="49">
        <v>175250</v>
      </c>
      <c r="E845" s="50" t="s">
        <v>3476</v>
      </c>
      <c r="F845" s="49" t="s">
        <v>6</v>
      </c>
      <c r="G845" s="48">
        <v>42801</v>
      </c>
      <c r="H845" s="48">
        <v>42831</v>
      </c>
      <c r="I845" s="48">
        <v>42982</v>
      </c>
      <c r="J845" s="49" t="s">
        <v>3477</v>
      </c>
      <c r="K845" s="58" t="s">
        <v>7</v>
      </c>
      <c r="L845" s="49">
        <v>0</v>
      </c>
      <c r="M845" s="48">
        <v>42982</v>
      </c>
      <c r="N845" s="49" t="s">
        <v>2917</v>
      </c>
      <c r="O845" s="49" t="s">
        <v>7</v>
      </c>
      <c r="P845" s="49">
        <v>0</v>
      </c>
      <c r="Q845" s="51" t="s">
        <v>5002</v>
      </c>
      <c r="R845" s="67" t="e" cm="1">
        <f t="array" ref="R845">_xlfn.CHOOSECOLS(_xlfn.CHOOSEROWS(_xlfn._xlws.FILTER(표2[],표2[DWG No.]=C845,""),1),6)</f>
        <v>#VALUE!</v>
      </c>
      <c r="S845" s="67" t="e" cm="1">
        <f t="array" ref="S845">_xlfn.CHOOSECOLS(_xlfn.CHOOSEROWS(_xlfn._xlws.FILTER(표2[],(표2[DWG No.]=C845)*(ISNUMBER(표2[Rev.])),""),1),6)</f>
        <v>#VALUE!</v>
      </c>
    </row>
    <row r="846" spans="1:19" ht="18" customHeight="1" x14ac:dyDescent="0.45">
      <c r="A846" s="64">
        <v>841</v>
      </c>
      <c r="B846" s="49" t="s">
        <v>2912</v>
      </c>
      <c r="C846" s="50" t="s">
        <v>3478</v>
      </c>
      <c r="D846" s="49">
        <v>175251</v>
      </c>
      <c r="E846" s="50" t="s">
        <v>3479</v>
      </c>
      <c r="F846" s="49" t="s">
        <v>6</v>
      </c>
      <c r="G846" s="48">
        <v>42801</v>
      </c>
      <c r="H846" s="48">
        <v>42831</v>
      </c>
      <c r="I846" s="48">
        <v>42982</v>
      </c>
      <c r="J846" s="49" t="s">
        <v>3477</v>
      </c>
      <c r="K846" s="58" t="s">
        <v>7</v>
      </c>
      <c r="L846" s="49">
        <v>0</v>
      </c>
      <c r="M846" s="48">
        <v>42982</v>
      </c>
      <c r="N846" s="49" t="s">
        <v>2917</v>
      </c>
      <c r="O846" s="49" t="s">
        <v>7</v>
      </c>
      <c r="P846" s="49">
        <v>0</v>
      </c>
      <c r="Q846" s="51" t="s">
        <v>5002</v>
      </c>
      <c r="R846" s="67" t="e" cm="1">
        <f t="array" ref="R846">_xlfn.CHOOSECOLS(_xlfn.CHOOSEROWS(_xlfn._xlws.FILTER(표2[],표2[DWG No.]=C846,""),1),6)</f>
        <v>#VALUE!</v>
      </c>
      <c r="S846" s="67" t="e" cm="1">
        <f t="array" ref="S846">_xlfn.CHOOSECOLS(_xlfn.CHOOSEROWS(_xlfn._xlws.FILTER(표2[],(표2[DWG No.]=C846)*(ISNUMBER(표2[Rev.])),""),1),6)</f>
        <v>#VALUE!</v>
      </c>
    </row>
    <row r="847" spans="1:19" ht="18" customHeight="1" x14ac:dyDescent="0.45">
      <c r="A847" s="64">
        <v>842</v>
      </c>
      <c r="B847" s="49" t="s">
        <v>2912</v>
      </c>
      <c r="C847" s="50" t="s">
        <v>3480</v>
      </c>
      <c r="D847" s="49">
        <v>175252</v>
      </c>
      <c r="E847" s="50" t="s">
        <v>3481</v>
      </c>
      <c r="F847" s="49" t="s">
        <v>6</v>
      </c>
      <c r="G847" s="48">
        <v>42801</v>
      </c>
      <c r="H847" s="48">
        <v>42831</v>
      </c>
      <c r="I847" s="48">
        <v>43539</v>
      </c>
      <c r="J847" s="49" t="s">
        <v>3482</v>
      </c>
      <c r="K847" s="58" t="s">
        <v>7</v>
      </c>
      <c r="L847" s="49">
        <v>1</v>
      </c>
      <c r="M847" s="48">
        <v>43539</v>
      </c>
      <c r="N847" s="49" t="s">
        <v>3275</v>
      </c>
      <c r="O847" s="49" t="s">
        <v>7</v>
      </c>
      <c r="P847" s="49">
        <v>1</v>
      </c>
      <c r="Q847" s="51" t="s">
        <v>5002</v>
      </c>
      <c r="R847" s="67" t="e" cm="1">
        <f t="array" ref="R847">_xlfn.CHOOSECOLS(_xlfn.CHOOSEROWS(_xlfn._xlws.FILTER(표2[],표2[DWG No.]=C847,""),1),6)</f>
        <v>#VALUE!</v>
      </c>
      <c r="S847" s="67" t="e" cm="1">
        <f t="array" ref="S847">_xlfn.CHOOSECOLS(_xlfn.CHOOSEROWS(_xlfn._xlws.FILTER(표2[],(표2[DWG No.]=C847)*(ISNUMBER(표2[Rev.])),""),1),6)</f>
        <v>#VALUE!</v>
      </c>
    </row>
    <row r="848" spans="1:19" ht="18" customHeight="1" x14ac:dyDescent="0.45">
      <c r="A848" s="64">
        <v>843</v>
      </c>
      <c r="B848" s="49" t="s">
        <v>2912</v>
      </c>
      <c r="C848" s="50" t="s">
        <v>3483</v>
      </c>
      <c r="D848" s="49">
        <v>175253</v>
      </c>
      <c r="E848" s="50" t="s">
        <v>3484</v>
      </c>
      <c r="F848" s="49" t="s">
        <v>6</v>
      </c>
      <c r="G848" s="48">
        <v>42891</v>
      </c>
      <c r="H848" s="48">
        <v>42921</v>
      </c>
      <c r="I848" s="48">
        <v>43539</v>
      </c>
      <c r="J848" s="49" t="s">
        <v>3485</v>
      </c>
      <c r="K848" s="58" t="s">
        <v>7</v>
      </c>
      <c r="L848" s="49">
        <v>1</v>
      </c>
      <c r="M848" s="48">
        <v>43539</v>
      </c>
      <c r="N848" s="49" t="s">
        <v>3275</v>
      </c>
      <c r="O848" s="49" t="s">
        <v>6</v>
      </c>
      <c r="P848" s="49">
        <v>1</v>
      </c>
      <c r="Q848" s="49" t="s">
        <v>160</v>
      </c>
      <c r="R848" s="67" t="e" cm="1">
        <f t="array" ref="R848">_xlfn.CHOOSECOLS(_xlfn.CHOOSEROWS(_xlfn._xlws.FILTER(표2[],표2[DWG No.]=C848,""),1),6)</f>
        <v>#VALUE!</v>
      </c>
      <c r="S848" s="67" t="e" cm="1">
        <f t="array" ref="S848">_xlfn.CHOOSECOLS(_xlfn.CHOOSEROWS(_xlfn._xlws.FILTER(표2[],(표2[DWG No.]=C848)*(ISNUMBER(표2[Rev.])),""),1),6)</f>
        <v>#VALUE!</v>
      </c>
    </row>
    <row r="849" spans="1:19" ht="18" customHeight="1" x14ac:dyDescent="0.45">
      <c r="A849" s="64">
        <v>844</v>
      </c>
      <c r="B849" s="49" t="s">
        <v>2912</v>
      </c>
      <c r="C849" s="50" t="s">
        <v>3486</v>
      </c>
      <c r="D849" s="49">
        <v>175254</v>
      </c>
      <c r="E849" s="50" t="s">
        <v>3487</v>
      </c>
      <c r="F849" s="49" t="s">
        <v>6</v>
      </c>
      <c r="G849" s="48">
        <v>42801</v>
      </c>
      <c r="H849" s="48">
        <v>42831</v>
      </c>
      <c r="I849" s="48">
        <v>42982</v>
      </c>
      <c r="J849" s="49" t="s">
        <v>3477</v>
      </c>
      <c r="K849" s="58" t="s">
        <v>7</v>
      </c>
      <c r="L849" s="49">
        <v>0</v>
      </c>
      <c r="M849" s="48">
        <v>42982</v>
      </c>
      <c r="N849" s="49" t="s">
        <v>2917</v>
      </c>
      <c r="O849" s="49" t="s">
        <v>7</v>
      </c>
      <c r="P849" s="49">
        <v>0</v>
      </c>
      <c r="Q849" s="51" t="s">
        <v>5002</v>
      </c>
      <c r="R849" s="67" t="e" cm="1">
        <f t="array" ref="R849">_xlfn.CHOOSECOLS(_xlfn.CHOOSEROWS(_xlfn._xlws.FILTER(표2[],표2[DWG No.]=C849,""),1),6)</f>
        <v>#VALUE!</v>
      </c>
      <c r="S849" s="67" t="e" cm="1">
        <f t="array" ref="S849">_xlfn.CHOOSECOLS(_xlfn.CHOOSEROWS(_xlfn._xlws.FILTER(표2[],(표2[DWG No.]=C849)*(ISNUMBER(표2[Rev.])),""),1),6)</f>
        <v>#VALUE!</v>
      </c>
    </row>
    <row r="850" spans="1:19" ht="18" customHeight="1" x14ac:dyDescent="0.45">
      <c r="A850" s="64">
        <v>845</v>
      </c>
      <c r="B850" s="49" t="s">
        <v>2912</v>
      </c>
      <c r="C850" s="50" t="s">
        <v>3488</v>
      </c>
      <c r="D850" s="49">
        <v>175259</v>
      </c>
      <c r="E850" s="50" t="s">
        <v>3489</v>
      </c>
      <c r="F850" s="49" t="s">
        <v>6</v>
      </c>
      <c r="G850" s="48">
        <v>42891</v>
      </c>
      <c r="H850" s="48">
        <v>42921</v>
      </c>
      <c r="I850" s="48">
        <v>43060</v>
      </c>
      <c r="J850" s="49" t="s">
        <v>3490</v>
      </c>
      <c r="K850" s="58" t="s">
        <v>7</v>
      </c>
      <c r="L850" s="49">
        <v>0</v>
      </c>
      <c r="M850" s="48">
        <v>43066</v>
      </c>
      <c r="N850" s="49" t="s">
        <v>3491</v>
      </c>
      <c r="O850" s="49" t="s">
        <v>6</v>
      </c>
      <c r="P850" s="49" t="s">
        <v>65</v>
      </c>
      <c r="Q850" s="51" t="s">
        <v>65</v>
      </c>
      <c r="R850" s="67" t="e" cm="1">
        <f t="array" ref="R850">_xlfn.CHOOSECOLS(_xlfn.CHOOSEROWS(_xlfn._xlws.FILTER(표2[],표2[DWG No.]=C850,""),1),6)</f>
        <v>#VALUE!</v>
      </c>
      <c r="S850" s="67" t="e" cm="1">
        <f t="array" ref="S850">_xlfn.CHOOSECOLS(_xlfn.CHOOSEROWS(_xlfn._xlws.FILTER(표2[],(표2[DWG No.]=C850)*(ISNUMBER(표2[Rev.])),""),1),6)</f>
        <v>#VALUE!</v>
      </c>
    </row>
    <row r="851" spans="1:19" ht="18" customHeight="1" x14ac:dyDescent="0.45">
      <c r="A851" s="64">
        <v>846</v>
      </c>
      <c r="B851" s="49" t="s">
        <v>2912</v>
      </c>
      <c r="C851" s="50" t="s">
        <v>3492</v>
      </c>
      <c r="D851" s="49">
        <v>175260</v>
      </c>
      <c r="E851" s="50" t="s">
        <v>3493</v>
      </c>
      <c r="F851" s="49" t="s">
        <v>6</v>
      </c>
      <c r="G851" s="48">
        <v>42801</v>
      </c>
      <c r="H851" s="48">
        <v>42831</v>
      </c>
      <c r="I851" s="48">
        <v>42951</v>
      </c>
      <c r="J851" s="49" t="s">
        <v>3044</v>
      </c>
      <c r="K851" s="58" t="s">
        <v>7</v>
      </c>
      <c r="L851" s="49" t="s">
        <v>3494</v>
      </c>
      <c r="M851" s="48">
        <v>42951</v>
      </c>
      <c r="N851" s="49" t="s">
        <v>2917</v>
      </c>
      <c r="O851" s="49" t="s">
        <v>7</v>
      </c>
      <c r="P851" s="49" t="s">
        <v>3494</v>
      </c>
      <c r="Q851" s="51" t="s">
        <v>5002</v>
      </c>
      <c r="R851" s="67" t="e" cm="1">
        <f t="array" ref="R851">_xlfn.CHOOSECOLS(_xlfn.CHOOSEROWS(_xlfn._xlws.FILTER(표2[],표2[DWG No.]=C851,""),1),6)</f>
        <v>#VALUE!</v>
      </c>
      <c r="S851" s="67" t="e" cm="1">
        <f t="array" ref="S851">_xlfn.CHOOSECOLS(_xlfn.CHOOSEROWS(_xlfn._xlws.FILTER(표2[],(표2[DWG No.]=C851)*(ISNUMBER(표2[Rev.])),""),1),6)</f>
        <v>#VALUE!</v>
      </c>
    </row>
    <row r="852" spans="1:19" ht="18" customHeight="1" x14ac:dyDescent="0.45">
      <c r="A852" s="64">
        <v>847</v>
      </c>
      <c r="B852" s="49" t="s">
        <v>2912</v>
      </c>
      <c r="C852" s="50" t="s">
        <v>3495</v>
      </c>
      <c r="D852" s="49">
        <v>175261</v>
      </c>
      <c r="E852" s="50" t="s">
        <v>3496</v>
      </c>
      <c r="F852" s="49" t="s">
        <v>6</v>
      </c>
      <c r="G852" s="48">
        <v>42801</v>
      </c>
      <c r="H852" s="48">
        <v>42831</v>
      </c>
      <c r="I852" s="48">
        <v>42951</v>
      </c>
      <c r="J852" s="49" t="s">
        <v>3044</v>
      </c>
      <c r="K852" s="58" t="s">
        <v>7</v>
      </c>
      <c r="L852" s="49" t="s">
        <v>3494</v>
      </c>
      <c r="M852" s="48">
        <v>42951</v>
      </c>
      <c r="N852" s="49" t="s">
        <v>2917</v>
      </c>
      <c r="O852" s="49" t="s">
        <v>7</v>
      </c>
      <c r="P852" s="49" t="s">
        <v>3494</v>
      </c>
      <c r="Q852" s="51" t="s">
        <v>5002</v>
      </c>
      <c r="R852" s="67" t="e" cm="1">
        <f t="array" ref="R852">_xlfn.CHOOSECOLS(_xlfn.CHOOSEROWS(_xlfn._xlws.FILTER(표2[],표2[DWG No.]=C852,""),1),6)</f>
        <v>#VALUE!</v>
      </c>
      <c r="S852" s="67" t="e" cm="1">
        <f t="array" ref="S852">_xlfn.CHOOSECOLS(_xlfn.CHOOSEROWS(_xlfn._xlws.FILTER(표2[],(표2[DWG No.]=C852)*(ISNUMBER(표2[Rev.])),""),1),6)</f>
        <v>#VALUE!</v>
      </c>
    </row>
    <row r="853" spans="1:19" ht="18" customHeight="1" x14ac:dyDescent="0.45">
      <c r="A853" s="64">
        <v>848</v>
      </c>
      <c r="B853" s="49" t="s">
        <v>2912</v>
      </c>
      <c r="C853" s="50" t="s">
        <v>3497</v>
      </c>
      <c r="D853" s="49">
        <v>175262</v>
      </c>
      <c r="E853" s="50" t="s">
        <v>3498</v>
      </c>
      <c r="F853" s="49" t="s">
        <v>6</v>
      </c>
      <c r="G853" s="48">
        <v>42801</v>
      </c>
      <c r="H853" s="48">
        <v>42831</v>
      </c>
      <c r="I853" s="48">
        <v>42951</v>
      </c>
      <c r="J853" s="49" t="s">
        <v>3044</v>
      </c>
      <c r="K853" s="58" t="s">
        <v>7</v>
      </c>
      <c r="L853" s="49" t="s">
        <v>3494</v>
      </c>
      <c r="M853" s="48">
        <v>42951</v>
      </c>
      <c r="N853" s="49" t="s">
        <v>2917</v>
      </c>
      <c r="O853" s="49" t="s">
        <v>7</v>
      </c>
      <c r="P853" s="49" t="s">
        <v>3494</v>
      </c>
      <c r="Q853" s="51" t="s">
        <v>5002</v>
      </c>
      <c r="R853" s="67" t="e" cm="1">
        <f t="array" ref="R853">_xlfn.CHOOSECOLS(_xlfn.CHOOSEROWS(_xlfn._xlws.FILTER(표2[],표2[DWG No.]=C853,""),1),6)</f>
        <v>#VALUE!</v>
      </c>
      <c r="S853" s="67" t="e" cm="1">
        <f t="array" ref="S853">_xlfn.CHOOSECOLS(_xlfn.CHOOSEROWS(_xlfn._xlws.FILTER(표2[],(표2[DWG No.]=C853)*(ISNUMBER(표2[Rev.])),""),1),6)</f>
        <v>#VALUE!</v>
      </c>
    </row>
    <row r="854" spans="1:19" ht="18" customHeight="1" x14ac:dyDescent="0.45">
      <c r="A854" s="64">
        <v>849</v>
      </c>
      <c r="B854" s="49" t="s">
        <v>2912</v>
      </c>
      <c r="C854" s="50" t="s">
        <v>3499</v>
      </c>
      <c r="D854" s="49">
        <v>175263</v>
      </c>
      <c r="E854" s="50" t="s">
        <v>3500</v>
      </c>
      <c r="F854" s="49" t="s">
        <v>6</v>
      </c>
      <c r="G854" s="48">
        <v>42801</v>
      </c>
      <c r="H854" s="48">
        <v>42831</v>
      </c>
      <c r="I854" s="48">
        <v>42951</v>
      </c>
      <c r="J854" s="49" t="s">
        <v>3044</v>
      </c>
      <c r="K854" s="58" t="s">
        <v>7</v>
      </c>
      <c r="L854" s="49" t="s">
        <v>3494</v>
      </c>
      <c r="M854" s="48">
        <v>42951</v>
      </c>
      <c r="N854" s="49" t="s">
        <v>2917</v>
      </c>
      <c r="O854" s="49" t="s">
        <v>7</v>
      </c>
      <c r="P854" s="49" t="s">
        <v>3494</v>
      </c>
      <c r="Q854" s="51" t="s">
        <v>5002</v>
      </c>
      <c r="R854" s="67" t="e" cm="1">
        <f t="array" ref="R854">_xlfn.CHOOSECOLS(_xlfn.CHOOSEROWS(_xlfn._xlws.FILTER(표2[],표2[DWG No.]=C854,""),1),6)</f>
        <v>#VALUE!</v>
      </c>
      <c r="S854" s="67" t="e" cm="1">
        <f t="array" ref="S854">_xlfn.CHOOSECOLS(_xlfn.CHOOSEROWS(_xlfn._xlws.FILTER(표2[],(표2[DWG No.]=C854)*(ISNUMBER(표2[Rev.])),""),1),6)</f>
        <v>#VALUE!</v>
      </c>
    </row>
    <row r="855" spans="1:19" ht="18" customHeight="1" x14ac:dyDescent="0.45">
      <c r="A855" s="64">
        <v>850</v>
      </c>
      <c r="B855" s="49" t="s">
        <v>2912</v>
      </c>
      <c r="C855" s="50" t="s">
        <v>3501</v>
      </c>
      <c r="D855" s="49">
        <v>175264</v>
      </c>
      <c r="E855" s="50" t="s">
        <v>3502</v>
      </c>
      <c r="F855" s="49" t="s">
        <v>6</v>
      </c>
      <c r="G855" s="48">
        <v>42801</v>
      </c>
      <c r="H855" s="48">
        <v>42831</v>
      </c>
      <c r="I855" s="48">
        <v>42951</v>
      </c>
      <c r="J855" s="49" t="s">
        <v>3044</v>
      </c>
      <c r="K855" s="58" t="s">
        <v>7</v>
      </c>
      <c r="L855" s="49" t="s">
        <v>3494</v>
      </c>
      <c r="M855" s="48">
        <v>42951</v>
      </c>
      <c r="N855" s="49" t="s">
        <v>2917</v>
      </c>
      <c r="O855" s="49" t="s">
        <v>7</v>
      </c>
      <c r="P855" s="49" t="s">
        <v>3494</v>
      </c>
      <c r="Q855" s="51" t="s">
        <v>5002</v>
      </c>
      <c r="R855" s="67" t="e" cm="1">
        <f t="array" ref="R855">_xlfn.CHOOSECOLS(_xlfn.CHOOSEROWS(_xlfn._xlws.FILTER(표2[],표2[DWG No.]=C855,""),1),6)</f>
        <v>#VALUE!</v>
      </c>
      <c r="S855" s="67" t="e" cm="1">
        <f t="array" ref="S855">_xlfn.CHOOSECOLS(_xlfn.CHOOSEROWS(_xlfn._xlws.FILTER(표2[],(표2[DWG No.]=C855)*(ISNUMBER(표2[Rev.])),""),1),6)</f>
        <v>#VALUE!</v>
      </c>
    </row>
    <row r="856" spans="1:19" ht="18" customHeight="1" x14ac:dyDescent="0.45">
      <c r="A856" s="64">
        <v>851</v>
      </c>
      <c r="B856" s="49" t="s">
        <v>2912</v>
      </c>
      <c r="C856" s="50" t="s">
        <v>3503</v>
      </c>
      <c r="D856" s="49">
        <v>175265</v>
      </c>
      <c r="E856" s="50" t="s">
        <v>3504</v>
      </c>
      <c r="F856" s="49" t="s">
        <v>6</v>
      </c>
      <c r="G856" s="48">
        <v>42801</v>
      </c>
      <c r="H856" s="48">
        <v>42831</v>
      </c>
      <c r="I856" s="48">
        <v>43539</v>
      </c>
      <c r="J856" s="49" t="s">
        <v>3505</v>
      </c>
      <c r="K856" s="58" t="s">
        <v>7</v>
      </c>
      <c r="L856" s="49">
        <v>2</v>
      </c>
      <c r="M856" s="48">
        <v>43539</v>
      </c>
      <c r="N856" s="49" t="s">
        <v>3275</v>
      </c>
      <c r="O856" s="49" t="s">
        <v>7</v>
      </c>
      <c r="P856" s="49">
        <v>2</v>
      </c>
      <c r="Q856" s="51" t="s">
        <v>5002</v>
      </c>
      <c r="R856" s="67" t="e" cm="1">
        <f t="array" ref="R856">_xlfn.CHOOSECOLS(_xlfn.CHOOSEROWS(_xlfn._xlws.FILTER(표2[],표2[DWG No.]=C856,""),1),6)</f>
        <v>#VALUE!</v>
      </c>
      <c r="S856" s="67" t="e" cm="1">
        <f t="array" ref="S856">_xlfn.CHOOSECOLS(_xlfn.CHOOSEROWS(_xlfn._xlws.FILTER(표2[],(표2[DWG No.]=C856)*(ISNUMBER(표2[Rev.])),""),1),6)</f>
        <v>#VALUE!</v>
      </c>
    </row>
    <row r="857" spans="1:19" ht="18" customHeight="1" x14ac:dyDescent="0.45">
      <c r="A857" s="64">
        <v>852</v>
      </c>
      <c r="B857" s="49" t="s">
        <v>2912</v>
      </c>
      <c r="C857" s="50" t="s">
        <v>3506</v>
      </c>
      <c r="D857" s="49">
        <v>175266</v>
      </c>
      <c r="E857" s="50" t="s">
        <v>3507</v>
      </c>
      <c r="F857" s="49" t="s">
        <v>6</v>
      </c>
      <c r="G857" s="48">
        <v>42801</v>
      </c>
      <c r="H857" s="48">
        <v>42831</v>
      </c>
      <c r="I857" s="48">
        <v>42951</v>
      </c>
      <c r="J857" s="49" t="s">
        <v>3044</v>
      </c>
      <c r="K857" s="58" t="s">
        <v>7</v>
      </c>
      <c r="L857" s="49" t="s">
        <v>3494</v>
      </c>
      <c r="M857" s="48">
        <v>42951</v>
      </c>
      <c r="N857" s="49" t="s">
        <v>2917</v>
      </c>
      <c r="O857" s="49" t="s">
        <v>7</v>
      </c>
      <c r="P857" s="49" t="s">
        <v>3494</v>
      </c>
      <c r="Q857" s="51" t="s">
        <v>5002</v>
      </c>
      <c r="R857" s="67" t="e" cm="1">
        <f t="array" ref="R857">_xlfn.CHOOSECOLS(_xlfn.CHOOSEROWS(_xlfn._xlws.FILTER(표2[],표2[DWG No.]=C857,""),1),6)</f>
        <v>#VALUE!</v>
      </c>
      <c r="S857" s="67" t="e" cm="1">
        <f t="array" ref="S857">_xlfn.CHOOSECOLS(_xlfn.CHOOSEROWS(_xlfn._xlws.FILTER(표2[],(표2[DWG No.]=C857)*(ISNUMBER(표2[Rev.])),""),1),6)</f>
        <v>#VALUE!</v>
      </c>
    </row>
    <row r="858" spans="1:19" ht="18" customHeight="1" x14ac:dyDescent="0.45">
      <c r="A858" s="64">
        <v>853</v>
      </c>
      <c r="B858" s="49" t="s">
        <v>2912</v>
      </c>
      <c r="C858" s="50" t="s">
        <v>3508</v>
      </c>
      <c r="D858" s="49">
        <v>175267</v>
      </c>
      <c r="E858" s="50" t="s">
        <v>3509</v>
      </c>
      <c r="F858" s="49" t="s">
        <v>6</v>
      </c>
      <c r="G858" s="48">
        <v>42801</v>
      </c>
      <c r="H858" s="48">
        <v>42831</v>
      </c>
      <c r="I858" s="48">
        <v>42951</v>
      </c>
      <c r="J858" s="49" t="s">
        <v>3044</v>
      </c>
      <c r="K858" s="58" t="s">
        <v>7</v>
      </c>
      <c r="L858" s="49" t="s">
        <v>3494</v>
      </c>
      <c r="M858" s="48">
        <v>42951</v>
      </c>
      <c r="N858" s="49" t="s">
        <v>2917</v>
      </c>
      <c r="O858" s="49" t="s">
        <v>7</v>
      </c>
      <c r="P858" s="49" t="s">
        <v>3494</v>
      </c>
      <c r="Q858" s="51" t="s">
        <v>5002</v>
      </c>
      <c r="R858" s="67" t="e" cm="1">
        <f t="array" ref="R858">_xlfn.CHOOSECOLS(_xlfn.CHOOSEROWS(_xlfn._xlws.FILTER(표2[],표2[DWG No.]=C858,""),1),6)</f>
        <v>#VALUE!</v>
      </c>
      <c r="S858" s="67" t="e" cm="1">
        <f t="array" ref="S858">_xlfn.CHOOSECOLS(_xlfn.CHOOSEROWS(_xlfn._xlws.FILTER(표2[],(표2[DWG No.]=C858)*(ISNUMBER(표2[Rev.])),""),1),6)</f>
        <v>#VALUE!</v>
      </c>
    </row>
    <row r="859" spans="1:19" ht="18" customHeight="1" x14ac:dyDescent="0.45">
      <c r="A859" s="64">
        <v>854</v>
      </c>
      <c r="B859" s="49" t="s">
        <v>2912</v>
      </c>
      <c r="C859" s="50" t="s">
        <v>3510</v>
      </c>
      <c r="D859" s="49">
        <v>175268</v>
      </c>
      <c r="E859" s="50" t="s">
        <v>3511</v>
      </c>
      <c r="F859" s="49" t="s">
        <v>6</v>
      </c>
      <c r="G859" s="48">
        <v>42801</v>
      </c>
      <c r="H859" s="48">
        <v>42831</v>
      </c>
      <c r="I859" s="48">
        <v>42951</v>
      </c>
      <c r="J859" s="49" t="s">
        <v>3044</v>
      </c>
      <c r="K859" s="58" t="s">
        <v>7</v>
      </c>
      <c r="L859" s="49" t="s">
        <v>3494</v>
      </c>
      <c r="M859" s="48">
        <v>42951</v>
      </c>
      <c r="N859" s="49" t="s">
        <v>2917</v>
      </c>
      <c r="O859" s="49" t="s">
        <v>7</v>
      </c>
      <c r="P859" s="49" t="s">
        <v>3494</v>
      </c>
      <c r="Q859" s="51" t="s">
        <v>5002</v>
      </c>
      <c r="R859" s="67" t="e" cm="1">
        <f t="array" ref="R859">_xlfn.CHOOSECOLS(_xlfn.CHOOSEROWS(_xlfn._xlws.FILTER(표2[],표2[DWG No.]=C859,""),1),6)</f>
        <v>#VALUE!</v>
      </c>
      <c r="S859" s="67" t="e" cm="1">
        <f t="array" ref="S859">_xlfn.CHOOSECOLS(_xlfn.CHOOSEROWS(_xlfn._xlws.FILTER(표2[],(표2[DWG No.]=C859)*(ISNUMBER(표2[Rev.])),""),1),6)</f>
        <v>#VALUE!</v>
      </c>
    </row>
    <row r="860" spans="1:19" ht="18" customHeight="1" x14ac:dyDescent="0.45">
      <c r="A860" s="64">
        <v>855</v>
      </c>
      <c r="B860" s="49" t="s">
        <v>2912</v>
      </c>
      <c r="C860" s="50" t="s">
        <v>3512</v>
      </c>
      <c r="D860" s="49">
        <v>175269</v>
      </c>
      <c r="E860" s="50" t="s">
        <v>3513</v>
      </c>
      <c r="F860" s="49" t="s">
        <v>6</v>
      </c>
      <c r="G860" s="48">
        <v>42801</v>
      </c>
      <c r="H860" s="48">
        <v>42831</v>
      </c>
      <c r="I860" s="48">
        <v>42951</v>
      </c>
      <c r="J860" s="49" t="s">
        <v>3044</v>
      </c>
      <c r="K860" s="58" t="s">
        <v>7</v>
      </c>
      <c r="L860" s="49" t="s">
        <v>3494</v>
      </c>
      <c r="M860" s="48">
        <v>42951</v>
      </c>
      <c r="N860" s="49" t="s">
        <v>2917</v>
      </c>
      <c r="O860" s="49" t="s">
        <v>7</v>
      </c>
      <c r="P860" s="49" t="s">
        <v>3494</v>
      </c>
      <c r="Q860" s="51" t="s">
        <v>5002</v>
      </c>
      <c r="R860" s="67" t="e" cm="1">
        <f t="array" ref="R860">_xlfn.CHOOSECOLS(_xlfn.CHOOSEROWS(_xlfn._xlws.FILTER(표2[],표2[DWG No.]=C860,""),1),6)</f>
        <v>#VALUE!</v>
      </c>
      <c r="S860" s="67" t="e" cm="1">
        <f t="array" ref="S860">_xlfn.CHOOSECOLS(_xlfn.CHOOSEROWS(_xlfn._xlws.FILTER(표2[],(표2[DWG No.]=C860)*(ISNUMBER(표2[Rev.])),""),1),6)</f>
        <v>#VALUE!</v>
      </c>
    </row>
    <row r="861" spans="1:19" ht="18" customHeight="1" x14ac:dyDescent="0.45">
      <c r="A861" s="64">
        <v>856</v>
      </c>
      <c r="B861" s="49" t="s">
        <v>2912</v>
      </c>
      <c r="C861" s="50" t="s">
        <v>3514</v>
      </c>
      <c r="D861" s="49">
        <v>175270</v>
      </c>
      <c r="E861" s="50" t="s">
        <v>3515</v>
      </c>
      <c r="F861" s="49" t="s">
        <v>6</v>
      </c>
      <c r="G861" s="48">
        <v>42801</v>
      </c>
      <c r="H861" s="48">
        <v>42831</v>
      </c>
      <c r="I861" s="48">
        <v>42951</v>
      </c>
      <c r="J861" s="49" t="s">
        <v>3044</v>
      </c>
      <c r="K861" s="58" t="s">
        <v>7</v>
      </c>
      <c r="L861" s="49" t="s">
        <v>3494</v>
      </c>
      <c r="M861" s="48">
        <v>42951</v>
      </c>
      <c r="N861" s="49" t="s">
        <v>2917</v>
      </c>
      <c r="O861" s="49" t="s">
        <v>7</v>
      </c>
      <c r="P861" s="49" t="s">
        <v>3494</v>
      </c>
      <c r="Q861" s="51" t="s">
        <v>5002</v>
      </c>
      <c r="R861" s="67" t="e" cm="1">
        <f t="array" ref="R861">_xlfn.CHOOSECOLS(_xlfn.CHOOSEROWS(_xlfn._xlws.FILTER(표2[],표2[DWG No.]=C861,""),1),6)</f>
        <v>#VALUE!</v>
      </c>
      <c r="S861" s="67" t="e" cm="1">
        <f t="array" ref="S861">_xlfn.CHOOSECOLS(_xlfn.CHOOSEROWS(_xlfn._xlws.FILTER(표2[],(표2[DWG No.]=C861)*(ISNUMBER(표2[Rev.])),""),1),6)</f>
        <v>#VALUE!</v>
      </c>
    </row>
    <row r="862" spans="1:19" ht="18" customHeight="1" x14ac:dyDescent="0.45">
      <c r="A862" s="64">
        <v>857</v>
      </c>
      <c r="B862" s="49" t="s">
        <v>2912</v>
      </c>
      <c r="C862" s="50" t="s">
        <v>3516</v>
      </c>
      <c r="D862" s="49">
        <v>175271</v>
      </c>
      <c r="E862" s="50" t="s">
        <v>3517</v>
      </c>
      <c r="F862" s="49" t="s">
        <v>6</v>
      </c>
      <c r="G862" s="48">
        <v>42801</v>
      </c>
      <c r="H862" s="48">
        <v>42831</v>
      </c>
      <c r="I862" s="48">
        <v>43013</v>
      </c>
      <c r="J862" s="49" t="s">
        <v>3352</v>
      </c>
      <c r="K862" s="58" t="s">
        <v>7</v>
      </c>
      <c r="L862" s="49">
        <v>0</v>
      </c>
      <c r="M862" s="48">
        <v>43013</v>
      </c>
      <c r="N862" s="49" t="s">
        <v>2917</v>
      </c>
      <c r="O862" s="49" t="s">
        <v>7</v>
      </c>
      <c r="P862" s="49">
        <v>0</v>
      </c>
      <c r="Q862" s="51" t="s">
        <v>5002</v>
      </c>
      <c r="R862" s="67" t="e" cm="1">
        <f t="array" ref="R862">_xlfn.CHOOSECOLS(_xlfn.CHOOSEROWS(_xlfn._xlws.FILTER(표2[],표2[DWG No.]=C862,""),1),6)</f>
        <v>#VALUE!</v>
      </c>
      <c r="S862" s="67" t="e" cm="1">
        <f t="array" ref="S862">_xlfn.CHOOSECOLS(_xlfn.CHOOSEROWS(_xlfn._xlws.FILTER(표2[],(표2[DWG No.]=C862)*(ISNUMBER(표2[Rev.])),""),1),6)</f>
        <v>#VALUE!</v>
      </c>
    </row>
    <row r="863" spans="1:19" ht="18" customHeight="1" x14ac:dyDescent="0.45">
      <c r="A863" s="64">
        <v>858</v>
      </c>
      <c r="B863" s="49" t="s">
        <v>2912</v>
      </c>
      <c r="C863" s="50" t="s">
        <v>3518</v>
      </c>
      <c r="D863" s="49">
        <v>175272</v>
      </c>
      <c r="E863" s="50" t="s">
        <v>3519</v>
      </c>
      <c r="F863" s="49" t="s">
        <v>6</v>
      </c>
      <c r="G863" s="48">
        <v>42833</v>
      </c>
      <c r="H863" s="48">
        <v>42863</v>
      </c>
      <c r="I863" s="48">
        <v>43031</v>
      </c>
      <c r="J863" s="49" t="s">
        <v>3145</v>
      </c>
      <c r="K863" s="58" t="s">
        <v>7</v>
      </c>
      <c r="L863" s="49">
        <v>0</v>
      </c>
      <c r="M863" s="48">
        <v>43032</v>
      </c>
      <c r="N863" s="49" t="s">
        <v>2917</v>
      </c>
      <c r="O863" s="49" t="s">
        <v>7</v>
      </c>
      <c r="P863" s="49">
        <v>0</v>
      </c>
      <c r="Q863" s="51" t="s">
        <v>5002</v>
      </c>
      <c r="R863" s="67" t="e" cm="1">
        <f t="array" ref="R863">_xlfn.CHOOSECOLS(_xlfn.CHOOSEROWS(_xlfn._xlws.FILTER(표2[],표2[DWG No.]=C863,""),1),6)</f>
        <v>#VALUE!</v>
      </c>
      <c r="S863" s="67" t="e" cm="1">
        <f t="array" ref="S863">_xlfn.CHOOSECOLS(_xlfn.CHOOSEROWS(_xlfn._xlws.FILTER(표2[],(표2[DWG No.]=C863)*(ISNUMBER(표2[Rev.])),""),1),6)</f>
        <v>#VALUE!</v>
      </c>
    </row>
    <row r="864" spans="1:19" ht="18" customHeight="1" x14ac:dyDescent="0.45">
      <c r="A864" s="64">
        <v>859</v>
      </c>
      <c r="B864" s="49" t="s">
        <v>2912</v>
      </c>
      <c r="C864" s="50" t="s">
        <v>3520</v>
      </c>
      <c r="D864" s="49">
        <v>175273</v>
      </c>
      <c r="E864" s="50" t="s">
        <v>3521</v>
      </c>
      <c r="F864" s="49" t="s">
        <v>6</v>
      </c>
      <c r="G864" s="48">
        <v>42833</v>
      </c>
      <c r="H864" s="48">
        <v>42863</v>
      </c>
      <c r="I864" s="48">
        <v>43031</v>
      </c>
      <c r="J864" s="49" t="s">
        <v>3145</v>
      </c>
      <c r="K864" s="58" t="s">
        <v>7</v>
      </c>
      <c r="L864" s="49">
        <v>0</v>
      </c>
      <c r="M864" s="48">
        <v>43032</v>
      </c>
      <c r="N864" s="49" t="s">
        <v>2917</v>
      </c>
      <c r="O864" s="49" t="s">
        <v>7</v>
      </c>
      <c r="P864" s="49">
        <v>0</v>
      </c>
      <c r="Q864" s="51" t="s">
        <v>5002</v>
      </c>
      <c r="R864" s="67" t="e" cm="1">
        <f t="array" ref="R864">_xlfn.CHOOSECOLS(_xlfn.CHOOSEROWS(_xlfn._xlws.FILTER(표2[],표2[DWG No.]=C864,""),1),6)</f>
        <v>#VALUE!</v>
      </c>
      <c r="S864" s="67" t="e" cm="1">
        <f t="array" ref="S864">_xlfn.CHOOSECOLS(_xlfn.CHOOSEROWS(_xlfn._xlws.FILTER(표2[],(표2[DWG No.]=C864)*(ISNUMBER(표2[Rev.])),""),1),6)</f>
        <v>#VALUE!</v>
      </c>
    </row>
    <row r="865" spans="1:19" ht="18" customHeight="1" x14ac:dyDescent="0.45">
      <c r="A865" s="64">
        <v>860</v>
      </c>
      <c r="B865" s="49" t="s">
        <v>2912</v>
      </c>
      <c r="C865" s="50" t="s">
        <v>3522</v>
      </c>
      <c r="D865" s="49">
        <v>175274</v>
      </c>
      <c r="E865" s="50" t="s">
        <v>3523</v>
      </c>
      <c r="F865" s="49" t="s">
        <v>6</v>
      </c>
      <c r="G865" s="48">
        <v>42801</v>
      </c>
      <c r="H865" s="48">
        <v>42831</v>
      </c>
      <c r="I865" s="48">
        <v>42867</v>
      </c>
      <c r="J865" s="49" t="s">
        <v>3524</v>
      </c>
      <c r="K865" s="58" t="s">
        <v>7</v>
      </c>
      <c r="L865" s="49">
        <v>0</v>
      </c>
      <c r="M865" s="48">
        <v>42874</v>
      </c>
      <c r="N865" s="49" t="s">
        <v>3525</v>
      </c>
      <c r="O865" s="49" t="s">
        <v>6</v>
      </c>
      <c r="P865" s="49" t="s">
        <v>65</v>
      </c>
      <c r="Q865" s="51" t="s">
        <v>65</v>
      </c>
      <c r="R865" s="67" t="e" cm="1">
        <f t="array" ref="R865">_xlfn.CHOOSECOLS(_xlfn.CHOOSEROWS(_xlfn._xlws.FILTER(표2[],표2[DWG No.]=C865,""),1),6)</f>
        <v>#VALUE!</v>
      </c>
      <c r="S865" s="67" t="e" cm="1">
        <f t="array" ref="S865">_xlfn.CHOOSECOLS(_xlfn.CHOOSEROWS(_xlfn._xlws.FILTER(표2[],(표2[DWG No.]=C865)*(ISNUMBER(표2[Rev.])),""),1),6)</f>
        <v>#VALUE!</v>
      </c>
    </row>
    <row r="866" spans="1:19" ht="18" customHeight="1" x14ac:dyDescent="0.45">
      <c r="A866" s="64">
        <v>861</v>
      </c>
      <c r="B866" s="49" t="s">
        <v>2912</v>
      </c>
      <c r="C866" s="50" t="s">
        <v>3526</v>
      </c>
      <c r="D866" s="49">
        <v>175277</v>
      </c>
      <c r="E866" s="50" t="s">
        <v>3527</v>
      </c>
      <c r="F866" s="49" t="s">
        <v>6</v>
      </c>
      <c r="G866" s="48">
        <v>42891</v>
      </c>
      <c r="H866" s="48">
        <v>42862</v>
      </c>
      <c r="I866" s="48">
        <v>43031</v>
      </c>
      <c r="J866" s="49" t="s">
        <v>3145</v>
      </c>
      <c r="K866" s="58" t="s">
        <v>7</v>
      </c>
      <c r="L866" s="49">
        <v>0</v>
      </c>
      <c r="M866" s="48">
        <v>43032</v>
      </c>
      <c r="N866" s="49" t="s">
        <v>2917</v>
      </c>
      <c r="O866" s="49" t="s">
        <v>7</v>
      </c>
      <c r="P866" s="49">
        <v>0</v>
      </c>
      <c r="Q866" s="51" t="s">
        <v>5002</v>
      </c>
      <c r="R866" s="67" t="e" cm="1">
        <f t="array" ref="R866">_xlfn.CHOOSECOLS(_xlfn.CHOOSEROWS(_xlfn._xlws.FILTER(표2[],표2[DWG No.]=C866,""),1),6)</f>
        <v>#VALUE!</v>
      </c>
      <c r="S866" s="67" t="e" cm="1">
        <f t="array" ref="S866">_xlfn.CHOOSECOLS(_xlfn.CHOOSEROWS(_xlfn._xlws.FILTER(표2[],(표2[DWG No.]=C866)*(ISNUMBER(표2[Rev.])),""),1),6)</f>
        <v>#VALUE!</v>
      </c>
    </row>
    <row r="867" spans="1:19" ht="18" customHeight="1" x14ac:dyDescent="0.45">
      <c r="A867" s="64">
        <v>862</v>
      </c>
      <c r="B867" s="49" t="s">
        <v>2912</v>
      </c>
      <c r="C867" s="50" t="s">
        <v>3528</v>
      </c>
      <c r="D867" s="49">
        <v>175277</v>
      </c>
      <c r="E867" s="50" t="s">
        <v>3527</v>
      </c>
      <c r="F867" s="49" t="s">
        <v>6</v>
      </c>
      <c r="G867" s="48">
        <v>42891</v>
      </c>
      <c r="H867" s="48">
        <v>42862</v>
      </c>
      <c r="I867" s="48">
        <v>43031</v>
      </c>
      <c r="J867" s="49" t="s">
        <v>3145</v>
      </c>
      <c r="K867" s="58" t="s">
        <v>7</v>
      </c>
      <c r="L867" s="49">
        <v>0</v>
      </c>
      <c r="M867" s="48">
        <v>43032</v>
      </c>
      <c r="N867" s="49" t="s">
        <v>2917</v>
      </c>
      <c r="O867" s="49" t="s">
        <v>7</v>
      </c>
      <c r="P867" s="49">
        <v>0</v>
      </c>
      <c r="Q867" s="51" t="s">
        <v>5002</v>
      </c>
      <c r="R867" s="67" t="e" cm="1">
        <f t="array" ref="R867">_xlfn.CHOOSECOLS(_xlfn.CHOOSEROWS(_xlfn._xlws.FILTER(표2[],표2[DWG No.]=C867,""),1),6)</f>
        <v>#VALUE!</v>
      </c>
      <c r="S867" s="67" t="e" cm="1">
        <f t="array" ref="S867">_xlfn.CHOOSECOLS(_xlfn.CHOOSEROWS(_xlfn._xlws.FILTER(표2[],(표2[DWG No.]=C867)*(ISNUMBER(표2[Rev.])),""),1),6)</f>
        <v>#VALUE!</v>
      </c>
    </row>
    <row r="868" spans="1:19" ht="18" customHeight="1" x14ac:dyDescent="0.45">
      <c r="A868" s="64">
        <v>863</v>
      </c>
      <c r="B868" s="49" t="s">
        <v>2912</v>
      </c>
      <c r="C868" s="50" t="s">
        <v>3529</v>
      </c>
      <c r="D868" s="49">
        <v>175278</v>
      </c>
      <c r="E868" s="50" t="s">
        <v>3530</v>
      </c>
      <c r="F868" s="49" t="s">
        <v>6</v>
      </c>
      <c r="G868" s="48">
        <v>42833</v>
      </c>
      <c r="H868" s="48">
        <v>42863</v>
      </c>
      <c r="I868" s="48">
        <v>43017</v>
      </c>
      <c r="J868" s="49" t="s">
        <v>3052</v>
      </c>
      <c r="K868" s="58" t="s">
        <v>7</v>
      </c>
      <c r="L868" s="49">
        <v>0</v>
      </c>
      <c r="M868" s="48">
        <v>43018</v>
      </c>
      <c r="N868" s="49" t="s">
        <v>2917</v>
      </c>
      <c r="O868" s="49" t="s">
        <v>7</v>
      </c>
      <c r="P868" s="49">
        <v>0</v>
      </c>
      <c r="Q868" s="51" t="s">
        <v>5002</v>
      </c>
      <c r="R868" s="67" t="e" cm="1">
        <f t="array" ref="R868">_xlfn.CHOOSECOLS(_xlfn.CHOOSEROWS(_xlfn._xlws.FILTER(표2[],표2[DWG No.]=C868,""),1),6)</f>
        <v>#VALUE!</v>
      </c>
      <c r="S868" s="67" t="e" cm="1">
        <f t="array" ref="S868">_xlfn.CHOOSECOLS(_xlfn.CHOOSEROWS(_xlfn._xlws.FILTER(표2[],(표2[DWG No.]=C868)*(ISNUMBER(표2[Rev.])),""),1),6)</f>
        <v>#VALUE!</v>
      </c>
    </row>
    <row r="869" spans="1:19" ht="18" customHeight="1" x14ac:dyDescent="0.45">
      <c r="A869" s="64">
        <v>864</v>
      </c>
      <c r="B869" s="49" t="s">
        <v>2912</v>
      </c>
      <c r="C869" s="50" t="s">
        <v>3531</v>
      </c>
      <c r="D869" s="49">
        <v>115279</v>
      </c>
      <c r="E869" s="50" t="s">
        <v>3532</v>
      </c>
      <c r="F869" s="49" t="s">
        <v>6</v>
      </c>
      <c r="G869" s="48">
        <v>42789</v>
      </c>
      <c r="H869" s="48">
        <v>42819</v>
      </c>
      <c r="I869" s="48">
        <v>43475</v>
      </c>
      <c r="J869" s="49" t="s">
        <v>3533</v>
      </c>
      <c r="K869" s="58" t="s">
        <v>7</v>
      </c>
      <c r="L869" s="49">
        <v>4</v>
      </c>
      <c r="M869" s="48">
        <v>43487</v>
      </c>
      <c r="N869" s="49" t="s">
        <v>3534</v>
      </c>
      <c r="O869" s="49" t="s">
        <v>7</v>
      </c>
      <c r="P869" s="49">
        <v>4</v>
      </c>
      <c r="Q869" s="51" t="s">
        <v>5002</v>
      </c>
      <c r="R869" s="67" t="e" cm="1">
        <f t="array" ref="R869">_xlfn.CHOOSECOLS(_xlfn.CHOOSEROWS(_xlfn._xlws.FILTER(표2[],표2[DWG No.]=C869,""),1),6)</f>
        <v>#VALUE!</v>
      </c>
      <c r="S869" s="67" t="e" cm="1">
        <f t="array" ref="S869">_xlfn.CHOOSECOLS(_xlfn.CHOOSEROWS(_xlfn._xlws.FILTER(표2[],(표2[DWG No.]=C869)*(ISNUMBER(표2[Rev.])),""),1),6)</f>
        <v>#VALUE!</v>
      </c>
    </row>
    <row r="870" spans="1:19" ht="18" customHeight="1" x14ac:dyDescent="0.45">
      <c r="A870" s="64">
        <v>865</v>
      </c>
      <c r="B870" s="49" t="s">
        <v>2912</v>
      </c>
      <c r="C870" s="50" t="s">
        <v>3535</v>
      </c>
      <c r="D870" s="49">
        <v>115280</v>
      </c>
      <c r="E870" s="50" t="s">
        <v>3536</v>
      </c>
      <c r="F870" s="49" t="s">
        <v>6</v>
      </c>
      <c r="G870" s="48">
        <v>42789</v>
      </c>
      <c r="H870" s="48">
        <v>42819</v>
      </c>
      <c r="I870" s="48">
        <v>43475</v>
      </c>
      <c r="J870" s="49" t="s">
        <v>3533</v>
      </c>
      <c r="K870" s="58" t="s">
        <v>7</v>
      </c>
      <c r="L870" s="49">
        <v>4</v>
      </c>
      <c r="M870" s="48">
        <v>43487</v>
      </c>
      <c r="N870" s="49" t="s">
        <v>3534</v>
      </c>
      <c r="O870" s="49" t="s">
        <v>7</v>
      </c>
      <c r="P870" s="49">
        <v>4</v>
      </c>
      <c r="Q870" s="51" t="s">
        <v>5002</v>
      </c>
      <c r="R870" s="67" t="e" cm="1">
        <f t="array" ref="R870">_xlfn.CHOOSECOLS(_xlfn.CHOOSEROWS(_xlfn._xlws.FILTER(표2[],표2[DWG No.]=C870,""),1),6)</f>
        <v>#VALUE!</v>
      </c>
      <c r="S870" s="67" t="e" cm="1">
        <f t="array" ref="S870">_xlfn.CHOOSECOLS(_xlfn.CHOOSEROWS(_xlfn._xlws.FILTER(표2[],(표2[DWG No.]=C870)*(ISNUMBER(표2[Rev.])),""),1),6)</f>
        <v>#VALUE!</v>
      </c>
    </row>
    <row r="871" spans="1:19" ht="18" customHeight="1" x14ac:dyDescent="0.45">
      <c r="A871" s="64">
        <v>866</v>
      </c>
      <c r="B871" s="49" t="s">
        <v>2912</v>
      </c>
      <c r="C871" s="50" t="s">
        <v>3537</v>
      </c>
      <c r="D871" s="49">
        <v>115281</v>
      </c>
      <c r="E871" s="50" t="s">
        <v>3538</v>
      </c>
      <c r="F871" s="49" t="s">
        <v>6</v>
      </c>
      <c r="G871" s="48">
        <v>42787</v>
      </c>
      <c r="H871" s="48">
        <v>42817</v>
      </c>
      <c r="I871" s="48">
        <v>43454</v>
      </c>
      <c r="J871" s="51" t="s">
        <v>3371</v>
      </c>
      <c r="K871" s="58" t="s">
        <v>7</v>
      </c>
      <c r="L871" s="49">
        <v>0</v>
      </c>
      <c r="M871" s="61">
        <v>43090</v>
      </c>
      <c r="N871" s="51" t="s">
        <v>2917</v>
      </c>
      <c r="O871" s="49" t="s">
        <v>7</v>
      </c>
      <c r="P871" s="51">
        <v>0</v>
      </c>
      <c r="Q871" s="51" t="s">
        <v>5002</v>
      </c>
      <c r="R871" s="67" t="e" cm="1">
        <f t="array" ref="R871">_xlfn.CHOOSECOLS(_xlfn.CHOOSEROWS(_xlfn._xlws.FILTER(표2[],표2[DWG No.]=C871,""),1),6)</f>
        <v>#VALUE!</v>
      </c>
      <c r="S871" s="67" t="e" cm="1">
        <f t="array" ref="S871">_xlfn.CHOOSECOLS(_xlfn.CHOOSEROWS(_xlfn._xlws.FILTER(표2[],(표2[DWG No.]=C871)*(ISNUMBER(표2[Rev.])),""),1),6)</f>
        <v>#VALUE!</v>
      </c>
    </row>
    <row r="872" spans="1:19" ht="18" customHeight="1" x14ac:dyDescent="0.45">
      <c r="A872" s="64">
        <v>867</v>
      </c>
      <c r="B872" s="49" t="s">
        <v>2912</v>
      </c>
      <c r="C872" s="50" t="s">
        <v>3539</v>
      </c>
      <c r="D872" s="49">
        <v>115282</v>
      </c>
      <c r="E872" s="50" t="s">
        <v>3540</v>
      </c>
      <c r="F872" s="49" t="s">
        <v>6</v>
      </c>
      <c r="G872" s="48">
        <v>42789</v>
      </c>
      <c r="H872" s="48">
        <v>42819</v>
      </c>
      <c r="I872" s="48">
        <v>43012</v>
      </c>
      <c r="J872" s="49" t="s">
        <v>3202</v>
      </c>
      <c r="K872" s="58" t="s">
        <v>7</v>
      </c>
      <c r="L872" s="49">
        <v>1</v>
      </c>
      <c r="M872" s="48">
        <v>43012</v>
      </c>
      <c r="N872" s="49" t="s">
        <v>2917</v>
      </c>
      <c r="O872" s="49" t="s">
        <v>7</v>
      </c>
      <c r="P872" s="49">
        <v>1</v>
      </c>
      <c r="Q872" s="51" t="s">
        <v>5002</v>
      </c>
      <c r="R872" s="67" t="e" cm="1">
        <f t="array" ref="R872">_xlfn.CHOOSECOLS(_xlfn.CHOOSEROWS(_xlfn._xlws.FILTER(표2[],표2[DWG No.]=C872,""),1),6)</f>
        <v>#VALUE!</v>
      </c>
      <c r="S872" s="67" t="e" cm="1">
        <f t="array" ref="S872">_xlfn.CHOOSECOLS(_xlfn.CHOOSEROWS(_xlfn._xlws.FILTER(표2[],(표2[DWG No.]=C872)*(ISNUMBER(표2[Rev.])),""),1),6)</f>
        <v>#VALUE!</v>
      </c>
    </row>
    <row r="873" spans="1:19" ht="18" customHeight="1" x14ac:dyDescent="0.45">
      <c r="A873" s="64">
        <v>868</v>
      </c>
      <c r="B873" s="49" t="s">
        <v>2912</v>
      </c>
      <c r="C873" s="50" t="s">
        <v>3541</v>
      </c>
      <c r="D873" s="49">
        <v>115283</v>
      </c>
      <c r="E873" s="50" t="s">
        <v>3542</v>
      </c>
      <c r="F873" s="49" t="s">
        <v>6</v>
      </c>
      <c r="G873" s="48">
        <v>42789</v>
      </c>
      <c r="H873" s="48">
        <v>42819</v>
      </c>
      <c r="I873" s="48">
        <v>43024</v>
      </c>
      <c r="J873" s="49" t="s">
        <v>3249</v>
      </c>
      <c r="K873" s="58" t="s">
        <v>7</v>
      </c>
      <c r="L873" s="49">
        <v>1</v>
      </c>
      <c r="M873" s="48">
        <v>43025</v>
      </c>
      <c r="N873" s="49" t="s">
        <v>2917</v>
      </c>
      <c r="O873" s="49" t="s">
        <v>7</v>
      </c>
      <c r="P873" s="49">
        <v>1</v>
      </c>
      <c r="Q873" s="51" t="s">
        <v>5002</v>
      </c>
      <c r="R873" s="67" t="e" cm="1">
        <f t="array" ref="R873">_xlfn.CHOOSECOLS(_xlfn.CHOOSEROWS(_xlfn._xlws.FILTER(표2[],표2[DWG No.]=C873,""),1),6)</f>
        <v>#VALUE!</v>
      </c>
      <c r="S873" s="67" t="e" cm="1">
        <f t="array" ref="S873">_xlfn.CHOOSECOLS(_xlfn.CHOOSEROWS(_xlfn._xlws.FILTER(표2[],(표2[DWG No.]=C873)*(ISNUMBER(표2[Rev.])),""),1),6)</f>
        <v>#VALUE!</v>
      </c>
    </row>
    <row r="874" spans="1:19" ht="18" customHeight="1" x14ac:dyDescent="0.45">
      <c r="A874" s="64">
        <v>869</v>
      </c>
      <c r="B874" s="49" t="s">
        <v>2912</v>
      </c>
      <c r="C874" s="50" t="s">
        <v>3543</v>
      </c>
      <c r="D874" s="49">
        <v>115284</v>
      </c>
      <c r="E874" s="50" t="s">
        <v>3544</v>
      </c>
      <c r="F874" s="49" t="s">
        <v>6</v>
      </c>
      <c r="G874" s="48">
        <v>42789</v>
      </c>
      <c r="H874" s="48">
        <v>42819</v>
      </c>
      <c r="I874" s="48">
        <v>42965</v>
      </c>
      <c r="J874" s="49" t="s">
        <v>3070</v>
      </c>
      <c r="K874" s="58" t="s">
        <v>7</v>
      </c>
      <c r="L874" s="49">
        <v>0</v>
      </c>
      <c r="M874" s="48">
        <v>42969</v>
      </c>
      <c r="N874" s="49" t="s">
        <v>2917</v>
      </c>
      <c r="O874" s="49" t="s">
        <v>7</v>
      </c>
      <c r="P874" s="49">
        <v>0</v>
      </c>
      <c r="Q874" s="51" t="s">
        <v>5002</v>
      </c>
      <c r="R874" s="67" t="e" cm="1">
        <f t="array" ref="R874">_xlfn.CHOOSECOLS(_xlfn.CHOOSEROWS(_xlfn._xlws.FILTER(표2[],표2[DWG No.]=C874,""),1),6)</f>
        <v>#VALUE!</v>
      </c>
      <c r="S874" s="67" t="e" cm="1">
        <f t="array" ref="S874">_xlfn.CHOOSECOLS(_xlfn.CHOOSEROWS(_xlfn._xlws.FILTER(표2[],(표2[DWG No.]=C874)*(ISNUMBER(표2[Rev.])),""),1),6)</f>
        <v>#VALUE!</v>
      </c>
    </row>
    <row r="875" spans="1:19" ht="18" customHeight="1" x14ac:dyDescent="0.45">
      <c r="A875" s="64">
        <v>870</v>
      </c>
      <c r="B875" s="49" t="s">
        <v>2912</v>
      </c>
      <c r="C875" s="50" t="s">
        <v>3545</v>
      </c>
      <c r="D875" s="49">
        <v>115285</v>
      </c>
      <c r="E875" s="50" t="s">
        <v>3546</v>
      </c>
      <c r="F875" s="49" t="s">
        <v>6</v>
      </c>
      <c r="G875" s="48">
        <v>42789</v>
      </c>
      <c r="H875" s="48">
        <v>42819</v>
      </c>
      <c r="I875" s="48">
        <v>42965</v>
      </c>
      <c r="J875" s="49" t="s">
        <v>3070</v>
      </c>
      <c r="K875" s="58" t="s">
        <v>7</v>
      </c>
      <c r="L875" s="49">
        <v>0</v>
      </c>
      <c r="M875" s="48">
        <v>42969</v>
      </c>
      <c r="N875" s="49" t="s">
        <v>2917</v>
      </c>
      <c r="O875" s="49" t="s">
        <v>7</v>
      </c>
      <c r="P875" s="49">
        <v>0</v>
      </c>
      <c r="Q875" s="51" t="s">
        <v>5002</v>
      </c>
      <c r="R875" s="67" t="e" cm="1">
        <f t="array" ref="R875">_xlfn.CHOOSECOLS(_xlfn.CHOOSEROWS(_xlfn._xlws.FILTER(표2[],표2[DWG No.]=C875,""),1),6)</f>
        <v>#VALUE!</v>
      </c>
      <c r="S875" s="67" t="e" cm="1">
        <f t="array" ref="S875">_xlfn.CHOOSECOLS(_xlfn.CHOOSEROWS(_xlfn._xlws.FILTER(표2[],(표2[DWG No.]=C875)*(ISNUMBER(표2[Rev.])),""),1),6)</f>
        <v>#VALUE!</v>
      </c>
    </row>
    <row r="876" spans="1:19" ht="18" customHeight="1" x14ac:dyDescent="0.45">
      <c r="A876" s="64">
        <v>871</v>
      </c>
      <c r="B876" s="49" t="s">
        <v>2912</v>
      </c>
      <c r="C876" s="50" t="s">
        <v>3547</v>
      </c>
      <c r="D876" s="49">
        <v>115286</v>
      </c>
      <c r="E876" s="50" t="s">
        <v>3548</v>
      </c>
      <c r="F876" s="49" t="s">
        <v>6</v>
      </c>
      <c r="G876" s="48">
        <v>42787</v>
      </c>
      <c r="H876" s="48">
        <v>42817</v>
      </c>
      <c r="I876" s="48">
        <v>43069</v>
      </c>
      <c r="J876" s="49" t="s">
        <v>3549</v>
      </c>
      <c r="K876" s="58" t="s">
        <v>7</v>
      </c>
      <c r="L876" s="49">
        <v>1</v>
      </c>
      <c r="M876" s="48">
        <v>43069</v>
      </c>
      <c r="N876" s="49" t="s">
        <v>2917</v>
      </c>
      <c r="O876" s="49" t="s">
        <v>7</v>
      </c>
      <c r="P876" s="49">
        <v>1</v>
      </c>
      <c r="Q876" s="51" t="s">
        <v>5002</v>
      </c>
      <c r="R876" s="67" t="e" cm="1">
        <f t="array" ref="R876">_xlfn.CHOOSECOLS(_xlfn.CHOOSEROWS(_xlfn._xlws.FILTER(표2[],표2[DWG No.]=C876,""),1),6)</f>
        <v>#VALUE!</v>
      </c>
      <c r="S876" s="67" t="e" cm="1">
        <f t="array" ref="S876">_xlfn.CHOOSECOLS(_xlfn.CHOOSEROWS(_xlfn._xlws.FILTER(표2[],(표2[DWG No.]=C876)*(ISNUMBER(표2[Rev.])),""),1),6)</f>
        <v>#VALUE!</v>
      </c>
    </row>
    <row r="877" spans="1:19" ht="18" customHeight="1" x14ac:dyDescent="0.45">
      <c r="A877" s="64">
        <v>872</v>
      </c>
      <c r="B877" s="49" t="s">
        <v>2912</v>
      </c>
      <c r="C877" s="50" t="s">
        <v>3550</v>
      </c>
      <c r="D877" s="49">
        <v>115287</v>
      </c>
      <c r="E877" s="50" t="s">
        <v>3551</v>
      </c>
      <c r="F877" s="49" t="s">
        <v>6</v>
      </c>
      <c r="G877" s="48">
        <v>42787</v>
      </c>
      <c r="H877" s="48">
        <v>42817</v>
      </c>
      <c r="I877" s="48">
        <v>43024</v>
      </c>
      <c r="J877" s="49" t="s">
        <v>3249</v>
      </c>
      <c r="K877" s="58" t="s">
        <v>7</v>
      </c>
      <c r="L877" s="49">
        <v>1</v>
      </c>
      <c r="M877" s="48">
        <v>43025</v>
      </c>
      <c r="N877" s="49" t="s">
        <v>2917</v>
      </c>
      <c r="O877" s="49" t="s">
        <v>7</v>
      </c>
      <c r="P877" s="49">
        <v>1</v>
      </c>
      <c r="Q877" s="51" t="s">
        <v>5002</v>
      </c>
      <c r="R877" s="67" t="e" cm="1">
        <f t="array" ref="R877">_xlfn.CHOOSECOLS(_xlfn.CHOOSEROWS(_xlfn._xlws.FILTER(표2[],표2[DWG No.]=C877,""),1),6)</f>
        <v>#VALUE!</v>
      </c>
      <c r="S877" s="67" t="e" cm="1">
        <f t="array" ref="S877">_xlfn.CHOOSECOLS(_xlfn.CHOOSEROWS(_xlfn._xlws.FILTER(표2[],(표2[DWG No.]=C877)*(ISNUMBER(표2[Rev.])),""),1),6)</f>
        <v>#VALUE!</v>
      </c>
    </row>
    <row r="878" spans="1:19" ht="18" customHeight="1" x14ac:dyDescent="0.45">
      <c r="A878" s="64">
        <v>873</v>
      </c>
      <c r="B878" s="49" t="s">
        <v>2912</v>
      </c>
      <c r="C878" s="50" t="s">
        <v>3552</v>
      </c>
      <c r="D878" s="49">
        <v>115288</v>
      </c>
      <c r="E878" s="50" t="s">
        <v>3553</v>
      </c>
      <c r="F878" s="49" t="s">
        <v>6</v>
      </c>
      <c r="G878" s="48">
        <v>42787</v>
      </c>
      <c r="H878" s="48">
        <v>42817</v>
      </c>
      <c r="I878" s="48">
        <v>42965</v>
      </c>
      <c r="J878" s="49" t="s">
        <v>3070</v>
      </c>
      <c r="K878" s="58" t="s">
        <v>7</v>
      </c>
      <c r="L878" s="49">
        <v>0</v>
      </c>
      <c r="M878" s="48">
        <v>42969</v>
      </c>
      <c r="N878" s="49" t="s">
        <v>2917</v>
      </c>
      <c r="O878" s="49" t="s">
        <v>7</v>
      </c>
      <c r="P878" s="49">
        <v>0</v>
      </c>
      <c r="Q878" s="51" t="s">
        <v>5002</v>
      </c>
      <c r="R878" s="67" t="e" cm="1">
        <f t="array" ref="R878">_xlfn.CHOOSECOLS(_xlfn.CHOOSEROWS(_xlfn._xlws.FILTER(표2[],표2[DWG No.]=C878,""),1),6)</f>
        <v>#VALUE!</v>
      </c>
      <c r="S878" s="67" t="e" cm="1">
        <f t="array" ref="S878">_xlfn.CHOOSECOLS(_xlfn.CHOOSEROWS(_xlfn._xlws.FILTER(표2[],(표2[DWG No.]=C878)*(ISNUMBER(표2[Rev.])),""),1),6)</f>
        <v>#VALUE!</v>
      </c>
    </row>
    <row r="879" spans="1:19" ht="18" customHeight="1" x14ac:dyDescent="0.45">
      <c r="A879" s="64">
        <v>874</v>
      </c>
      <c r="B879" s="49" t="s">
        <v>2912</v>
      </c>
      <c r="C879" s="50" t="s">
        <v>3554</v>
      </c>
      <c r="D879" s="49">
        <v>115289</v>
      </c>
      <c r="E879" s="50" t="s">
        <v>3555</v>
      </c>
      <c r="F879" s="49" t="s">
        <v>6</v>
      </c>
      <c r="G879" s="48">
        <v>42789</v>
      </c>
      <c r="H879" s="48">
        <v>42819</v>
      </c>
      <c r="I879" s="48">
        <v>42965</v>
      </c>
      <c r="J879" s="49" t="s">
        <v>3070</v>
      </c>
      <c r="K879" s="58" t="s">
        <v>7</v>
      </c>
      <c r="L879" s="49">
        <v>0</v>
      </c>
      <c r="M879" s="48">
        <v>42969</v>
      </c>
      <c r="N879" s="49" t="s">
        <v>2917</v>
      </c>
      <c r="O879" s="49" t="s">
        <v>7</v>
      </c>
      <c r="P879" s="49">
        <v>0</v>
      </c>
      <c r="Q879" s="51" t="s">
        <v>5002</v>
      </c>
      <c r="R879" s="67" t="e" cm="1">
        <f t="array" ref="R879">_xlfn.CHOOSECOLS(_xlfn.CHOOSEROWS(_xlfn._xlws.FILTER(표2[],표2[DWG No.]=C879,""),1),6)</f>
        <v>#VALUE!</v>
      </c>
      <c r="S879" s="67" t="e" cm="1">
        <f t="array" ref="S879">_xlfn.CHOOSECOLS(_xlfn.CHOOSEROWS(_xlfn._xlws.FILTER(표2[],(표2[DWG No.]=C879)*(ISNUMBER(표2[Rev.])),""),1),6)</f>
        <v>#VALUE!</v>
      </c>
    </row>
    <row r="880" spans="1:19" ht="18" customHeight="1" x14ac:dyDescent="0.45">
      <c r="A880" s="64">
        <v>875</v>
      </c>
      <c r="B880" s="49" t="s">
        <v>2912</v>
      </c>
      <c r="C880" s="50" t="s">
        <v>3556</v>
      </c>
      <c r="D880" s="49">
        <v>115290</v>
      </c>
      <c r="E880" s="50" t="s">
        <v>3557</v>
      </c>
      <c r="F880" s="49" t="s">
        <v>6</v>
      </c>
      <c r="G880" s="48">
        <v>42831</v>
      </c>
      <c r="H880" s="48">
        <v>42861</v>
      </c>
      <c r="I880" s="48">
        <v>42965</v>
      </c>
      <c r="J880" s="49" t="s">
        <v>3070</v>
      </c>
      <c r="K880" s="58" t="s">
        <v>7</v>
      </c>
      <c r="L880" s="49">
        <v>0</v>
      </c>
      <c r="M880" s="48">
        <v>42969</v>
      </c>
      <c r="N880" s="49" t="s">
        <v>2917</v>
      </c>
      <c r="O880" s="49" t="s">
        <v>7</v>
      </c>
      <c r="P880" s="49">
        <v>0</v>
      </c>
      <c r="Q880" s="51" t="s">
        <v>5002</v>
      </c>
      <c r="R880" s="67" t="e" cm="1">
        <f t="array" ref="R880">_xlfn.CHOOSECOLS(_xlfn.CHOOSEROWS(_xlfn._xlws.FILTER(표2[],표2[DWG No.]=C880,""),1),6)</f>
        <v>#VALUE!</v>
      </c>
      <c r="S880" s="67" t="e" cm="1">
        <f t="array" ref="S880">_xlfn.CHOOSECOLS(_xlfn.CHOOSEROWS(_xlfn._xlws.FILTER(표2[],(표2[DWG No.]=C880)*(ISNUMBER(표2[Rev.])),""),1),6)</f>
        <v>#VALUE!</v>
      </c>
    </row>
    <row r="881" spans="1:19" ht="18" customHeight="1" x14ac:dyDescent="0.45">
      <c r="A881" s="64">
        <v>876</v>
      </c>
      <c r="B881" s="49" t="s">
        <v>2912</v>
      </c>
      <c r="C881" s="50" t="s">
        <v>3558</v>
      </c>
      <c r="D881" s="49">
        <v>115291</v>
      </c>
      <c r="E881" s="50" t="s">
        <v>3559</v>
      </c>
      <c r="F881" s="49" t="s">
        <v>6</v>
      </c>
      <c r="G881" s="48">
        <v>42787</v>
      </c>
      <c r="H881" s="48">
        <v>42891</v>
      </c>
      <c r="I881" s="48">
        <v>43039</v>
      </c>
      <c r="J881" s="49" t="s">
        <v>3092</v>
      </c>
      <c r="K881" s="58" t="s">
        <v>7</v>
      </c>
      <c r="L881" s="49">
        <v>1</v>
      </c>
      <c r="M881" s="48">
        <v>43039</v>
      </c>
      <c r="N881" s="49" t="s">
        <v>2917</v>
      </c>
      <c r="O881" s="49" t="s">
        <v>7</v>
      </c>
      <c r="P881" s="49">
        <v>1</v>
      </c>
      <c r="Q881" s="51" t="s">
        <v>5002</v>
      </c>
      <c r="R881" s="67" t="e" cm="1">
        <f t="array" ref="R881">_xlfn.CHOOSECOLS(_xlfn.CHOOSEROWS(_xlfn._xlws.FILTER(표2[],표2[DWG No.]=C881,""),1),6)</f>
        <v>#VALUE!</v>
      </c>
      <c r="S881" s="67" t="e" cm="1">
        <f t="array" ref="S881">_xlfn.CHOOSECOLS(_xlfn.CHOOSEROWS(_xlfn._xlws.FILTER(표2[],(표2[DWG No.]=C881)*(ISNUMBER(표2[Rev.])),""),1),6)</f>
        <v>#VALUE!</v>
      </c>
    </row>
    <row r="882" spans="1:19" ht="18" customHeight="1" x14ac:dyDescent="0.45">
      <c r="A882" s="64">
        <v>877</v>
      </c>
      <c r="B882" s="49" t="s">
        <v>2912</v>
      </c>
      <c r="C882" s="50" t="s">
        <v>3560</v>
      </c>
      <c r="D882" s="49">
        <v>115292</v>
      </c>
      <c r="E882" s="50" t="s">
        <v>3561</v>
      </c>
      <c r="F882" s="49" t="s">
        <v>6</v>
      </c>
      <c r="G882" s="48">
        <v>42789</v>
      </c>
      <c r="H882" s="48">
        <v>42819</v>
      </c>
      <c r="I882" s="48">
        <v>42983</v>
      </c>
      <c r="J882" s="49" t="s">
        <v>2916</v>
      </c>
      <c r="K882" s="58" t="s">
        <v>7</v>
      </c>
      <c r="L882" s="49">
        <v>0</v>
      </c>
      <c r="M882" s="48">
        <v>42984</v>
      </c>
      <c r="N882" s="49" t="s">
        <v>2917</v>
      </c>
      <c r="O882" s="49" t="s">
        <v>7</v>
      </c>
      <c r="P882" s="49">
        <v>0</v>
      </c>
      <c r="Q882" s="51" t="s">
        <v>5002</v>
      </c>
      <c r="R882" s="67" t="e" cm="1">
        <f t="array" ref="R882">_xlfn.CHOOSECOLS(_xlfn.CHOOSEROWS(_xlfn._xlws.FILTER(표2[],표2[DWG No.]=C882,""),1),6)</f>
        <v>#VALUE!</v>
      </c>
      <c r="S882" s="67" t="e" cm="1">
        <f t="array" ref="S882">_xlfn.CHOOSECOLS(_xlfn.CHOOSEROWS(_xlfn._xlws.FILTER(표2[],(표2[DWG No.]=C882)*(ISNUMBER(표2[Rev.])),""),1),6)</f>
        <v>#VALUE!</v>
      </c>
    </row>
    <row r="883" spans="1:19" ht="18" customHeight="1" x14ac:dyDescent="0.45">
      <c r="A883" s="64">
        <v>878</v>
      </c>
      <c r="B883" s="49" t="s">
        <v>2912</v>
      </c>
      <c r="C883" s="50" t="s">
        <v>3562</v>
      </c>
      <c r="D883" s="49">
        <v>115293</v>
      </c>
      <c r="E883" s="50" t="s">
        <v>3563</v>
      </c>
      <c r="F883" s="49" t="s">
        <v>6</v>
      </c>
      <c r="G883" s="48">
        <v>42831</v>
      </c>
      <c r="H883" s="48">
        <v>42861</v>
      </c>
      <c r="I883" s="48">
        <v>42983</v>
      </c>
      <c r="J883" s="49" t="s">
        <v>2916</v>
      </c>
      <c r="K883" s="58" t="s">
        <v>7</v>
      </c>
      <c r="L883" s="49">
        <v>0</v>
      </c>
      <c r="M883" s="48">
        <v>42984</v>
      </c>
      <c r="N883" s="49" t="s">
        <v>2917</v>
      </c>
      <c r="O883" s="49" t="s">
        <v>7</v>
      </c>
      <c r="P883" s="49">
        <v>0</v>
      </c>
      <c r="Q883" s="51" t="s">
        <v>5002</v>
      </c>
      <c r="R883" s="67" t="e" cm="1">
        <f t="array" ref="R883">_xlfn.CHOOSECOLS(_xlfn.CHOOSEROWS(_xlfn._xlws.FILTER(표2[],표2[DWG No.]=C883,""),1),6)</f>
        <v>#VALUE!</v>
      </c>
      <c r="S883" s="67" t="e" cm="1">
        <f t="array" ref="S883">_xlfn.CHOOSECOLS(_xlfn.CHOOSEROWS(_xlfn._xlws.FILTER(표2[],(표2[DWG No.]=C883)*(ISNUMBER(표2[Rev.])),""),1),6)</f>
        <v>#VALUE!</v>
      </c>
    </row>
    <row r="884" spans="1:19" ht="18" customHeight="1" x14ac:dyDescent="0.45">
      <c r="A884" s="64">
        <v>879</v>
      </c>
      <c r="B884" s="49" t="s">
        <v>2912</v>
      </c>
      <c r="C884" s="50" t="s">
        <v>3564</v>
      </c>
      <c r="D884" s="49">
        <v>115294</v>
      </c>
      <c r="E884" s="50" t="s">
        <v>3565</v>
      </c>
      <c r="F884" s="49" t="s">
        <v>6</v>
      </c>
      <c r="G884" s="48">
        <v>42787</v>
      </c>
      <c r="H884" s="48">
        <v>42817</v>
      </c>
      <c r="I884" s="48">
        <v>43066</v>
      </c>
      <c r="J884" s="49" t="s">
        <v>2963</v>
      </c>
      <c r="K884" s="58" t="s">
        <v>7</v>
      </c>
      <c r="L884" s="49">
        <v>0</v>
      </c>
      <c r="M884" s="48">
        <v>43066</v>
      </c>
      <c r="N884" s="49" t="s">
        <v>2917</v>
      </c>
      <c r="O884" s="49" t="s">
        <v>7</v>
      </c>
      <c r="P884" s="49">
        <v>0</v>
      </c>
      <c r="Q884" s="51" t="s">
        <v>5002</v>
      </c>
      <c r="R884" s="67" t="e" cm="1">
        <f t="array" ref="R884">_xlfn.CHOOSECOLS(_xlfn.CHOOSEROWS(_xlfn._xlws.FILTER(표2[],표2[DWG No.]=C884,""),1),6)</f>
        <v>#VALUE!</v>
      </c>
      <c r="S884" s="67" t="e" cm="1">
        <f t="array" ref="S884">_xlfn.CHOOSECOLS(_xlfn.CHOOSEROWS(_xlfn._xlws.FILTER(표2[],(표2[DWG No.]=C884)*(ISNUMBER(표2[Rev.])),""),1),6)</f>
        <v>#VALUE!</v>
      </c>
    </row>
    <row r="885" spans="1:19" ht="18" customHeight="1" x14ac:dyDescent="0.45">
      <c r="A885" s="64">
        <v>880</v>
      </c>
      <c r="B885" s="49" t="s">
        <v>2912</v>
      </c>
      <c r="C885" s="50" t="s">
        <v>3566</v>
      </c>
      <c r="D885" s="49">
        <v>115295</v>
      </c>
      <c r="E885" s="50" t="s">
        <v>3567</v>
      </c>
      <c r="F885" s="49" t="s">
        <v>6</v>
      </c>
      <c r="G885" s="48">
        <v>42896</v>
      </c>
      <c r="H885" s="48">
        <v>42926</v>
      </c>
      <c r="I885" s="48">
        <v>42965</v>
      </c>
      <c r="J885" s="49" t="s">
        <v>3070</v>
      </c>
      <c r="K885" s="58" t="s">
        <v>7</v>
      </c>
      <c r="L885" s="49">
        <v>0</v>
      </c>
      <c r="M885" s="48">
        <v>42969</v>
      </c>
      <c r="N885" s="49" t="s">
        <v>2917</v>
      </c>
      <c r="O885" s="49" t="s">
        <v>7</v>
      </c>
      <c r="P885" s="49">
        <v>0</v>
      </c>
      <c r="Q885" s="51" t="s">
        <v>5002</v>
      </c>
      <c r="R885" s="67" t="e" cm="1">
        <f t="array" ref="R885">_xlfn.CHOOSECOLS(_xlfn.CHOOSEROWS(_xlfn._xlws.FILTER(표2[],표2[DWG No.]=C885,""),1),6)</f>
        <v>#VALUE!</v>
      </c>
      <c r="S885" s="67" t="e" cm="1">
        <f t="array" ref="S885">_xlfn.CHOOSECOLS(_xlfn.CHOOSEROWS(_xlfn._xlws.FILTER(표2[],(표2[DWG No.]=C885)*(ISNUMBER(표2[Rev.])),""),1),6)</f>
        <v>#VALUE!</v>
      </c>
    </row>
    <row r="886" spans="1:19" ht="18" customHeight="1" x14ac:dyDescent="0.45">
      <c r="A886" s="64">
        <v>881</v>
      </c>
      <c r="B886" s="49" t="s">
        <v>2912</v>
      </c>
      <c r="C886" s="50" t="s">
        <v>3568</v>
      </c>
      <c r="D886" s="49">
        <v>115296</v>
      </c>
      <c r="E886" s="50" t="s">
        <v>3569</v>
      </c>
      <c r="F886" s="49" t="s">
        <v>6</v>
      </c>
      <c r="G886" s="48">
        <v>42789</v>
      </c>
      <c r="H886" s="48">
        <v>42819</v>
      </c>
      <c r="I886" s="48">
        <v>42965</v>
      </c>
      <c r="J886" s="49" t="s">
        <v>3070</v>
      </c>
      <c r="K886" s="58" t="s">
        <v>7</v>
      </c>
      <c r="L886" s="49">
        <v>0</v>
      </c>
      <c r="M886" s="48">
        <v>42969</v>
      </c>
      <c r="N886" s="49" t="s">
        <v>2917</v>
      </c>
      <c r="O886" s="49" t="s">
        <v>7</v>
      </c>
      <c r="P886" s="49">
        <v>0</v>
      </c>
      <c r="Q886" s="51" t="s">
        <v>5002</v>
      </c>
      <c r="R886" s="67" t="e" cm="1">
        <f t="array" ref="R886">_xlfn.CHOOSECOLS(_xlfn.CHOOSEROWS(_xlfn._xlws.FILTER(표2[],표2[DWG No.]=C886,""),1),6)</f>
        <v>#VALUE!</v>
      </c>
      <c r="S886" s="67" t="e" cm="1">
        <f t="array" ref="S886">_xlfn.CHOOSECOLS(_xlfn.CHOOSEROWS(_xlfn._xlws.FILTER(표2[],(표2[DWG No.]=C886)*(ISNUMBER(표2[Rev.])),""),1),6)</f>
        <v>#VALUE!</v>
      </c>
    </row>
    <row r="887" spans="1:19" ht="18" customHeight="1" x14ac:dyDescent="0.45">
      <c r="A887" s="64">
        <v>882</v>
      </c>
      <c r="B887" s="49" t="s">
        <v>2912</v>
      </c>
      <c r="C887" s="50" t="s">
        <v>3570</v>
      </c>
      <c r="D887" s="49">
        <v>115297</v>
      </c>
      <c r="E887" s="50" t="s">
        <v>3571</v>
      </c>
      <c r="F887" s="49" t="s">
        <v>6</v>
      </c>
      <c r="G887" s="48">
        <v>42789</v>
      </c>
      <c r="H887" s="48">
        <v>42819</v>
      </c>
      <c r="I887" s="48">
        <v>42965</v>
      </c>
      <c r="J887" s="49" t="s">
        <v>3070</v>
      </c>
      <c r="K887" s="58" t="s">
        <v>7</v>
      </c>
      <c r="L887" s="49">
        <v>0</v>
      </c>
      <c r="M887" s="48">
        <v>42969</v>
      </c>
      <c r="N887" s="49" t="s">
        <v>2917</v>
      </c>
      <c r="O887" s="49" t="s">
        <v>7</v>
      </c>
      <c r="P887" s="49">
        <v>0</v>
      </c>
      <c r="Q887" s="51" t="s">
        <v>5002</v>
      </c>
      <c r="R887" s="67" t="e" cm="1">
        <f t="array" ref="R887">_xlfn.CHOOSECOLS(_xlfn.CHOOSEROWS(_xlfn._xlws.FILTER(표2[],표2[DWG No.]=C887,""),1),6)</f>
        <v>#VALUE!</v>
      </c>
      <c r="S887" s="67" t="e" cm="1">
        <f t="array" ref="S887">_xlfn.CHOOSECOLS(_xlfn.CHOOSEROWS(_xlfn._xlws.FILTER(표2[],(표2[DWG No.]=C887)*(ISNUMBER(표2[Rev.])),""),1),6)</f>
        <v>#VALUE!</v>
      </c>
    </row>
    <row r="888" spans="1:19" ht="18" customHeight="1" x14ac:dyDescent="0.45">
      <c r="A888" s="64">
        <v>883</v>
      </c>
      <c r="B888" s="49" t="s">
        <v>2912</v>
      </c>
      <c r="C888" s="50" t="s">
        <v>3572</v>
      </c>
      <c r="D888" s="49">
        <v>115298</v>
      </c>
      <c r="E888" s="50" t="s">
        <v>3573</v>
      </c>
      <c r="F888" s="49" t="s">
        <v>6</v>
      </c>
      <c r="G888" s="48">
        <v>42789</v>
      </c>
      <c r="H888" s="48">
        <v>42819</v>
      </c>
      <c r="I888" s="48">
        <v>43005</v>
      </c>
      <c r="J888" s="49" t="s">
        <v>2934</v>
      </c>
      <c r="K888" s="58" t="s">
        <v>7</v>
      </c>
      <c r="L888" s="49">
        <v>1</v>
      </c>
      <c r="M888" s="48">
        <v>43005</v>
      </c>
      <c r="N888" s="49" t="s">
        <v>2917</v>
      </c>
      <c r="O888" s="49" t="s">
        <v>7</v>
      </c>
      <c r="P888" s="49">
        <v>1</v>
      </c>
      <c r="Q888" s="51" t="s">
        <v>5002</v>
      </c>
      <c r="R888" s="67" t="e" cm="1">
        <f t="array" ref="R888">_xlfn.CHOOSECOLS(_xlfn.CHOOSEROWS(_xlfn._xlws.FILTER(표2[],표2[DWG No.]=C888,""),1),6)</f>
        <v>#VALUE!</v>
      </c>
      <c r="S888" s="67" t="e" cm="1">
        <f t="array" ref="S888">_xlfn.CHOOSECOLS(_xlfn.CHOOSEROWS(_xlfn._xlws.FILTER(표2[],(표2[DWG No.]=C888)*(ISNUMBER(표2[Rev.])),""),1),6)</f>
        <v>#VALUE!</v>
      </c>
    </row>
    <row r="889" spans="1:19" ht="18" customHeight="1" x14ac:dyDescent="0.45">
      <c r="A889" s="64">
        <v>884</v>
      </c>
      <c r="B889" s="49" t="s">
        <v>2912</v>
      </c>
      <c r="C889" s="50" t="s">
        <v>3574</v>
      </c>
      <c r="D889" s="49">
        <v>115299</v>
      </c>
      <c r="E889" s="50" t="s">
        <v>3575</v>
      </c>
      <c r="F889" s="49" t="s">
        <v>6</v>
      </c>
      <c r="G889" s="48">
        <v>42787</v>
      </c>
      <c r="H889" s="48">
        <v>42817</v>
      </c>
      <c r="I889" s="48">
        <v>42965</v>
      </c>
      <c r="J889" s="49" t="s">
        <v>3070</v>
      </c>
      <c r="K889" s="58" t="s">
        <v>7</v>
      </c>
      <c r="L889" s="49">
        <v>0</v>
      </c>
      <c r="M889" s="48">
        <v>42969</v>
      </c>
      <c r="N889" s="49" t="s">
        <v>2917</v>
      </c>
      <c r="O889" s="49" t="s">
        <v>7</v>
      </c>
      <c r="P889" s="49">
        <v>0</v>
      </c>
      <c r="Q889" s="51" t="s">
        <v>5002</v>
      </c>
      <c r="R889" s="67" t="e" cm="1">
        <f t="array" ref="R889">_xlfn.CHOOSECOLS(_xlfn.CHOOSEROWS(_xlfn._xlws.FILTER(표2[],표2[DWG No.]=C889,""),1),6)</f>
        <v>#VALUE!</v>
      </c>
      <c r="S889" s="67" t="e" cm="1">
        <f t="array" ref="S889">_xlfn.CHOOSECOLS(_xlfn.CHOOSEROWS(_xlfn._xlws.FILTER(표2[],(표2[DWG No.]=C889)*(ISNUMBER(표2[Rev.])),""),1),6)</f>
        <v>#VALUE!</v>
      </c>
    </row>
    <row r="890" spans="1:19" ht="18" customHeight="1" x14ac:dyDescent="0.45">
      <c r="A890" s="64">
        <v>885</v>
      </c>
      <c r="B890" s="49" t="s">
        <v>2912</v>
      </c>
      <c r="C890" s="50" t="s">
        <v>3576</v>
      </c>
      <c r="D890" s="49">
        <v>125300</v>
      </c>
      <c r="E890" s="50" t="s">
        <v>3577</v>
      </c>
      <c r="F890" s="49" t="s">
        <v>6</v>
      </c>
      <c r="G890" s="48">
        <v>42909</v>
      </c>
      <c r="H890" s="48">
        <v>42939</v>
      </c>
      <c r="I890" s="48">
        <v>43014</v>
      </c>
      <c r="J890" s="49" t="s">
        <v>3578</v>
      </c>
      <c r="K890" s="58" t="s">
        <v>7</v>
      </c>
      <c r="L890" s="49">
        <v>0</v>
      </c>
      <c r="M890" s="48">
        <v>43014</v>
      </c>
      <c r="N890" s="49" t="s">
        <v>2917</v>
      </c>
      <c r="O890" s="49" t="s">
        <v>7</v>
      </c>
      <c r="P890" s="49">
        <v>0</v>
      </c>
      <c r="Q890" s="51" t="s">
        <v>5002</v>
      </c>
      <c r="R890" s="67" t="e" cm="1">
        <f t="array" ref="R890">_xlfn.CHOOSECOLS(_xlfn.CHOOSEROWS(_xlfn._xlws.FILTER(표2[],표2[DWG No.]=C890,""),1),6)</f>
        <v>#VALUE!</v>
      </c>
      <c r="S890" s="67" t="e" cm="1">
        <f t="array" ref="S890">_xlfn.CHOOSECOLS(_xlfn.CHOOSEROWS(_xlfn._xlws.FILTER(표2[],(표2[DWG No.]=C890)*(ISNUMBER(표2[Rev.])),""),1),6)</f>
        <v>#VALUE!</v>
      </c>
    </row>
    <row r="891" spans="1:19" ht="18" customHeight="1" x14ac:dyDescent="0.45">
      <c r="A891" s="64">
        <v>886</v>
      </c>
      <c r="B891" s="49" t="s">
        <v>2912</v>
      </c>
      <c r="C891" s="50" t="s">
        <v>3579</v>
      </c>
      <c r="D891" s="49">
        <v>125301</v>
      </c>
      <c r="E891" s="50" t="s">
        <v>3580</v>
      </c>
      <c r="F891" s="49" t="s">
        <v>6</v>
      </c>
      <c r="G891" s="48">
        <v>42796</v>
      </c>
      <c r="H891" s="48">
        <v>42826</v>
      </c>
      <c r="I891" s="48">
        <v>42941</v>
      </c>
      <c r="J891" s="49" t="s">
        <v>3581</v>
      </c>
      <c r="K891" s="58" t="s">
        <v>5032</v>
      </c>
      <c r="L891" s="49" t="s">
        <v>160</v>
      </c>
      <c r="M891" s="48">
        <v>42948</v>
      </c>
      <c r="N891" s="49" t="s">
        <v>3582</v>
      </c>
      <c r="O891" s="49" t="s">
        <v>6</v>
      </c>
      <c r="P891" s="49" t="s">
        <v>160</v>
      </c>
      <c r="Q891" s="49" t="s">
        <v>160</v>
      </c>
      <c r="R891" s="67" t="e" cm="1">
        <f t="array" ref="R891">_xlfn.CHOOSECOLS(_xlfn.CHOOSEROWS(_xlfn._xlws.FILTER(표2[],표2[DWG No.]=C891,""),1),6)</f>
        <v>#VALUE!</v>
      </c>
      <c r="S891" s="67" t="e" cm="1">
        <f t="array" ref="S891">_xlfn.CHOOSECOLS(_xlfn.CHOOSEROWS(_xlfn._xlws.FILTER(표2[],(표2[DWG No.]=C891)*(ISNUMBER(표2[Rev.])),""),1),6)</f>
        <v>#VALUE!</v>
      </c>
    </row>
    <row r="892" spans="1:19" ht="18" customHeight="1" x14ac:dyDescent="0.45">
      <c r="A892" s="64">
        <v>887</v>
      </c>
      <c r="B892" s="49" t="s">
        <v>2912</v>
      </c>
      <c r="C892" s="50" t="s">
        <v>3583</v>
      </c>
      <c r="D892" s="49">
        <v>125451</v>
      </c>
      <c r="E892" s="50" t="s">
        <v>3584</v>
      </c>
      <c r="F892" s="49" t="s">
        <v>6</v>
      </c>
      <c r="G892" s="48">
        <v>42794</v>
      </c>
      <c r="H892" s="48">
        <v>42824</v>
      </c>
      <c r="I892" s="48">
        <v>42941</v>
      </c>
      <c r="J892" s="49" t="s">
        <v>3581</v>
      </c>
      <c r="K892" s="58" t="s">
        <v>5032</v>
      </c>
      <c r="L892" s="49" t="s">
        <v>160</v>
      </c>
      <c r="M892" s="48">
        <v>42948</v>
      </c>
      <c r="N892" s="49" t="s">
        <v>3582</v>
      </c>
      <c r="O892" s="49" t="s">
        <v>6</v>
      </c>
      <c r="P892" s="49" t="s">
        <v>160</v>
      </c>
      <c r="Q892" s="49" t="s">
        <v>160</v>
      </c>
      <c r="R892" s="67" t="e" cm="1">
        <f t="array" ref="R892">_xlfn.CHOOSECOLS(_xlfn.CHOOSEROWS(_xlfn._xlws.FILTER(표2[],표2[DWG No.]=C892,""),1),6)</f>
        <v>#VALUE!</v>
      </c>
      <c r="S892" s="67" t="e" cm="1">
        <f t="array" ref="S892">_xlfn.CHOOSECOLS(_xlfn.CHOOSEROWS(_xlfn._xlws.FILTER(표2[],(표2[DWG No.]=C892)*(ISNUMBER(표2[Rev.])),""),1),6)</f>
        <v>#VALUE!</v>
      </c>
    </row>
    <row r="893" spans="1:19" ht="18" customHeight="1" x14ac:dyDescent="0.45">
      <c r="A893" s="64">
        <v>888</v>
      </c>
      <c r="B893" s="49" t="s">
        <v>2912</v>
      </c>
      <c r="C893" s="50" t="s">
        <v>3585</v>
      </c>
      <c r="D893" s="49">
        <v>125303</v>
      </c>
      <c r="E893" s="50" t="s">
        <v>3586</v>
      </c>
      <c r="F893" s="49" t="s">
        <v>5</v>
      </c>
      <c r="G893" s="48">
        <v>42898</v>
      </c>
      <c r="H893" s="48">
        <v>42928</v>
      </c>
      <c r="I893" s="48">
        <v>43024</v>
      </c>
      <c r="J893" s="49" t="s">
        <v>3587</v>
      </c>
      <c r="K893" s="58" t="s">
        <v>5</v>
      </c>
      <c r="L893" s="49" t="s">
        <v>65</v>
      </c>
      <c r="M893" s="48">
        <v>43027</v>
      </c>
      <c r="N893" s="49" t="s">
        <v>3588</v>
      </c>
      <c r="O893" s="49" t="s">
        <v>5</v>
      </c>
      <c r="P893" s="49" t="s">
        <v>65</v>
      </c>
      <c r="Q893" s="49" t="s">
        <v>2702</v>
      </c>
      <c r="R893" s="67" t="e" cm="1">
        <f t="array" ref="R893">_xlfn.CHOOSECOLS(_xlfn.CHOOSEROWS(_xlfn._xlws.FILTER(표2[],표2[DWG No.]=C893,""),1),6)</f>
        <v>#VALUE!</v>
      </c>
      <c r="S893" s="67" t="e" cm="1">
        <f t="array" ref="S893">_xlfn.CHOOSECOLS(_xlfn.CHOOSEROWS(_xlfn._xlws.FILTER(표2[],(표2[DWG No.]=C893)*(ISNUMBER(표2[Rev.])),""),1),6)</f>
        <v>#VALUE!</v>
      </c>
    </row>
    <row r="894" spans="1:19" ht="18" customHeight="1" x14ac:dyDescent="0.45">
      <c r="A894" s="64">
        <v>889</v>
      </c>
      <c r="B894" s="49" t="s">
        <v>2912</v>
      </c>
      <c r="C894" s="50" t="s">
        <v>3589</v>
      </c>
      <c r="D894" s="49">
        <v>125304</v>
      </c>
      <c r="E894" s="50" t="s">
        <v>3590</v>
      </c>
      <c r="F894" s="49" t="s">
        <v>6</v>
      </c>
      <c r="G894" s="48">
        <v>42796</v>
      </c>
      <c r="H894" s="48">
        <v>42826</v>
      </c>
      <c r="I894" s="48">
        <v>42941</v>
      </c>
      <c r="J894" s="49" t="s">
        <v>3581</v>
      </c>
      <c r="K894" s="58" t="s">
        <v>5032</v>
      </c>
      <c r="L894" s="49" t="s">
        <v>160</v>
      </c>
      <c r="M894" s="48">
        <v>42948</v>
      </c>
      <c r="N894" s="49" t="s">
        <v>3582</v>
      </c>
      <c r="O894" s="49" t="s">
        <v>6</v>
      </c>
      <c r="P894" s="49" t="s">
        <v>160</v>
      </c>
      <c r="Q894" s="49" t="s">
        <v>160</v>
      </c>
      <c r="R894" s="67" t="e" cm="1">
        <f t="array" ref="R894">_xlfn.CHOOSECOLS(_xlfn.CHOOSEROWS(_xlfn._xlws.FILTER(표2[],표2[DWG No.]=C894,""),1),6)</f>
        <v>#VALUE!</v>
      </c>
      <c r="S894" s="67" t="e" cm="1">
        <f t="array" ref="S894">_xlfn.CHOOSECOLS(_xlfn.CHOOSEROWS(_xlfn._xlws.FILTER(표2[],(표2[DWG No.]=C894)*(ISNUMBER(표2[Rev.])),""),1),6)</f>
        <v>#VALUE!</v>
      </c>
    </row>
    <row r="895" spans="1:19" ht="18" customHeight="1" x14ac:dyDescent="0.45">
      <c r="A895" s="64">
        <v>890</v>
      </c>
      <c r="B895" s="49" t="s">
        <v>2912</v>
      </c>
      <c r="C895" s="50" t="s">
        <v>3591</v>
      </c>
      <c r="D895" s="49">
        <v>125305</v>
      </c>
      <c r="E895" s="50" t="s">
        <v>3592</v>
      </c>
      <c r="F895" s="49" t="s">
        <v>6</v>
      </c>
      <c r="G895" s="48">
        <v>42838</v>
      </c>
      <c r="H895" s="48">
        <v>42868</v>
      </c>
      <c r="I895" s="48">
        <v>42941</v>
      </c>
      <c r="J895" s="49" t="s">
        <v>3581</v>
      </c>
      <c r="K895" s="58" t="s">
        <v>5032</v>
      </c>
      <c r="L895" s="49" t="s">
        <v>164</v>
      </c>
      <c r="M895" s="48">
        <v>42948</v>
      </c>
      <c r="N895" s="49" t="s">
        <v>3582</v>
      </c>
      <c r="O895" s="49" t="s">
        <v>6</v>
      </c>
      <c r="P895" s="49" t="s">
        <v>164</v>
      </c>
      <c r="Q895" s="49" t="s">
        <v>160</v>
      </c>
      <c r="R895" s="67" t="e" cm="1">
        <f t="array" ref="R895">_xlfn.CHOOSECOLS(_xlfn.CHOOSEROWS(_xlfn._xlws.FILTER(표2[],표2[DWG No.]=C895,""),1),6)</f>
        <v>#VALUE!</v>
      </c>
      <c r="S895" s="67" t="e" cm="1">
        <f t="array" ref="S895">_xlfn.CHOOSECOLS(_xlfn.CHOOSEROWS(_xlfn._xlws.FILTER(표2[],(표2[DWG No.]=C895)*(ISNUMBER(표2[Rev.])),""),1),6)</f>
        <v>#VALUE!</v>
      </c>
    </row>
    <row r="896" spans="1:19" ht="18" customHeight="1" x14ac:dyDescent="0.45">
      <c r="A896" s="64">
        <v>891</v>
      </c>
      <c r="B896" s="49" t="s">
        <v>2912</v>
      </c>
      <c r="C896" s="50" t="s">
        <v>3593</v>
      </c>
      <c r="D896" s="49">
        <v>145306</v>
      </c>
      <c r="E896" s="50" t="s">
        <v>3594</v>
      </c>
      <c r="F896" s="49" t="s">
        <v>6</v>
      </c>
      <c r="G896" s="48">
        <v>42794</v>
      </c>
      <c r="H896" s="48">
        <v>42824</v>
      </c>
      <c r="I896" s="48">
        <v>43133</v>
      </c>
      <c r="J896" s="51" t="s">
        <v>3595</v>
      </c>
      <c r="K896" s="58" t="s">
        <v>7</v>
      </c>
      <c r="L896" s="49">
        <v>0</v>
      </c>
      <c r="M896" s="61">
        <v>43143</v>
      </c>
      <c r="N896" s="51" t="s">
        <v>3153</v>
      </c>
      <c r="O896" s="49" t="s">
        <v>7</v>
      </c>
      <c r="P896" s="51">
        <v>0</v>
      </c>
      <c r="Q896" s="51" t="s">
        <v>5002</v>
      </c>
      <c r="R896" s="67" t="e" cm="1">
        <f t="array" ref="R896">_xlfn.CHOOSECOLS(_xlfn.CHOOSEROWS(_xlfn._xlws.FILTER(표2[],표2[DWG No.]=C896,""),1),6)</f>
        <v>#VALUE!</v>
      </c>
      <c r="S896" s="67" t="e" cm="1">
        <f t="array" ref="S896">_xlfn.CHOOSECOLS(_xlfn.CHOOSEROWS(_xlfn._xlws.FILTER(표2[],(표2[DWG No.]=C896)*(ISNUMBER(표2[Rev.])),""),1),6)</f>
        <v>#VALUE!</v>
      </c>
    </row>
    <row r="897" spans="1:19" ht="18" customHeight="1" x14ac:dyDescent="0.45">
      <c r="A897" s="64">
        <v>892</v>
      </c>
      <c r="B897" s="49" t="s">
        <v>2912</v>
      </c>
      <c r="C897" s="50" t="s">
        <v>3596</v>
      </c>
      <c r="D897" s="49">
        <v>145307</v>
      </c>
      <c r="E897" s="50" t="s">
        <v>3597</v>
      </c>
      <c r="F897" s="49" t="s">
        <v>6</v>
      </c>
      <c r="G897" s="48">
        <v>42909</v>
      </c>
      <c r="H897" s="48">
        <v>42939</v>
      </c>
      <c r="I897" s="48">
        <v>43017</v>
      </c>
      <c r="J897" s="49" t="s">
        <v>3052</v>
      </c>
      <c r="K897" s="58" t="s">
        <v>7</v>
      </c>
      <c r="L897" s="49">
        <v>0</v>
      </c>
      <c r="M897" s="48">
        <v>43018</v>
      </c>
      <c r="N897" s="49" t="s">
        <v>2917</v>
      </c>
      <c r="O897" s="49" t="s">
        <v>7</v>
      </c>
      <c r="P897" s="49">
        <v>0</v>
      </c>
      <c r="Q897" s="51" t="s">
        <v>5002</v>
      </c>
      <c r="R897" s="67" t="e" cm="1">
        <f t="array" ref="R897">_xlfn.CHOOSECOLS(_xlfn.CHOOSEROWS(_xlfn._xlws.FILTER(표2[],표2[DWG No.]=C897,""),1),6)</f>
        <v>#VALUE!</v>
      </c>
      <c r="S897" s="67" t="e" cm="1">
        <f t="array" ref="S897">_xlfn.CHOOSECOLS(_xlfn.CHOOSEROWS(_xlfn._xlws.FILTER(표2[],(표2[DWG No.]=C897)*(ISNUMBER(표2[Rev.])),""),1),6)</f>
        <v>#VALUE!</v>
      </c>
    </row>
    <row r="898" spans="1:19" ht="18" customHeight="1" x14ac:dyDescent="0.45">
      <c r="A898" s="64">
        <v>893</v>
      </c>
      <c r="B898" s="49" t="s">
        <v>2912</v>
      </c>
      <c r="C898" s="50" t="s">
        <v>3598</v>
      </c>
      <c r="D898" s="49">
        <v>145308</v>
      </c>
      <c r="E898" s="50" t="s">
        <v>3599</v>
      </c>
      <c r="F898" s="49" t="s">
        <v>6</v>
      </c>
      <c r="G898" s="48">
        <v>42796</v>
      </c>
      <c r="H898" s="48">
        <v>42826</v>
      </c>
      <c r="I898" s="48">
        <v>43017</v>
      </c>
      <c r="J898" s="49" t="s">
        <v>3052</v>
      </c>
      <c r="K898" s="58" t="s">
        <v>7</v>
      </c>
      <c r="L898" s="49">
        <v>0</v>
      </c>
      <c r="M898" s="48">
        <v>43018</v>
      </c>
      <c r="N898" s="49" t="s">
        <v>2917</v>
      </c>
      <c r="O898" s="49" t="s">
        <v>7</v>
      </c>
      <c r="P898" s="49">
        <v>0</v>
      </c>
      <c r="Q898" s="51" t="s">
        <v>5002</v>
      </c>
      <c r="R898" s="67" t="e" cm="1">
        <f t="array" ref="R898">_xlfn.CHOOSECOLS(_xlfn.CHOOSEROWS(_xlfn._xlws.FILTER(표2[],표2[DWG No.]=C898,""),1),6)</f>
        <v>#VALUE!</v>
      </c>
      <c r="S898" s="67" t="e" cm="1">
        <f t="array" ref="S898">_xlfn.CHOOSECOLS(_xlfn.CHOOSEROWS(_xlfn._xlws.FILTER(표2[],(표2[DWG No.]=C898)*(ISNUMBER(표2[Rev.])),""),1),6)</f>
        <v>#VALUE!</v>
      </c>
    </row>
    <row r="899" spans="1:19" ht="18" customHeight="1" x14ac:dyDescent="0.45">
      <c r="A899" s="64">
        <v>894</v>
      </c>
      <c r="B899" s="49" t="s">
        <v>2912</v>
      </c>
      <c r="C899" s="50" t="s">
        <v>3600</v>
      </c>
      <c r="D899" s="49">
        <v>155309</v>
      </c>
      <c r="E899" s="50" t="s">
        <v>3601</v>
      </c>
      <c r="F899" s="49" t="s">
        <v>6</v>
      </c>
      <c r="G899" s="48">
        <v>42816</v>
      </c>
      <c r="H899" s="48">
        <v>42846</v>
      </c>
      <c r="I899" s="48">
        <v>42968</v>
      </c>
      <c r="J899" s="49" t="s">
        <v>3103</v>
      </c>
      <c r="K899" s="58" t="s">
        <v>7</v>
      </c>
      <c r="L899" s="49">
        <v>1</v>
      </c>
      <c r="M899" s="48">
        <v>42969</v>
      </c>
      <c r="N899" s="49" t="s">
        <v>2917</v>
      </c>
      <c r="O899" s="49" t="s">
        <v>7</v>
      </c>
      <c r="P899" s="49">
        <v>1</v>
      </c>
      <c r="Q899" s="51" t="s">
        <v>5002</v>
      </c>
      <c r="R899" s="67" t="e" cm="1">
        <f t="array" ref="R899">_xlfn.CHOOSECOLS(_xlfn.CHOOSEROWS(_xlfn._xlws.FILTER(표2[],표2[DWG No.]=C899,""),1),6)</f>
        <v>#VALUE!</v>
      </c>
      <c r="S899" s="67" t="e" cm="1">
        <f t="array" ref="S899">_xlfn.CHOOSECOLS(_xlfn.CHOOSEROWS(_xlfn._xlws.FILTER(표2[],(표2[DWG No.]=C899)*(ISNUMBER(표2[Rev.])),""),1),6)</f>
        <v>#VALUE!</v>
      </c>
    </row>
    <row r="900" spans="1:19" ht="18" customHeight="1" x14ac:dyDescent="0.45">
      <c r="A900" s="64">
        <v>895</v>
      </c>
      <c r="B900" s="49" t="s">
        <v>2912</v>
      </c>
      <c r="C900" s="50" t="s">
        <v>3602</v>
      </c>
      <c r="D900" s="49">
        <v>155310</v>
      </c>
      <c r="E900" s="50" t="s">
        <v>3603</v>
      </c>
      <c r="F900" s="49" t="s">
        <v>6</v>
      </c>
      <c r="G900" s="48">
        <v>42816</v>
      </c>
      <c r="H900" s="48">
        <v>42846</v>
      </c>
      <c r="I900" s="48">
        <v>43000</v>
      </c>
      <c r="J900" s="49" t="s">
        <v>3183</v>
      </c>
      <c r="K900" s="58" t="s">
        <v>7</v>
      </c>
      <c r="L900" s="49">
        <v>0</v>
      </c>
      <c r="M900" s="48">
        <v>43003</v>
      </c>
      <c r="N900" s="49" t="s">
        <v>2917</v>
      </c>
      <c r="O900" s="49" t="s">
        <v>7</v>
      </c>
      <c r="P900" s="49">
        <v>0</v>
      </c>
      <c r="Q900" s="51" t="s">
        <v>5002</v>
      </c>
      <c r="R900" s="67" t="e" cm="1">
        <f t="array" ref="R900">_xlfn.CHOOSECOLS(_xlfn.CHOOSEROWS(_xlfn._xlws.FILTER(표2[],표2[DWG No.]=C900,""),1),6)</f>
        <v>#VALUE!</v>
      </c>
      <c r="S900" s="67" t="e" cm="1">
        <f t="array" ref="S900">_xlfn.CHOOSECOLS(_xlfn.CHOOSEROWS(_xlfn._xlws.FILTER(표2[],(표2[DWG No.]=C900)*(ISNUMBER(표2[Rev.])),""),1),6)</f>
        <v>#VALUE!</v>
      </c>
    </row>
    <row r="901" spans="1:19" ht="18" customHeight="1" x14ac:dyDescent="0.45">
      <c r="A901" s="64">
        <v>896</v>
      </c>
      <c r="B901" s="49" t="s">
        <v>2912</v>
      </c>
      <c r="C901" s="50" t="s">
        <v>3604</v>
      </c>
      <c r="D901" s="49">
        <v>155311</v>
      </c>
      <c r="E901" s="50" t="s">
        <v>3605</v>
      </c>
      <c r="F901" s="49" t="s">
        <v>6</v>
      </c>
      <c r="G901" s="48">
        <v>42816</v>
      </c>
      <c r="H901" s="48">
        <v>42846</v>
      </c>
      <c r="I901" s="48">
        <v>43727</v>
      </c>
      <c r="J901" s="49" t="s">
        <v>3400</v>
      </c>
      <c r="K901" s="58" t="s">
        <v>7</v>
      </c>
      <c r="L901" s="49" t="s">
        <v>1851</v>
      </c>
      <c r="M901" s="48">
        <v>43734</v>
      </c>
      <c r="N901" s="49" t="s">
        <v>3401</v>
      </c>
      <c r="O901" s="49" t="s">
        <v>7</v>
      </c>
      <c r="P901" s="49" t="s">
        <v>1851</v>
      </c>
      <c r="Q901" s="51" t="s">
        <v>5002</v>
      </c>
      <c r="R901" s="67" t="e" cm="1">
        <f t="array" ref="R901">_xlfn.CHOOSECOLS(_xlfn.CHOOSEROWS(_xlfn._xlws.FILTER(표2[],표2[DWG No.]=C901,""),1),6)</f>
        <v>#VALUE!</v>
      </c>
      <c r="S901" s="67" t="e" cm="1">
        <f t="array" ref="S901">_xlfn.CHOOSECOLS(_xlfn.CHOOSEROWS(_xlfn._xlws.FILTER(표2[],(표2[DWG No.]=C901)*(ISNUMBER(표2[Rev.])),""),1),6)</f>
        <v>#VALUE!</v>
      </c>
    </row>
    <row r="902" spans="1:19" ht="18" customHeight="1" x14ac:dyDescent="0.45">
      <c r="A902" s="64">
        <v>897</v>
      </c>
      <c r="B902" s="49" t="s">
        <v>2912</v>
      </c>
      <c r="C902" s="50" t="s">
        <v>3606</v>
      </c>
      <c r="D902" s="49">
        <v>155312</v>
      </c>
      <c r="E902" s="50" t="s">
        <v>3607</v>
      </c>
      <c r="F902" s="49" t="s">
        <v>6</v>
      </c>
      <c r="G902" s="48">
        <v>42816</v>
      </c>
      <c r="H902" s="48">
        <v>42846</v>
      </c>
      <c r="I902" s="48">
        <v>42965</v>
      </c>
      <c r="J902" s="49" t="s">
        <v>3070</v>
      </c>
      <c r="K902" s="58" t="s">
        <v>7</v>
      </c>
      <c r="L902" s="49">
        <v>0</v>
      </c>
      <c r="M902" s="48">
        <v>43734</v>
      </c>
      <c r="N902" s="49" t="s">
        <v>3401</v>
      </c>
      <c r="O902" s="49" t="s">
        <v>7</v>
      </c>
      <c r="P902" s="49" t="s">
        <v>1851</v>
      </c>
      <c r="Q902" s="51" t="s">
        <v>5002</v>
      </c>
      <c r="R902" s="67" t="e" cm="1">
        <f t="array" ref="R902">_xlfn.CHOOSECOLS(_xlfn.CHOOSEROWS(_xlfn._xlws.FILTER(표2[],표2[DWG No.]=C902,""),1),6)</f>
        <v>#VALUE!</v>
      </c>
      <c r="S902" s="67" t="e" cm="1">
        <f t="array" ref="S902">_xlfn.CHOOSECOLS(_xlfn.CHOOSEROWS(_xlfn._xlws.FILTER(표2[],(표2[DWG No.]=C902)*(ISNUMBER(표2[Rev.])),""),1),6)</f>
        <v>#VALUE!</v>
      </c>
    </row>
    <row r="903" spans="1:19" ht="18" customHeight="1" x14ac:dyDescent="0.45">
      <c r="A903" s="64">
        <v>898</v>
      </c>
      <c r="B903" s="49" t="s">
        <v>2912</v>
      </c>
      <c r="C903" s="50" t="s">
        <v>3608</v>
      </c>
      <c r="D903" s="49">
        <v>155313</v>
      </c>
      <c r="E903" s="50" t="s">
        <v>3609</v>
      </c>
      <c r="F903" s="49" t="s">
        <v>6</v>
      </c>
      <c r="G903" s="48">
        <v>42816</v>
      </c>
      <c r="H903" s="48">
        <v>42846</v>
      </c>
      <c r="I903" s="48">
        <v>43000</v>
      </c>
      <c r="J903" s="49" t="s">
        <v>3183</v>
      </c>
      <c r="K903" s="58" t="s">
        <v>7</v>
      </c>
      <c r="L903" s="49">
        <v>0</v>
      </c>
      <c r="M903" s="48">
        <v>43003</v>
      </c>
      <c r="N903" s="49" t="s">
        <v>2917</v>
      </c>
      <c r="O903" s="49" t="s">
        <v>7</v>
      </c>
      <c r="P903" s="49">
        <v>0</v>
      </c>
      <c r="Q903" s="51" t="s">
        <v>5002</v>
      </c>
      <c r="R903" s="67" t="e" cm="1">
        <f t="array" ref="R903">_xlfn.CHOOSECOLS(_xlfn.CHOOSEROWS(_xlfn._xlws.FILTER(표2[],표2[DWG No.]=C903,""),1),6)</f>
        <v>#VALUE!</v>
      </c>
      <c r="S903" s="67" t="e" cm="1">
        <f t="array" ref="S903">_xlfn.CHOOSECOLS(_xlfn.CHOOSEROWS(_xlfn._xlws.FILTER(표2[],(표2[DWG No.]=C903)*(ISNUMBER(표2[Rev.])),""),1),6)</f>
        <v>#VALUE!</v>
      </c>
    </row>
    <row r="904" spans="1:19" ht="18" customHeight="1" x14ac:dyDescent="0.45">
      <c r="A904" s="64">
        <v>899</v>
      </c>
      <c r="B904" s="49" t="s">
        <v>2912</v>
      </c>
      <c r="C904" s="50" t="s">
        <v>3610</v>
      </c>
      <c r="D904" s="49">
        <v>165314</v>
      </c>
      <c r="E904" s="50" t="s">
        <v>3611</v>
      </c>
      <c r="F904" s="49" t="s">
        <v>6</v>
      </c>
      <c r="G904" s="48">
        <v>42796</v>
      </c>
      <c r="H904" s="48">
        <v>42826</v>
      </c>
      <c r="I904" s="61">
        <v>43178</v>
      </c>
      <c r="J904" s="51" t="s">
        <v>3612</v>
      </c>
      <c r="K904" s="58" t="s">
        <v>7</v>
      </c>
      <c r="L904" s="49">
        <v>0</v>
      </c>
      <c r="M904" s="61">
        <v>43180</v>
      </c>
      <c r="N904" s="51" t="s">
        <v>3613</v>
      </c>
      <c r="O904" s="49" t="s">
        <v>7</v>
      </c>
      <c r="P904" s="51">
        <v>0</v>
      </c>
      <c r="Q904" s="51" t="s">
        <v>5002</v>
      </c>
      <c r="R904" s="67" t="e" cm="1">
        <f t="array" ref="R904">_xlfn.CHOOSECOLS(_xlfn.CHOOSEROWS(_xlfn._xlws.FILTER(표2[],표2[DWG No.]=C904,""),1),6)</f>
        <v>#VALUE!</v>
      </c>
      <c r="S904" s="67" t="e" cm="1">
        <f t="array" ref="S904">_xlfn.CHOOSECOLS(_xlfn.CHOOSEROWS(_xlfn._xlws.FILTER(표2[],(표2[DWG No.]=C904)*(ISNUMBER(표2[Rev.])),""),1),6)</f>
        <v>#VALUE!</v>
      </c>
    </row>
    <row r="905" spans="1:19" ht="18" customHeight="1" x14ac:dyDescent="0.45">
      <c r="A905" s="64">
        <v>900</v>
      </c>
      <c r="B905" s="49" t="s">
        <v>2912</v>
      </c>
      <c r="C905" s="50" t="s">
        <v>3614</v>
      </c>
      <c r="D905" s="49">
        <v>165315</v>
      </c>
      <c r="E905" s="50" t="s">
        <v>3615</v>
      </c>
      <c r="F905" s="49" t="s">
        <v>6</v>
      </c>
      <c r="G905" s="48">
        <v>42796</v>
      </c>
      <c r="H905" s="48">
        <v>42826</v>
      </c>
      <c r="I905" s="48">
        <v>42865</v>
      </c>
      <c r="J905" s="49" t="s">
        <v>3113</v>
      </c>
      <c r="K905" s="58" t="s">
        <v>7</v>
      </c>
      <c r="L905" s="49">
        <v>0</v>
      </c>
      <c r="M905" s="48">
        <v>42870</v>
      </c>
      <c r="N905" s="49" t="s">
        <v>2917</v>
      </c>
      <c r="O905" s="49" t="s">
        <v>7</v>
      </c>
      <c r="P905" s="49">
        <v>0</v>
      </c>
      <c r="Q905" s="51" t="s">
        <v>5002</v>
      </c>
      <c r="R905" s="67" t="e" cm="1">
        <f t="array" ref="R905">_xlfn.CHOOSECOLS(_xlfn.CHOOSEROWS(_xlfn._xlws.FILTER(표2[],표2[DWG No.]=C905,""),1),6)</f>
        <v>#VALUE!</v>
      </c>
      <c r="S905" s="67" t="e" cm="1">
        <f t="array" ref="S905">_xlfn.CHOOSECOLS(_xlfn.CHOOSEROWS(_xlfn._xlws.FILTER(표2[],(표2[DWG No.]=C905)*(ISNUMBER(표2[Rev.])),""),1),6)</f>
        <v>#VALUE!</v>
      </c>
    </row>
    <row r="906" spans="1:19" ht="18" customHeight="1" x14ac:dyDescent="0.45">
      <c r="A906" s="64">
        <v>901</v>
      </c>
      <c r="B906" s="49" t="s">
        <v>2912</v>
      </c>
      <c r="C906" s="50" t="s">
        <v>3616</v>
      </c>
      <c r="D906" s="49">
        <v>165316</v>
      </c>
      <c r="E906" s="50" t="s">
        <v>3617</v>
      </c>
      <c r="F906" s="49" t="s">
        <v>6</v>
      </c>
      <c r="G906" s="48">
        <v>42797</v>
      </c>
      <c r="H906" s="48">
        <v>42827</v>
      </c>
      <c r="I906" s="48">
        <v>43052</v>
      </c>
      <c r="J906" s="49" t="s">
        <v>3313</v>
      </c>
      <c r="K906" s="58" t="s">
        <v>7</v>
      </c>
      <c r="L906" s="49">
        <v>0</v>
      </c>
      <c r="M906" s="48">
        <v>43052</v>
      </c>
      <c r="N906" s="49" t="s">
        <v>2917</v>
      </c>
      <c r="O906" s="49" t="s">
        <v>7</v>
      </c>
      <c r="P906" s="49">
        <v>0</v>
      </c>
      <c r="Q906" s="51" t="s">
        <v>5002</v>
      </c>
      <c r="R906" s="67" t="e" cm="1">
        <f t="array" ref="R906">_xlfn.CHOOSECOLS(_xlfn.CHOOSEROWS(_xlfn._xlws.FILTER(표2[],표2[DWG No.]=C906,""),1),6)</f>
        <v>#VALUE!</v>
      </c>
      <c r="S906" s="67" t="e" cm="1">
        <f t="array" ref="S906">_xlfn.CHOOSECOLS(_xlfn.CHOOSEROWS(_xlfn._xlws.FILTER(표2[],(표2[DWG No.]=C906)*(ISNUMBER(표2[Rev.])),""),1),6)</f>
        <v>#VALUE!</v>
      </c>
    </row>
    <row r="907" spans="1:19" ht="18" customHeight="1" x14ac:dyDescent="0.45">
      <c r="A907" s="64">
        <v>902</v>
      </c>
      <c r="B907" s="49" t="s">
        <v>2912</v>
      </c>
      <c r="C907" s="50" t="s">
        <v>3618</v>
      </c>
      <c r="D907" s="49">
        <v>165317</v>
      </c>
      <c r="E907" s="50" t="s">
        <v>3619</v>
      </c>
      <c r="F907" s="49" t="s">
        <v>6</v>
      </c>
      <c r="G907" s="48">
        <v>42888</v>
      </c>
      <c r="H907" s="48">
        <v>42918</v>
      </c>
      <c r="I907" s="48">
        <v>43028</v>
      </c>
      <c r="J907" s="49" t="s">
        <v>3620</v>
      </c>
      <c r="K907" s="58" t="s">
        <v>7</v>
      </c>
      <c r="L907" s="49">
        <v>0</v>
      </c>
      <c r="M907" s="48">
        <v>43031</v>
      </c>
      <c r="N907" s="49" t="s">
        <v>2917</v>
      </c>
      <c r="O907" s="49" t="s">
        <v>7</v>
      </c>
      <c r="P907" s="49">
        <v>0</v>
      </c>
      <c r="Q907" s="51" t="s">
        <v>5002</v>
      </c>
      <c r="R907" s="67" t="e" cm="1">
        <f t="array" ref="R907">_xlfn.CHOOSECOLS(_xlfn.CHOOSEROWS(_xlfn._xlws.FILTER(표2[],표2[DWG No.]=C907,""),1),6)</f>
        <v>#VALUE!</v>
      </c>
      <c r="S907" s="67" t="e" cm="1">
        <f t="array" ref="S907">_xlfn.CHOOSECOLS(_xlfn.CHOOSEROWS(_xlfn._xlws.FILTER(표2[],(표2[DWG No.]=C907)*(ISNUMBER(표2[Rev.])),""),1),6)</f>
        <v>#VALUE!</v>
      </c>
    </row>
    <row r="908" spans="1:19" ht="18" customHeight="1" x14ac:dyDescent="0.45">
      <c r="A908" s="64">
        <v>903</v>
      </c>
      <c r="B908" s="49" t="s">
        <v>2912</v>
      </c>
      <c r="C908" s="50" t="s">
        <v>3621</v>
      </c>
      <c r="D908" s="49">
        <v>165318</v>
      </c>
      <c r="E908" s="50" t="s">
        <v>3622</v>
      </c>
      <c r="F908" s="49" t="s">
        <v>6</v>
      </c>
      <c r="G908" s="48">
        <v>42810</v>
      </c>
      <c r="H908" s="48">
        <v>42840</v>
      </c>
      <c r="I908" s="48">
        <v>43017</v>
      </c>
      <c r="J908" s="49" t="s">
        <v>3052</v>
      </c>
      <c r="K908" s="58" t="s">
        <v>7</v>
      </c>
      <c r="L908" s="49">
        <v>0</v>
      </c>
      <c r="M908" s="48">
        <v>43018</v>
      </c>
      <c r="N908" s="49" t="s">
        <v>2917</v>
      </c>
      <c r="O908" s="49" t="s">
        <v>7</v>
      </c>
      <c r="P908" s="49">
        <v>0</v>
      </c>
      <c r="Q908" s="51" t="s">
        <v>5002</v>
      </c>
      <c r="R908" s="67" t="e" cm="1">
        <f t="array" ref="R908">_xlfn.CHOOSECOLS(_xlfn.CHOOSEROWS(_xlfn._xlws.FILTER(표2[],표2[DWG No.]=C908,""),1),6)</f>
        <v>#VALUE!</v>
      </c>
      <c r="S908" s="67" t="e" cm="1">
        <f t="array" ref="S908">_xlfn.CHOOSECOLS(_xlfn.CHOOSEROWS(_xlfn._xlws.FILTER(표2[],(표2[DWG No.]=C908)*(ISNUMBER(표2[Rev.])),""),1),6)</f>
        <v>#VALUE!</v>
      </c>
    </row>
    <row r="909" spans="1:19" ht="18" customHeight="1" x14ac:dyDescent="0.45">
      <c r="A909" s="64">
        <v>904</v>
      </c>
      <c r="B909" s="49" t="s">
        <v>2912</v>
      </c>
      <c r="C909" s="50" t="s">
        <v>3623</v>
      </c>
      <c r="D909" s="49">
        <v>165319</v>
      </c>
      <c r="E909" s="50" t="s">
        <v>3624</v>
      </c>
      <c r="F909" s="49" t="s">
        <v>6</v>
      </c>
      <c r="G909" s="48">
        <v>42816</v>
      </c>
      <c r="H909" s="48">
        <v>42846</v>
      </c>
      <c r="I909" s="48">
        <v>43017</v>
      </c>
      <c r="J909" s="49" t="s">
        <v>3052</v>
      </c>
      <c r="K909" s="58" t="s">
        <v>7</v>
      </c>
      <c r="L909" s="49">
        <v>0</v>
      </c>
      <c r="M909" s="48">
        <v>43018</v>
      </c>
      <c r="N909" s="49" t="s">
        <v>2917</v>
      </c>
      <c r="O909" s="49" t="s">
        <v>7</v>
      </c>
      <c r="P909" s="49">
        <v>0</v>
      </c>
      <c r="Q909" s="51" t="s">
        <v>5002</v>
      </c>
      <c r="R909" s="67" t="e" cm="1">
        <f t="array" ref="R909">_xlfn.CHOOSECOLS(_xlfn.CHOOSEROWS(_xlfn._xlws.FILTER(표2[],표2[DWG No.]=C909,""),1),6)</f>
        <v>#VALUE!</v>
      </c>
      <c r="S909" s="67" t="e" cm="1">
        <f t="array" ref="S909">_xlfn.CHOOSECOLS(_xlfn.CHOOSEROWS(_xlfn._xlws.FILTER(표2[],(표2[DWG No.]=C909)*(ISNUMBER(표2[Rev.])),""),1),6)</f>
        <v>#VALUE!</v>
      </c>
    </row>
    <row r="910" spans="1:19" ht="18" customHeight="1" x14ac:dyDescent="0.45">
      <c r="A910" s="64">
        <v>905</v>
      </c>
      <c r="B910" s="49" t="s">
        <v>2912</v>
      </c>
      <c r="C910" s="50" t="s">
        <v>3625</v>
      </c>
      <c r="D910" s="49">
        <v>165320</v>
      </c>
      <c r="E910" s="50" t="s">
        <v>3626</v>
      </c>
      <c r="F910" s="49" t="s">
        <v>6</v>
      </c>
      <c r="G910" s="48">
        <v>42823</v>
      </c>
      <c r="H910" s="48">
        <v>42853</v>
      </c>
      <c r="I910" s="48">
        <v>42948</v>
      </c>
      <c r="J910" s="49" t="s">
        <v>3627</v>
      </c>
      <c r="K910" s="58" t="s">
        <v>7</v>
      </c>
      <c r="L910" s="49">
        <v>0</v>
      </c>
      <c r="M910" s="48">
        <v>42948</v>
      </c>
      <c r="N910" s="49" t="s">
        <v>2917</v>
      </c>
      <c r="O910" s="49" t="s">
        <v>7</v>
      </c>
      <c r="P910" s="49">
        <v>0</v>
      </c>
      <c r="Q910" s="51" t="s">
        <v>5002</v>
      </c>
      <c r="R910" s="67" t="e" cm="1">
        <f t="array" ref="R910">_xlfn.CHOOSECOLS(_xlfn.CHOOSEROWS(_xlfn._xlws.FILTER(표2[],표2[DWG No.]=C910,""),1),6)</f>
        <v>#VALUE!</v>
      </c>
      <c r="S910" s="67" t="e" cm="1">
        <f t="array" ref="S910">_xlfn.CHOOSECOLS(_xlfn.CHOOSEROWS(_xlfn._xlws.FILTER(표2[],(표2[DWG No.]=C910)*(ISNUMBER(표2[Rev.])),""),1),6)</f>
        <v>#VALUE!</v>
      </c>
    </row>
    <row r="911" spans="1:19" ht="18" customHeight="1" x14ac:dyDescent="0.45">
      <c r="A911" s="64">
        <v>906</v>
      </c>
      <c r="B911" s="49" t="s">
        <v>2912</v>
      </c>
      <c r="C911" s="50" t="s">
        <v>3628</v>
      </c>
      <c r="D911" s="49">
        <v>165321</v>
      </c>
      <c r="E911" s="50" t="s">
        <v>3629</v>
      </c>
      <c r="F911" s="49" t="s">
        <v>6</v>
      </c>
      <c r="G911" s="48">
        <v>42923</v>
      </c>
      <c r="H911" s="48">
        <v>42953</v>
      </c>
      <c r="I911" s="48">
        <v>43017</v>
      </c>
      <c r="J911" s="49" t="s">
        <v>3052</v>
      </c>
      <c r="K911" s="58" t="s">
        <v>7</v>
      </c>
      <c r="L911" s="49">
        <v>0</v>
      </c>
      <c r="M911" s="48">
        <v>43018</v>
      </c>
      <c r="N911" s="49" t="s">
        <v>2917</v>
      </c>
      <c r="O911" s="49" t="s">
        <v>7</v>
      </c>
      <c r="P911" s="49">
        <v>0</v>
      </c>
      <c r="Q911" s="51" t="s">
        <v>5002</v>
      </c>
      <c r="R911" s="67" t="e" cm="1">
        <f t="array" ref="R911">_xlfn.CHOOSECOLS(_xlfn.CHOOSEROWS(_xlfn._xlws.FILTER(표2[],표2[DWG No.]=C911,""),1),6)</f>
        <v>#VALUE!</v>
      </c>
      <c r="S911" s="67" t="e" cm="1">
        <f t="array" ref="S911">_xlfn.CHOOSECOLS(_xlfn.CHOOSEROWS(_xlfn._xlws.FILTER(표2[],(표2[DWG No.]=C911)*(ISNUMBER(표2[Rev.])),""),1),6)</f>
        <v>#VALUE!</v>
      </c>
    </row>
    <row r="912" spans="1:19" ht="18" customHeight="1" x14ac:dyDescent="0.45">
      <c r="A912" s="64">
        <v>907</v>
      </c>
      <c r="B912" s="49" t="s">
        <v>2912</v>
      </c>
      <c r="C912" s="50" t="s">
        <v>3630</v>
      </c>
      <c r="D912" s="49">
        <v>165322</v>
      </c>
      <c r="E912" s="50" t="s">
        <v>3631</v>
      </c>
      <c r="F912" s="49" t="s">
        <v>6</v>
      </c>
      <c r="G912" s="48">
        <v>42810</v>
      </c>
      <c r="H912" s="48">
        <v>42840</v>
      </c>
      <c r="I912" s="48">
        <v>43017</v>
      </c>
      <c r="J912" s="49" t="s">
        <v>3052</v>
      </c>
      <c r="K912" s="58" t="s">
        <v>7</v>
      </c>
      <c r="L912" s="49">
        <v>0</v>
      </c>
      <c r="M912" s="48">
        <v>43018</v>
      </c>
      <c r="N912" s="49" t="s">
        <v>2917</v>
      </c>
      <c r="O912" s="49" t="s">
        <v>7</v>
      </c>
      <c r="P912" s="49">
        <v>0</v>
      </c>
      <c r="Q912" s="51" t="s">
        <v>5002</v>
      </c>
      <c r="R912" s="67" t="e" cm="1">
        <f t="array" ref="R912">_xlfn.CHOOSECOLS(_xlfn.CHOOSEROWS(_xlfn._xlws.FILTER(표2[],표2[DWG No.]=C912,""),1),6)</f>
        <v>#VALUE!</v>
      </c>
      <c r="S912" s="67" t="e" cm="1">
        <f t="array" ref="S912">_xlfn.CHOOSECOLS(_xlfn.CHOOSEROWS(_xlfn._xlws.FILTER(표2[],(표2[DWG No.]=C912)*(ISNUMBER(표2[Rev.])),""),1),6)</f>
        <v>#VALUE!</v>
      </c>
    </row>
    <row r="913" spans="1:19" ht="18" customHeight="1" x14ac:dyDescent="0.45">
      <c r="A913" s="64">
        <v>908</v>
      </c>
      <c r="B913" s="49" t="s">
        <v>2912</v>
      </c>
      <c r="C913" s="50" t="s">
        <v>3632</v>
      </c>
      <c r="D913" s="49">
        <v>165323</v>
      </c>
      <c r="E913" s="50" t="s">
        <v>3633</v>
      </c>
      <c r="F913" s="49" t="s">
        <v>6</v>
      </c>
      <c r="G913" s="48">
        <v>42816</v>
      </c>
      <c r="H913" s="48">
        <v>42846</v>
      </c>
      <c r="I913" s="48">
        <v>43017</v>
      </c>
      <c r="J913" s="49" t="s">
        <v>3052</v>
      </c>
      <c r="K913" s="58" t="s">
        <v>7</v>
      </c>
      <c r="L913" s="49">
        <v>0</v>
      </c>
      <c r="M913" s="48">
        <v>43018</v>
      </c>
      <c r="N913" s="49" t="s">
        <v>2917</v>
      </c>
      <c r="O913" s="49" t="s">
        <v>7</v>
      </c>
      <c r="P913" s="49">
        <v>0</v>
      </c>
      <c r="Q913" s="51" t="s">
        <v>5002</v>
      </c>
      <c r="R913" s="67" t="e" cm="1">
        <f t="array" ref="R913">_xlfn.CHOOSECOLS(_xlfn.CHOOSEROWS(_xlfn._xlws.FILTER(표2[],표2[DWG No.]=C913,""),1),6)</f>
        <v>#VALUE!</v>
      </c>
      <c r="S913" s="67" t="e" cm="1">
        <f t="array" ref="S913">_xlfn.CHOOSECOLS(_xlfn.CHOOSEROWS(_xlfn._xlws.FILTER(표2[],(표2[DWG No.]=C913)*(ISNUMBER(표2[Rev.])),""),1),6)</f>
        <v>#VALUE!</v>
      </c>
    </row>
    <row r="914" spans="1:19" ht="18" customHeight="1" x14ac:dyDescent="0.45">
      <c r="A914" s="64">
        <v>909</v>
      </c>
      <c r="B914" s="49" t="s">
        <v>2912</v>
      </c>
      <c r="C914" s="50" t="s">
        <v>3634</v>
      </c>
      <c r="D914" s="49">
        <v>165324</v>
      </c>
      <c r="E914" s="50" t="s">
        <v>3635</v>
      </c>
      <c r="F914" s="49" t="s">
        <v>6</v>
      </c>
      <c r="G914" s="48">
        <v>42816</v>
      </c>
      <c r="H914" s="48">
        <v>42846</v>
      </c>
      <c r="I914" s="48">
        <v>43017</v>
      </c>
      <c r="J914" s="49" t="s">
        <v>3052</v>
      </c>
      <c r="K914" s="58" t="s">
        <v>7</v>
      </c>
      <c r="L914" s="49">
        <v>0</v>
      </c>
      <c r="M914" s="48">
        <v>43018</v>
      </c>
      <c r="N914" s="49" t="s">
        <v>2917</v>
      </c>
      <c r="O914" s="49" t="s">
        <v>7</v>
      </c>
      <c r="P914" s="49">
        <v>0</v>
      </c>
      <c r="Q914" s="51" t="s">
        <v>5002</v>
      </c>
      <c r="R914" s="67" t="e" cm="1">
        <f t="array" ref="R914">_xlfn.CHOOSECOLS(_xlfn.CHOOSEROWS(_xlfn._xlws.FILTER(표2[],표2[DWG No.]=C914,""),1),6)</f>
        <v>#VALUE!</v>
      </c>
      <c r="S914" s="67" t="e" cm="1">
        <f t="array" ref="S914">_xlfn.CHOOSECOLS(_xlfn.CHOOSEROWS(_xlfn._xlws.FILTER(표2[],(표2[DWG No.]=C914)*(ISNUMBER(표2[Rev.])),""),1),6)</f>
        <v>#VALUE!</v>
      </c>
    </row>
    <row r="915" spans="1:19" ht="18" customHeight="1" x14ac:dyDescent="0.45">
      <c r="A915" s="64">
        <v>910</v>
      </c>
      <c r="B915" s="49" t="s">
        <v>2912</v>
      </c>
      <c r="C915" s="50" t="s">
        <v>3636</v>
      </c>
      <c r="D915" s="49">
        <v>165325</v>
      </c>
      <c r="E915" s="50" t="s">
        <v>3637</v>
      </c>
      <c r="F915" s="49" t="s">
        <v>6</v>
      </c>
      <c r="G915" s="48">
        <v>42823</v>
      </c>
      <c r="H915" s="48">
        <v>42853</v>
      </c>
      <c r="I915" s="48">
        <v>42948</v>
      </c>
      <c r="J915" s="49" t="s">
        <v>3627</v>
      </c>
      <c r="K915" s="58" t="s">
        <v>7</v>
      </c>
      <c r="L915" s="49">
        <v>0</v>
      </c>
      <c r="M915" s="48">
        <v>42948</v>
      </c>
      <c r="N915" s="49" t="s">
        <v>2917</v>
      </c>
      <c r="O915" s="49" t="s">
        <v>7</v>
      </c>
      <c r="P915" s="49">
        <v>0</v>
      </c>
      <c r="Q915" s="51" t="s">
        <v>5002</v>
      </c>
      <c r="R915" s="67" t="e" cm="1">
        <f t="array" ref="R915">_xlfn.CHOOSECOLS(_xlfn.CHOOSEROWS(_xlfn._xlws.FILTER(표2[],표2[DWG No.]=C915,""),1),6)</f>
        <v>#VALUE!</v>
      </c>
      <c r="S915" s="67" t="e" cm="1">
        <f t="array" ref="S915">_xlfn.CHOOSECOLS(_xlfn.CHOOSEROWS(_xlfn._xlws.FILTER(표2[],(표2[DWG No.]=C915)*(ISNUMBER(표2[Rev.])),""),1),6)</f>
        <v>#VALUE!</v>
      </c>
    </row>
    <row r="916" spans="1:19" ht="18" customHeight="1" x14ac:dyDescent="0.45">
      <c r="A916" s="64">
        <v>911</v>
      </c>
      <c r="B916" s="49" t="s">
        <v>2912</v>
      </c>
      <c r="C916" s="50" t="s">
        <v>3638</v>
      </c>
      <c r="D916" s="49">
        <v>165326</v>
      </c>
      <c r="E916" s="50" t="s">
        <v>3639</v>
      </c>
      <c r="F916" s="49" t="s">
        <v>6</v>
      </c>
      <c r="G916" s="48">
        <v>42823</v>
      </c>
      <c r="H916" s="48">
        <v>42853</v>
      </c>
      <c r="I916" s="48">
        <v>42948</v>
      </c>
      <c r="J916" s="49" t="s">
        <v>3627</v>
      </c>
      <c r="K916" s="58" t="s">
        <v>7</v>
      </c>
      <c r="L916" s="49">
        <v>0</v>
      </c>
      <c r="M916" s="48">
        <v>42948</v>
      </c>
      <c r="N916" s="49" t="s">
        <v>2917</v>
      </c>
      <c r="O916" s="49" t="s">
        <v>7</v>
      </c>
      <c r="P916" s="49">
        <v>0</v>
      </c>
      <c r="Q916" s="51" t="s">
        <v>5002</v>
      </c>
      <c r="R916" s="67" t="e" cm="1">
        <f t="array" ref="R916">_xlfn.CHOOSECOLS(_xlfn.CHOOSEROWS(_xlfn._xlws.FILTER(표2[],표2[DWG No.]=C916,""),1),6)</f>
        <v>#VALUE!</v>
      </c>
      <c r="S916" s="67" t="e" cm="1">
        <f t="array" ref="S916">_xlfn.CHOOSECOLS(_xlfn.CHOOSEROWS(_xlfn._xlws.FILTER(표2[],(표2[DWG No.]=C916)*(ISNUMBER(표2[Rev.])),""),1),6)</f>
        <v>#VALUE!</v>
      </c>
    </row>
    <row r="917" spans="1:19" ht="18" customHeight="1" x14ac:dyDescent="0.45">
      <c r="A917" s="64">
        <v>912</v>
      </c>
      <c r="B917" s="49" t="s">
        <v>2912</v>
      </c>
      <c r="C917" s="50" t="s">
        <v>3640</v>
      </c>
      <c r="D917" s="49">
        <v>165327</v>
      </c>
      <c r="E917" s="50" t="s">
        <v>3641</v>
      </c>
      <c r="F917" s="49" t="s">
        <v>6</v>
      </c>
      <c r="G917" s="48">
        <v>42810</v>
      </c>
      <c r="H917" s="48">
        <v>42840</v>
      </c>
      <c r="I917" s="48">
        <v>43017</v>
      </c>
      <c r="J917" s="49" t="s">
        <v>3052</v>
      </c>
      <c r="K917" s="58" t="s">
        <v>7</v>
      </c>
      <c r="L917" s="49">
        <v>0</v>
      </c>
      <c r="M917" s="48">
        <v>43018</v>
      </c>
      <c r="N917" s="49" t="s">
        <v>2917</v>
      </c>
      <c r="O917" s="49" t="s">
        <v>7</v>
      </c>
      <c r="P917" s="49">
        <v>0</v>
      </c>
      <c r="Q917" s="51" t="s">
        <v>5002</v>
      </c>
      <c r="R917" s="67" t="e" cm="1">
        <f t="array" ref="R917">_xlfn.CHOOSECOLS(_xlfn.CHOOSEROWS(_xlfn._xlws.FILTER(표2[],표2[DWG No.]=C917,""),1),6)</f>
        <v>#VALUE!</v>
      </c>
      <c r="S917" s="67" t="e" cm="1">
        <f t="array" ref="S917">_xlfn.CHOOSECOLS(_xlfn.CHOOSEROWS(_xlfn._xlws.FILTER(표2[],(표2[DWG No.]=C917)*(ISNUMBER(표2[Rev.])),""),1),6)</f>
        <v>#VALUE!</v>
      </c>
    </row>
    <row r="918" spans="1:19" ht="18" customHeight="1" x14ac:dyDescent="0.45">
      <c r="A918" s="64">
        <v>913</v>
      </c>
      <c r="B918" s="49" t="s">
        <v>2912</v>
      </c>
      <c r="C918" s="50" t="s">
        <v>3642</v>
      </c>
      <c r="D918" s="49">
        <v>165328</v>
      </c>
      <c r="E918" s="50" t="s">
        <v>3643</v>
      </c>
      <c r="F918" s="49" t="s">
        <v>6</v>
      </c>
      <c r="G918" s="48">
        <v>42816</v>
      </c>
      <c r="H918" s="48">
        <v>42846</v>
      </c>
      <c r="I918" s="48">
        <v>42923</v>
      </c>
      <c r="J918" s="49" t="s">
        <v>3644</v>
      </c>
      <c r="K918" s="58" t="s">
        <v>7</v>
      </c>
      <c r="L918" s="49">
        <v>0</v>
      </c>
      <c r="M918" s="48">
        <v>42923</v>
      </c>
      <c r="N918" s="49" t="s">
        <v>2917</v>
      </c>
      <c r="O918" s="49" t="s">
        <v>7</v>
      </c>
      <c r="P918" s="49">
        <v>0</v>
      </c>
      <c r="Q918" s="51" t="s">
        <v>5002</v>
      </c>
      <c r="R918" s="67" t="e" cm="1">
        <f t="array" ref="R918">_xlfn.CHOOSECOLS(_xlfn.CHOOSEROWS(_xlfn._xlws.FILTER(표2[],표2[DWG No.]=C918,""),1),6)</f>
        <v>#VALUE!</v>
      </c>
      <c r="S918" s="67" t="e" cm="1">
        <f t="array" ref="S918">_xlfn.CHOOSECOLS(_xlfn.CHOOSEROWS(_xlfn._xlws.FILTER(표2[],(표2[DWG No.]=C918)*(ISNUMBER(표2[Rev.])),""),1),6)</f>
        <v>#VALUE!</v>
      </c>
    </row>
    <row r="919" spans="1:19" ht="18" customHeight="1" x14ac:dyDescent="0.45">
      <c r="A919" s="64">
        <v>914</v>
      </c>
      <c r="B919" s="49" t="s">
        <v>2912</v>
      </c>
      <c r="C919" s="50" t="s">
        <v>3645</v>
      </c>
      <c r="D919" s="49">
        <v>165333</v>
      </c>
      <c r="E919" s="50" t="s">
        <v>3646</v>
      </c>
      <c r="F919" s="49" t="s">
        <v>6</v>
      </c>
      <c r="G919" s="48">
        <v>42794</v>
      </c>
      <c r="H919" s="48">
        <v>42963</v>
      </c>
      <c r="I919" s="48">
        <v>43052</v>
      </c>
      <c r="J919" s="49" t="s">
        <v>3313</v>
      </c>
      <c r="K919" s="58" t="s">
        <v>7</v>
      </c>
      <c r="L919" s="49">
        <v>0</v>
      </c>
      <c r="M919" s="48">
        <v>43052</v>
      </c>
      <c r="N919" s="49" t="s">
        <v>2917</v>
      </c>
      <c r="O919" s="49" t="s">
        <v>7</v>
      </c>
      <c r="P919" s="49">
        <v>0</v>
      </c>
      <c r="Q919" s="51" t="s">
        <v>5002</v>
      </c>
      <c r="R919" s="67" t="e" cm="1">
        <f t="array" ref="R919">_xlfn.CHOOSECOLS(_xlfn.CHOOSEROWS(_xlfn._xlws.FILTER(표2[],표2[DWG No.]=C919,""),1),6)</f>
        <v>#VALUE!</v>
      </c>
      <c r="S919" s="67" t="e" cm="1">
        <f t="array" ref="S919">_xlfn.CHOOSECOLS(_xlfn.CHOOSEROWS(_xlfn._xlws.FILTER(표2[],(표2[DWG No.]=C919)*(ISNUMBER(표2[Rev.])),""),1),6)</f>
        <v>#VALUE!</v>
      </c>
    </row>
    <row r="920" spans="1:19" ht="18" customHeight="1" x14ac:dyDescent="0.45">
      <c r="A920" s="64">
        <v>915</v>
      </c>
      <c r="B920" s="49" t="s">
        <v>2912</v>
      </c>
      <c r="C920" s="50" t="s">
        <v>3647</v>
      </c>
      <c r="D920" s="49">
        <v>165334</v>
      </c>
      <c r="E920" s="50" t="s">
        <v>3648</v>
      </c>
      <c r="F920" s="49" t="s">
        <v>6</v>
      </c>
      <c r="G920" s="48">
        <v>42794</v>
      </c>
      <c r="H920" s="48">
        <v>42824</v>
      </c>
      <c r="I920" s="48">
        <v>43052</v>
      </c>
      <c r="J920" s="49" t="s">
        <v>3313</v>
      </c>
      <c r="K920" s="58" t="s">
        <v>7</v>
      </c>
      <c r="L920" s="49">
        <v>0</v>
      </c>
      <c r="M920" s="48">
        <v>43052</v>
      </c>
      <c r="N920" s="49" t="s">
        <v>2917</v>
      </c>
      <c r="O920" s="49" t="s">
        <v>7</v>
      </c>
      <c r="P920" s="49">
        <v>0</v>
      </c>
      <c r="Q920" s="51" t="s">
        <v>5002</v>
      </c>
      <c r="R920" s="67" t="e" cm="1">
        <f t="array" ref="R920">_xlfn.CHOOSECOLS(_xlfn.CHOOSEROWS(_xlfn._xlws.FILTER(표2[],표2[DWG No.]=C920,""),1),6)</f>
        <v>#VALUE!</v>
      </c>
      <c r="S920" s="67" t="e" cm="1">
        <f t="array" ref="S920">_xlfn.CHOOSECOLS(_xlfn.CHOOSEROWS(_xlfn._xlws.FILTER(표2[],(표2[DWG No.]=C920)*(ISNUMBER(표2[Rev.])),""),1),6)</f>
        <v>#VALUE!</v>
      </c>
    </row>
    <row r="921" spans="1:19" ht="18" customHeight="1" x14ac:dyDescent="0.45">
      <c r="A921" s="64">
        <v>916</v>
      </c>
      <c r="B921" s="49" t="s">
        <v>2912</v>
      </c>
      <c r="C921" s="50" t="s">
        <v>3649</v>
      </c>
      <c r="D921" s="49">
        <v>165335</v>
      </c>
      <c r="E921" s="50" t="s">
        <v>3650</v>
      </c>
      <c r="F921" s="49" t="s">
        <v>6</v>
      </c>
      <c r="G921" s="48">
        <v>42794</v>
      </c>
      <c r="H921" s="48">
        <v>42824</v>
      </c>
      <c r="I921" s="48">
        <v>43088</v>
      </c>
      <c r="J921" s="51" t="s">
        <v>3651</v>
      </c>
      <c r="K921" s="58" t="s">
        <v>7</v>
      </c>
      <c r="L921" s="49">
        <v>0</v>
      </c>
      <c r="M921" s="61">
        <v>43103</v>
      </c>
      <c r="N921" s="51" t="s">
        <v>3153</v>
      </c>
      <c r="O921" s="49" t="s">
        <v>6</v>
      </c>
      <c r="P921" s="51">
        <v>0</v>
      </c>
      <c r="Q921" s="51" t="s">
        <v>5002</v>
      </c>
      <c r="R921" s="67" t="e" cm="1">
        <f t="array" ref="R921">_xlfn.CHOOSECOLS(_xlfn.CHOOSEROWS(_xlfn._xlws.FILTER(표2[],표2[DWG No.]=C921,""),1),6)</f>
        <v>#VALUE!</v>
      </c>
      <c r="S921" s="67" t="e" cm="1">
        <f t="array" ref="S921">_xlfn.CHOOSECOLS(_xlfn.CHOOSEROWS(_xlfn._xlws.FILTER(표2[],(표2[DWG No.]=C921)*(ISNUMBER(표2[Rev.])),""),1),6)</f>
        <v>#VALUE!</v>
      </c>
    </row>
    <row r="922" spans="1:19" ht="18" customHeight="1" x14ac:dyDescent="0.45">
      <c r="A922" s="64">
        <v>917</v>
      </c>
      <c r="B922" s="49" t="s">
        <v>2912</v>
      </c>
      <c r="C922" s="50" t="s">
        <v>3652</v>
      </c>
      <c r="D922" s="49">
        <v>165336</v>
      </c>
      <c r="E922" s="50" t="s">
        <v>3653</v>
      </c>
      <c r="F922" s="49" t="s">
        <v>6</v>
      </c>
      <c r="G922" s="48">
        <v>42794</v>
      </c>
      <c r="H922" s="48">
        <v>42824</v>
      </c>
      <c r="I922" s="48">
        <v>43013</v>
      </c>
      <c r="J922" s="49" t="s">
        <v>3654</v>
      </c>
      <c r="K922" s="58" t="s">
        <v>5032</v>
      </c>
      <c r="L922" s="49" t="s">
        <v>164</v>
      </c>
      <c r="M922" s="48">
        <v>43025</v>
      </c>
      <c r="N922" s="49" t="s">
        <v>3655</v>
      </c>
      <c r="O922" s="49" t="s">
        <v>6</v>
      </c>
      <c r="P922" s="49" t="s">
        <v>164</v>
      </c>
      <c r="Q922" s="51" t="s">
        <v>65</v>
      </c>
      <c r="R922" s="67" t="e" cm="1">
        <f t="array" ref="R922">_xlfn.CHOOSECOLS(_xlfn.CHOOSEROWS(_xlfn._xlws.FILTER(표2[],표2[DWG No.]=C922,""),1),6)</f>
        <v>#VALUE!</v>
      </c>
      <c r="S922" s="67" t="e" cm="1">
        <f t="array" ref="S922">_xlfn.CHOOSECOLS(_xlfn.CHOOSEROWS(_xlfn._xlws.FILTER(표2[],(표2[DWG No.]=C922)*(ISNUMBER(표2[Rev.])),""),1),6)</f>
        <v>#VALUE!</v>
      </c>
    </row>
    <row r="923" spans="1:19" ht="18" customHeight="1" x14ac:dyDescent="0.45">
      <c r="A923" s="64">
        <v>918</v>
      </c>
      <c r="B923" s="49" t="s">
        <v>2912</v>
      </c>
      <c r="C923" s="50" t="s">
        <v>3656</v>
      </c>
      <c r="D923" s="49">
        <v>165341</v>
      </c>
      <c r="E923" s="50" t="s">
        <v>3657</v>
      </c>
      <c r="F923" s="49" t="s">
        <v>6</v>
      </c>
      <c r="G923" s="48">
        <v>42923</v>
      </c>
      <c r="H923" s="48">
        <v>42953</v>
      </c>
      <c r="I923" s="48">
        <v>42996</v>
      </c>
      <c r="J923" s="49" t="s">
        <v>3158</v>
      </c>
      <c r="K923" s="58" t="s">
        <v>7</v>
      </c>
      <c r="L923" s="49">
        <v>0</v>
      </c>
      <c r="M923" s="48">
        <v>42996</v>
      </c>
      <c r="N923" s="49" t="s">
        <v>2917</v>
      </c>
      <c r="O923" s="49" t="s">
        <v>7</v>
      </c>
      <c r="P923" s="49">
        <v>0</v>
      </c>
      <c r="Q923" s="51" t="s">
        <v>5002</v>
      </c>
      <c r="R923" s="67" t="e" cm="1">
        <f t="array" ref="R923">_xlfn.CHOOSECOLS(_xlfn.CHOOSEROWS(_xlfn._xlws.FILTER(표2[],표2[DWG No.]=C923,""),1),6)</f>
        <v>#VALUE!</v>
      </c>
      <c r="S923" s="67" t="e" cm="1">
        <f t="array" ref="S923">_xlfn.CHOOSECOLS(_xlfn.CHOOSEROWS(_xlfn._xlws.FILTER(표2[],(표2[DWG No.]=C923)*(ISNUMBER(표2[Rev.])),""),1),6)</f>
        <v>#VALUE!</v>
      </c>
    </row>
    <row r="924" spans="1:19" ht="18" customHeight="1" x14ac:dyDescent="0.45">
      <c r="A924" s="64">
        <v>919</v>
      </c>
      <c r="B924" s="49" t="s">
        <v>2912</v>
      </c>
      <c r="C924" s="50" t="s">
        <v>3658</v>
      </c>
      <c r="D924" s="49">
        <v>165342</v>
      </c>
      <c r="E924" s="50" t="s">
        <v>3659</v>
      </c>
      <c r="F924" s="49" t="s">
        <v>6</v>
      </c>
      <c r="G924" s="48">
        <v>42923</v>
      </c>
      <c r="H924" s="48">
        <v>42953</v>
      </c>
      <c r="I924" s="48">
        <v>43006</v>
      </c>
      <c r="J924" s="49" t="s">
        <v>3660</v>
      </c>
      <c r="K924" s="58" t="s">
        <v>7</v>
      </c>
      <c r="L924" s="49">
        <v>0</v>
      </c>
      <c r="M924" s="48">
        <v>43006</v>
      </c>
      <c r="N924" s="49" t="s">
        <v>2917</v>
      </c>
      <c r="O924" s="49" t="s">
        <v>7</v>
      </c>
      <c r="P924" s="49">
        <v>0</v>
      </c>
      <c r="Q924" s="51" t="s">
        <v>5002</v>
      </c>
      <c r="R924" s="67" t="e" cm="1">
        <f t="array" ref="R924">_xlfn.CHOOSECOLS(_xlfn.CHOOSEROWS(_xlfn._xlws.FILTER(표2[],표2[DWG No.]=C924,""),1),6)</f>
        <v>#VALUE!</v>
      </c>
      <c r="S924" s="67" t="e" cm="1">
        <f t="array" ref="S924">_xlfn.CHOOSECOLS(_xlfn.CHOOSEROWS(_xlfn._xlws.FILTER(표2[],(표2[DWG No.]=C924)*(ISNUMBER(표2[Rev.])),""),1),6)</f>
        <v>#VALUE!</v>
      </c>
    </row>
    <row r="925" spans="1:19" ht="18" customHeight="1" x14ac:dyDescent="0.45">
      <c r="A925" s="64">
        <v>920</v>
      </c>
      <c r="B925" s="49" t="s">
        <v>2912</v>
      </c>
      <c r="C925" s="50" t="s">
        <v>3661</v>
      </c>
      <c r="D925" s="49">
        <v>165343</v>
      </c>
      <c r="E925" s="50" t="s">
        <v>3662</v>
      </c>
      <c r="F925" s="49" t="s">
        <v>6</v>
      </c>
      <c r="G925" s="48">
        <v>42923</v>
      </c>
      <c r="H925" s="48">
        <v>42953</v>
      </c>
      <c r="I925" s="48">
        <v>43006</v>
      </c>
      <c r="J925" s="49" t="s">
        <v>3660</v>
      </c>
      <c r="K925" s="58" t="s">
        <v>7</v>
      </c>
      <c r="L925" s="49">
        <v>0</v>
      </c>
      <c r="M925" s="48">
        <v>43006</v>
      </c>
      <c r="N925" s="49" t="s">
        <v>2917</v>
      </c>
      <c r="O925" s="49" t="s">
        <v>7</v>
      </c>
      <c r="P925" s="49">
        <v>0</v>
      </c>
      <c r="Q925" s="51" t="s">
        <v>5002</v>
      </c>
      <c r="R925" s="67" t="e" cm="1">
        <f t="array" ref="R925">_xlfn.CHOOSECOLS(_xlfn.CHOOSEROWS(_xlfn._xlws.FILTER(표2[],표2[DWG No.]=C925,""),1),6)</f>
        <v>#VALUE!</v>
      </c>
      <c r="S925" s="67" t="e" cm="1">
        <f t="array" ref="S925">_xlfn.CHOOSECOLS(_xlfn.CHOOSEROWS(_xlfn._xlws.FILTER(표2[],(표2[DWG No.]=C925)*(ISNUMBER(표2[Rev.])),""),1),6)</f>
        <v>#VALUE!</v>
      </c>
    </row>
    <row r="926" spans="1:19" ht="18" customHeight="1" x14ac:dyDescent="0.45">
      <c r="A926" s="64">
        <v>921</v>
      </c>
      <c r="B926" s="49" t="s">
        <v>2912</v>
      </c>
      <c r="C926" s="50" t="s">
        <v>3663</v>
      </c>
      <c r="D926" s="49">
        <v>165344</v>
      </c>
      <c r="E926" s="50" t="s">
        <v>3664</v>
      </c>
      <c r="F926" s="49" t="s">
        <v>6</v>
      </c>
      <c r="G926" s="48">
        <v>42923</v>
      </c>
      <c r="H926" s="48">
        <v>42953</v>
      </c>
      <c r="I926" s="48">
        <v>43006</v>
      </c>
      <c r="J926" s="49" t="s">
        <v>3660</v>
      </c>
      <c r="K926" s="58" t="s">
        <v>7</v>
      </c>
      <c r="L926" s="49">
        <v>0</v>
      </c>
      <c r="M926" s="48">
        <v>43006</v>
      </c>
      <c r="N926" s="49" t="s">
        <v>2917</v>
      </c>
      <c r="O926" s="49" t="s">
        <v>7</v>
      </c>
      <c r="P926" s="49">
        <v>0</v>
      </c>
      <c r="Q926" s="51" t="s">
        <v>5002</v>
      </c>
      <c r="R926" s="67" t="e" cm="1">
        <f t="array" ref="R926">_xlfn.CHOOSECOLS(_xlfn.CHOOSEROWS(_xlfn._xlws.FILTER(표2[],표2[DWG No.]=C926,""),1),6)</f>
        <v>#VALUE!</v>
      </c>
      <c r="S926" s="67" t="e" cm="1">
        <f t="array" ref="S926">_xlfn.CHOOSECOLS(_xlfn.CHOOSEROWS(_xlfn._xlws.FILTER(표2[],(표2[DWG No.]=C926)*(ISNUMBER(표2[Rev.])),""),1),6)</f>
        <v>#VALUE!</v>
      </c>
    </row>
    <row r="927" spans="1:19" ht="18" customHeight="1" x14ac:dyDescent="0.45">
      <c r="A927" s="64">
        <v>922</v>
      </c>
      <c r="B927" s="49" t="s">
        <v>2912</v>
      </c>
      <c r="C927" s="50" t="s">
        <v>3665</v>
      </c>
      <c r="D927" s="49">
        <v>175345</v>
      </c>
      <c r="E927" s="50" t="s">
        <v>3666</v>
      </c>
      <c r="F927" s="49" t="s">
        <v>6</v>
      </c>
      <c r="G927" s="48">
        <v>42809</v>
      </c>
      <c r="H927" s="48">
        <v>42839</v>
      </c>
      <c r="I927" s="48">
        <v>42891</v>
      </c>
      <c r="J927" s="49" t="s">
        <v>3667</v>
      </c>
      <c r="K927" s="58" t="s">
        <v>7</v>
      </c>
      <c r="L927" s="49">
        <v>0</v>
      </c>
      <c r="M927" s="48">
        <v>42891</v>
      </c>
      <c r="N927" s="49" t="s">
        <v>2917</v>
      </c>
      <c r="O927" s="49" t="s">
        <v>7</v>
      </c>
      <c r="P927" s="49">
        <v>0</v>
      </c>
      <c r="Q927" s="51" t="s">
        <v>5002</v>
      </c>
      <c r="R927" s="67" t="e" cm="1">
        <f t="array" ref="R927">_xlfn.CHOOSECOLS(_xlfn.CHOOSEROWS(_xlfn._xlws.FILTER(표2[],표2[DWG No.]=C927,""),1),6)</f>
        <v>#VALUE!</v>
      </c>
      <c r="S927" s="67" t="e" cm="1">
        <f t="array" ref="S927">_xlfn.CHOOSECOLS(_xlfn.CHOOSEROWS(_xlfn._xlws.FILTER(표2[],(표2[DWG No.]=C927)*(ISNUMBER(표2[Rev.])),""),1),6)</f>
        <v>#VALUE!</v>
      </c>
    </row>
    <row r="928" spans="1:19" ht="18" customHeight="1" x14ac:dyDescent="0.45">
      <c r="A928" s="64">
        <v>923</v>
      </c>
      <c r="B928" s="49" t="s">
        <v>2912</v>
      </c>
      <c r="C928" s="50" t="s">
        <v>3668</v>
      </c>
      <c r="D928" s="49">
        <v>175346</v>
      </c>
      <c r="E928" s="50" t="s">
        <v>3669</v>
      </c>
      <c r="F928" s="49" t="s">
        <v>6</v>
      </c>
      <c r="G928" s="48">
        <v>42898</v>
      </c>
      <c r="H928" s="48">
        <v>42928</v>
      </c>
      <c r="I928" s="48">
        <v>42982</v>
      </c>
      <c r="J928" s="49" t="s">
        <v>3477</v>
      </c>
      <c r="K928" s="58" t="s">
        <v>7</v>
      </c>
      <c r="L928" s="49">
        <v>0</v>
      </c>
      <c r="M928" s="48">
        <v>42982</v>
      </c>
      <c r="N928" s="49" t="s">
        <v>2917</v>
      </c>
      <c r="O928" s="49" t="s">
        <v>7</v>
      </c>
      <c r="P928" s="49">
        <v>0</v>
      </c>
      <c r="Q928" s="51" t="s">
        <v>5002</v>
      </c>
      <c r="R928" s="67" t="e" cm="1">
        <f t="array" ref="R928">_xlfn.CHOOSECOLS(_xlfn.CHOOSEROWS(_xlfn._xlws.FILTER(표2[],표2[DWG No.]=C928,""),1),6)</f>
        <v>#VALUE!</v>
      </c>
      <c r="S928" s="67" t="e" cm="1">
        <f t="array" ref="S928">_xlfn.CHOOSECOLS(_xlfn.CHOOSEROWS(_xlfn._xlws.FILTER(표2[],(표2[DWG No.]=C928)*(ISNUMBER(표2[Rev.])),""),1),6)</f>
        <v>#VALUE!</v>
      </c>
    </row>
    <row r="929" spans="1:19" ht="18" customHeight="1" x14ac:dyDescent="0.45">
      <c r="A929" s="64">
        <v>924</v>
      </c>
      <c r="B929" s="49" t="s">
        <v>2912</v>
      </c>
      <c r="C929" s="50" t="s">
        <v>3670</v>
      </c>
      <c r="D929" s="49">
        <v>175347</v>
      </c>
      <c r="E929" s="50" t="s">
        <v>3671</v>
      </c>
      <c r="F929" s="49" t="s">
        <v>6</v>
      </c>
      <c r="G929" s="48">
        <v>42816</v>
      </c>
      <c r="H929" s="48">
        <v>42846</v>
      </c>
      <c r="I929" s="48">
        <v>42891</v>
      </c>
      <c r="J929" s="49" t="s">
        <v>3667</v>
      </c>
      <c r="K929" s="58" t="s">
        <v>7</v>
      </c>
      <c r="L929" s="49">
        <v>0</v>
      </c>
      <c r="M929" s="48">
        <v>42891</v>
      </c>
      <c r="N929" s="49" t="s">
        <v>2917</v>
      </c>
      <c r="O929" s="49" t="s">
        <v>7</v>
      </c>
      <c r="P929" s="49">
        <v>0</v>
      </c>
      <c r="Q929" s="51" t="s">
        <v>5002</v>
      </c>
      <c r="R929" s="67" t="e" cm="1">
        <f t="array" ref="R929">_xlfn.CHOOSECOLS(_xlfn.CHOOSEROWS(_xlfn._xlws.FILTER(표2[],표2[DWG No.]=C929,""),1),6)</f>
        <v>#VALUE!</v>
      </c>
      <c r="S929" s="67" t="e" cm="1">
        <f t="array" ref="S929">_xlfn.CHOOSECOLS(_xlfn.CHOOSEROWS(_xlfn._xlws.FILTER(표2[],(표2[DWG No.]=C929)*(ISNUMBER(표2[Rev.])),""),1),6)</f>
        <v>#VALUE!</v>
      </c>
    </row>
    <row r="930" spans="1:19" ht="18" customHeight="1" x14ac:dyDescent="0.45">
      <c r="A930" s="64">
        <v>925</v>
      </c>
      <c r="B930" s="49" t="s">
        <v>2912</v>
      </c>
      <c r="C930" s="50" t="s">
        <v>3672</v>
      </c>
      <c r="D930" s="49">
        <v>175348</v>
      </c>
      <c r="E930" s="50" t="s">
        <v>3673</v>
      </c>
      <c r="F930" s="49" t="s">
        <v>6</v>
      </c>
      <c r="G930" s="48">
        <v>42816</v>
      </c>
      <c r="H930" s="48">
        <v>42846</v>
      </c>
      <c r="I930" s="48">
        <v>42941</v>
      </c>
      <c r="J930" s="49" t="s">
        <v>3073</v>
      </c>
      <c r="K930" s="58" t="s">
        <v>7</v>
      </c>
      <c r="L930" s="49">
        <v>0</v>
      </c>
      <c r="M930" s="48">
        <v>42941</v>
      </c>
      <c r="N930" s="49" t="s">
        <v>2917</v>
      </c>
      <c r="O930" s="49" t="s">
        <v>7</v>
      </c>
      <c r="P930" s="49">
        <v>0</v>
      </c>
      <c r="Q930" s="51" t="s">
        <v>5002</v>
      </c>
      <c r="R930" s="67" t="e" cm="1">
        <f t="array" ref="R930">_xlfn.CHOOSECOLS(_xlfn.CHOOSEROWS(_xlfn._xlws.FILTER(표2[],표2[DWG No.]=C930,""),1),6)</f>
        <v>#VALUE!</v>
      </c>
      <c r="S930" s="67" t="e" cm="1">
        <f t="array" ref="S930">_xlfn.CHOOSECOLS(_xlfn.CHOOSEROWS(_xlfn._xlws.FILTER(표2[],(표2[DWG No.]=C930)*(ISNUMBER(표2[Rev.])),""),1),6)</f>
        <v>#VALUE!</v>
      </c>
    </row>
    <row r="931" spans="1:19" ht="18" customHeight="1" x14ac:dyDescent="0.45">
      <c r="A931" s="64">
        <v>926</v>
      </c>
      <c r="B931" s="49" t="s">
        <v>2912</v>
      </c>
      <c r="C931" s="50" t="s">
        <v>3674</v>
      </c>
      <c r="D931" s="49">
        <v>175349</v>
      </c>
      <c r="E931" s="50" t="s">
        <v>3675</v>
      </c>
      <c r="F931" s="49" t="s">
        <v>6</v>
      </c>
      <c r="G931" s="48">
        <v>42816</v>
      </c>
      <c r="H931" s="48">
        <v>42846</v>
      </c>
      <c r="I931" s="48">
        <v>42891</v>
      </c>
      <c r="J931" s="49" t="s">
        <v>3667</v>
      </c>
      <c r="K931" s="58" t="s">
        <v>7</v>
      </c>
      <c r="L931" s="49">
        <v>0</v>
      </c>
      <c r="M931" s="48">
        <v>42891</v>
      </c>
      <c r="N931" s="49" t="s">
        <v>2917</v>
      </c>
      <c r="O931" s="49" t="s">
        <v>7</v>
      </c>
      <c r="P931" s="49">
        <v>0</v>
      </c>
      <c r="Q931" s="51" t="s">
        <v>5002</v>
      </c>
      <c r="R931" s="67" t="e" cm="1">
        <f t="array" ref="R931">_xlfn.CHOOSECOLS(_xlfn.CHOOSEROWS(_xlfn._xlws.FILTER(표2[],표2[DWG No.]=C931,""),1),6)</f>
        <v>#VALUE!</v>
      </c>
      <c r="S931" s="67" t="e" cm="1">
        <f t="array" ref="S931">_xlfn.CHOOSECOLS(_xlfn.CHOOSEROWS(_xlfn._xlws.FILTER(표2[],(표2[DWG No.]=C931)*(ISNUMBER(표2[Rev.])),""),1),6)</f>
        <v>#VALUE!</v>
      </c>
    </row>
    <row r="932" spans="1:19" ht="18" customHeight="1" x14ac:dyDescent="0.45">
      <c r="A932" s="64">
        <v>927</v>
      </c>
      <c r="B932" s="49" t="s">
        <v>2912</v>
      </c>
      <c r="C932" s="50" t="s">
        <v>3676</v>
      </c>
      <c r="D932" s="49">
        <v>175350</v>
      </c>
      <c r="E932" s="50" t="s">
        <v>3677</v>
      </c>
      <c r="F932" s="49" t="s">
        <v>6</v>
      </c>
      <c r="G932" s="48">
        <v>42909</v>
      </c>
      <c r="H932" s="48">
        <v>42939</v>
      </c>
      <c r="I932" s="48">
        <v>42891</v>
      </c>
      <c r="J932" s="49" t="s">
        <v>3667</v>
      </c>
      <c r="K932" s="58" t="s">
        <v>7</v>
      </c>
      <c r="L932" s="49">
        <v>0</v>
      </c>
      <c r="M932" s="48">
        <v>42891</v>
      </c>
      <c r="N932" s="49" t="s">
        <v>2917</v>
      </c>
      <c r="O932" s="49" t="s">
        <v>7</v>
      </c>
      <c r="P932" s="49">
        <v>0</v>
      </c>
      <c r="Q932" s="51" t="s">
        <v>5002</v>
      </c>
      <c r="R932" s="67" t="e" cm="1">
        <f t="array" ref="R932">_xlfn.CHOOSECOLS(_xlfn.CHOOSEROWS(_xlfn._xlws.FILTER(표2[],표2[DWG No.]=C932,""),1),6)</f>
        <v>#VALUE!</v>
      </c>
      <c r="S932" s="67" t="e" cm="1">
        <f t="array" ref="S932">_xlfn.CHOOSECOLS(_xlfn.CHOOSEROWS(_xlfn._xlws.FILTER(표2[],(표2[DWG No.]=C932)*(ISNUMBER(표2[Rev.])),""),1),6)</f>
        <v>#VALUE!</v>
      </c>
    </row>
    <row r="933" spans="1:19" ht="18" customHeight="1" x14ac:dyDescent="0.45">
      <c r="A933" s="64">
        <v>928</v>
      </c>
      <c r="B933" s="49" t="s">
        <v>2912</v>
      </c>
      <c r="C933" s="50" t="s">
        <v>3678</v>
      </c>
      <c r="D933" s="49">
        <v>175352</v>
      </c>
      <c r="E933" s="50" t="s">
        <v>3679</v>
      </c>
      <c r="F933" s="49" t="s">
        <v>6</v>
      </c>
      <c r="G933" s="48">
        <v>42909</v>
      </c>
      <c r="H933" s="48">
        <v>42939</v>
      </c>
      <c r="I933" s="48">
        <v>43133</v>
      </c>
      <c r="J933" s="51" t="s">
        <v>3595</v>
      </c>
      <c r="K933" s="58" t="s">
        <v>7</v>
      </c>
      <c r="L933" s="49">
        <v>0</v>
      </c>
      <c r="M933" s="61">
        <v>43143</v>
      </c>
      <c r="N933" s="51" t="s">
        <v>3153</v>
      </c>
      <c r="O933" s="49" t="s">
        <v>7</v>
      </c>
      <c r="P933" s="51">
        <v>0</v>
      </c>
      <c r="Q933" s="51" t="s">
        <v>160</v>
      </c>
      <c r="R933" s="67" t="e" cm="1">
        <f t="array" ref="R933">_xlfn.CHOOSECOLS(_xlfn.CHOOSEROWS(_xlfn._xlws.FILTER(표2[],표2[DWG No.]=C933,""),1),6)</f>
        <v>#VALUE!</v>
      </c>
      <c r="S933" s="67" t="e" cm="1">
        <f t="array" ref="S933">_xlfn.CHOOSECOLS(_xlfn.CHOOSEROWS(_xlfn._xlws.FILTER(표2[],(표2[DWG No.]=C933)*(ISNUMBER(표2[Rev.])),""),1),6)</f>
        <v>#VALUE!</v>
      </c>
    </row>
    <row r="934" spans="1:19" ht="18" customHeight="1" x14ac:dyDescent="0.45">
      <c r="A934" s="64">
        <v>929</v>
      </c>
      <c r="B934" s="49" t="s">
        <v>2912</v>
      </c>
      <c r="C934" s="50" t="s">
        <v>3680</v>
      </c>
      <c r="D934" s="49">
        <v>175353</v>
      </c>
      <c r="E934" s="50" t="s">
        <v>3681</v>
      </c>
      <c r="F934" s="49" t="s">
        <v>6</v>
      </c>
      <c r="G934" s="48">
        <v>42909</v>
      </c>
      <c r="H934" s="48">
        <v>42939</v>
      </c>
      <c r="I934" s="48">
        <v>43455</v>
      </c>
      <c r="J934" s="51" t="s">
        <v>3682</v>
      </c>
      <c r="K934" s="58" t="s">
        <v>7</v>
      </c>
      <c r="L934" s="49">
        <v>1</v>
      </c>
      <c r="M934" s="48">
        <v>43480</v>
      </c>
      <c r="N934" s="51" t="s">
        <v>3153</v>
      </c>
      <c r="O934" s="49" t="s">
        <v>7</v>
      </c>
      <c r="P934" s="51">
        <v>1</v>
      </c>
      <c r="Q934" s="51" t="s">
        <v>5002</v>
      </c>
      <c r="R934" s="67" t="e" cm="1">
        <f t="array" ref="R934">_xlfn.CHOOSECOLS(_xlfn.CHOOSEROWS(_xlfn._xlws.FILTER(표2[],표2[DWG No.]=C934,""),1),6)</f>
        <v>#VALUE!</v>
      </c>
      <c r="S934" s="67" t="e" cm="1">
        <f t="array" ref="S934">_xlfn.CHOOSECOLS(_xlfn.CHOOSEROWS(_xlfn._xlws.FILTER(표2[],(표2[DWG No.]=C934)*(ISNUMBER(표2[Rev.])),""),1),6)</f>
        <v>#VALUE!</v>
      </c>
    </row>
    <row r="935" spans="1:19" ht="18" customHeight="1" x14ac:dyDescent="0.45">
      <c r="A935" s="64">
        <v>930</v>
      </c>
      <c r="B935" s="49" t="s">
        <v>2912</v>
      </c>
      <c r="C935" s="50" t="s">
        <v>3683</v>
      </c>
      <c r="D935" s="49">
        <v>175354</v>
      </c>
      <c r="E935" s="50" t="s">
        <v>3684</v>
      </c>
      <c r="F935" s="49" t="s">
        <v>6</v>
      </c>
      <c r="G935" s="48">
        <v>42909</v>
      </c>
      <c r="H935" s="48">
        <v>42939</v>
      </c>
      <c r="I935" s="48">
        <v>43133</v>
      </c>
      <c r="J935" s="51" t="s">
        <v>3595</v>
      </c>
      <c r="K935" s="58" t="s">
        <v>7</v>
      </c>
      <c r="L935" s="49">
        <v>0</v>
      </c>
      <c r="M935" s="61">
        <v>43143</v>
      </c>
      <c r="N935" s="51" t="s">
        <v>3153</v>
      </c>
      <c r="O935" s="49" t="s">
        <v>7</v>
      </c>
      <c r="P935" s="51">
        <v>0</v>
      </c>
      <c r="Q935" s="51" t="s">
        <v>160</v>
      </c>
      <c r="R935" s="67" t="e" cm="1">
        <f t="array" ref="R935">_xlfn.CHOOSECOLS(_xlfn.CHOOSEROWS(_xlfn._xlws.FILTER(표2[],표2[DWG No.]=C935,""),1),6)</f>
        <v>#VALUE!</v>
      </c>
      <c r="S935" s="67" t="e" cm="1">
        <f t="array" ref="S935">_xlfn.CHOOSECOLS(_xlfn.CHOOSEROWS(_xlfn._xlws.FILTER(표2[],(표2[DWG No.]=C935)*(ISNUMBER(표2[Rev.])),""),1),6)</f>
        <v>#VALUE!</v>
      </c>
    </row>
    <row r="936" spans="1:19" ht="18" customHeight="1" x14ac:dyDescent="0.45">
      <c r="A936" s="64">
        <v>931</v>
      </c>
      <c r="B936" s="49" t="s">
        <v>2912</v>
      </c>
      <c r="C936" s="50" t="s">
        <v>3685</v>
      </c>
      <c r="D936" s="49">
        <v>175355</v>
      </c>
      <c r="E936" s="50" t="s">
        <v>3686</v>
      </c>
      <c r="F936" s="49" t="s">
        <v>6</v>
      </c>
      <c r="G936" s="48">
        <v>42909</v>
      </c>
      <c r="H936" s="48">
        <v>42939</v>
      </c>
      <c r="I936" s="48">
        <v>43087</v>
      </c>
      <c r="J936" s="51" t="s">
        <v>3595</v>
      </c>
      <c r="K936" s="58" t="s">
        <v>7</v>
      </c>
      <c r="L936" s="49">
        <v>0</v>
      </c>
      <c r="M936" s="61">
        <v>43143</v>
      </c>
      <c r="N936" s="51" t="s">
        <v>3153</v>
      </c>
      <c r="O936" s="49" t="s">
        <v>7</v>
      </c>
      <c r="P936" s="51">
        <v>0</v>
      </c>
      <c r="Q936" s="51" t="s">
        <v>160</v>
      </c>
      <c r="R936" s="67" t="e" cm="1">
        <f t="array" ref="R936">_xlfn.CHOOSECOLS(_xlfn.CHOOSEROWS(_xlfn._xlws.FILTER(표2[],표2[DWG No.]=C936,""),1),6)</f>
        <v>#VALUE!</v>
      </c>
      <c r="S936" s="67" t="e" cm="1">
        <f t="array" ref="S936">_xlfn.CHOOSECOLS(_xlfn.CHOOSEROWS(_xlfn._xlws.FILTER(표2[],(표2[DWG No.]=C936)*(ISNUMBER(표2[Rev.])),""),1),6)</f>
        <v>#VALUE!</v>
      </c>
    </row>
    <row r="937" spans="1:19" ht="18" customHeight="1" x14ac:dyDescent="0.45">
      <c r="A937" s="64">
        <v>932</v>
      </c>
      <c r="B937" s="49" t="s">
        <v>2912</v>
      </c>
      <c r="C937" s="50" t="s">
        <v>3687</v>
      </c>
      <c r="D937" s="49">
        <v>175357</v>
      </c>
      <c r="E937" s="50" t="s">
        <v>3688</v>
      </c>
      <c r="F937" s="49" t="s">
        <v>6</v>
      </c>
      <c r="G937" s="48">
        <v>42909</v>
      </c>
      <c r="H937" s="48">
        <v>42939</v>
      </c>
      <c r="I937" s="48">
        <v>43031</v>
      </c>
      <c r="J937" s="49" t="s">
        <v>3145</v>
      </c>
      <c r="K937" s="58" t="s">
        <v>7</v>
      </c>
      <c r="L937" s="49">
        <v>0</v>
      </c>
      <c r="M937" s="48">
        <v>43032</v>
      </c>
      <c r="N937" s="49" t="s">
        <v>2917</v>
      </c>
      <c r="O937" s="49" t="s">
        <v>7</v>
      </c>
      <c r="P937" s="49">
        <v>0</v>
      </c>
      <c r="Q937" s="51" t="s">
        <v>5002</v>
      </c>
      <c r="R937" s="67" t="e" cm="1">
        <f t="array" ref="R937">_xlfn.CHOOSECOLS(_xlfn.CHOOSEROWS(_xlfn._xlws.FILTER(표2[],표2[DWG No.]=C937,""),1),6)</f>
        <v>#VALUE!</v>
      </c>
      <c r="S937" s="67" t="e" cm="1">
        <f t="array" ref="S937">_xlfn.CHOOSECOLS(_xlfn.CHOOSEROWS(_xlfn._xlws.FILTER(표2[],(표2[DWG No.]=C937)*(ISNUMBER(표2[Rev.])),""),1),6)</f>
        <v>#VALUE!</v>
      </c>
    </row>
    <row r="938" spans="1:19" ht="18" customHeight="1" x14ac:dyDescent="0.45">
      <c r="A938" s="64">
        <v>933</v>
      </c>
      <c r="B938" s="49" t="s">
        <v>2912</v>
      </c>
      <c r="C938" s="50" t="s">
        <v>3689</v>
      </c>
      <c r="D938" s="49">
        <v>155358</v>
      </c>
      <c r="E938" s="50" t="s">
        <v>3690</v>
      </c>
      <c r="F938" s="49" t="s">
        <v>6</v>
      </c>
      <c r="G938" s="48">
        <v>42909</v>
      </c>
      <c r="H938" s="48">
        <v>42939</v>
      </c>
      <c r="I938" s="48">
        <v>43031</v>
      </c>
      <c r="J938" s="49" t="s">
        <v>3145</v>
      </c>
      <c r="K938" s="58" t="s">
        <v>7</v>
      </c>
      <c r="L938" s="49">
        <v>1</v>
      </c>
      <c r="M938" s="48">
        <v>43032</v>
      </c>
      <c r="N938" s="49" t="s">
        <v>2917</v>
      </c>
      <c r="O938" s="49" t="s">
        <v>7</v>
      </c>
      <c r="P938" s="49">
        <v>1</v>
      </c>
      <c r="Q938" s="51" t="s">
        <v>5002</v>
      </c>
      <c r="R938" s="67" t="e" cm="1">
        <f t="array" ref="R938">_xlfn.CHOOSECOLS(_xlfn.CHOOSEROWS(_xlfn._xlws.FILTER(표2[],표2[DWG No.]=C938,""),1),6)</f>
        <v>#VALUE!</v>
      </c>
      <c r="S938" s="67" t="e" cm="1">
        <f t="array" ref="S938">_xlfn.CHOOSECOLS(_xlfn.CHOOSEROWS(_xlfn._xlws.FILTER(표2[],(표2[DWG No.]=C938)*(ISNUMBER(표2[Rev.])),""),1),6)</f>
        <v>#VALUE!</v>
      </c>
    </row>
    <row r="939" spans="1:19" ht="18" customHeight="1" x14ac:dyDescent="0.45">
      <c r="A939" s="64">
        <v>934</v>
      </c>
      <c r="B939" s="49" t="s">
        <v>2912</v>
      </c>
      <c r="C939" s="50" t="s">
        <v>3691</v>
      </c>
      <c r="D939" s="49">
        <v>155359</v>
      </c>
      <c r="E939" s="50" t="s">
        <v>3692</v>
      </c>
      <c r="F939" s="49" t="s">
        <v>6</v>
      </c>
      <c r="G939" s="48">
        <v>42909</v>
      </c>
      <c r="H939" s="48">
        <v>42939</v>
      </c>
      <c r="I939" s="48">
        <v>42968</v>
      </c>
      <c r="J939" s="49" t="s">
        <v>3103</v>
      </c>
      <c r="K939" s="58" t="s">
        <v>7</v>
      </c>
      <c r="L939" s="49">
        <v>0</v>
      </c>
      <c r="M939" s="48">
        <v>42969</v>
      </c>
      <c r="N939" s="49" t="s">
        <v>2917</v>
      </c>
      <c r="O939" s="49" t="s">
        <v>7</v>
      </c>
      <c r="P939" s="49">
        <v>0</v>
      </c>
      <c r="Q939" s="51" t="s">
        <v>5002</v>
      </c>
      <c r="R939" s="67" t="e" cm="1">
        <f t="array" ref="R939">_xlfn.CHOOSECOLS(_xlfn.CHOOSEROWS(_xlfn._xlws.FILTER(표2[],표2[DWG No.]=C939,""),1),6)</f>
        <v>#VALUE!</v>
      </c>
      <c r="S939" s="67" t="e" cm="1">
        <f t="array" ref="S939">_xlfn.CHOOSECOLS(_xlfn.CHOOSEROWS(_xlfn._xlws.FILTER(표2[],(표2[DWG No.]=C939)*(ISNUMBER(표2[Rev.])),""),1),6)</f>
        <v>#VALUE!</v>
      </c>
    </row>
    <row r="940" spans="1:19" ht="18" customHeight="1" x14ac:dyDescent="0.45">
      <c r="A940" s="64">
        <v>935</v>
      </c>
      <c r="B940" s="49" t="s">
        <v>2912</v>
      </c>
      <c r="C940" s="50" t="s">
        <v>3693</v>
      </c>
      <c r="D940" s="49">
        <v>155360</v>
      </c>
      <c r="E940" s="50" t="s">
        <v>3694</v>
      </c>
      <c r="F940" s="49" t="s">
        <v>6</v>
      </c>
      <c r="G940" s="48">
        <v>42909</v>
      </c>
      <c r="H940" s="48">
        <v>42939</v>
      </c>
      <c r="I940" s="48">
        <v>42968</v>
      </c>
      <c r="J940" s="49" t="s">
        <v>3103</v>
      </c>
      <c r="K940" s="58" t="s">
        <v>7</v>
      </c>
      <c r="L940" s="49">
        <v>0</v>
      </c>
      <c r="M940" s="48">
        <v>42969</v>
      </c>
      <c r="N940" s="49" t="s">
        <v>2917</v>
      </c>
      <c r="O940" s="49" t="s">
        <v>7</v>
      </c>
      <c r="P940" s="49">
        <v>0</v>
      </c>
      <c r="Q940" s="51" t="s">
        <v>5002</v>
      </c>
      <c r="R940" s="67" t="e" cm="1">
        <f t="array" ref="R940">_xlfn.CHOOSECOLS(_xlfn.CHOOSEROWS(_xlfn._xlws.FILTER(표2[],표2[DWG No.]=C940,""),1),6)</f>
        <v>#VALUE!</v>
      </c>
      <c r="S940" s="67" t="e" cm="1">
        <f t="array" ref="S940">_xlfn.CHOOSECOLS(_xlfn.CHOOSEROWS(_xlfn._xlws.FILTER(표2[],(표2[DWG No.]=C940)*(ISNUMBER(표2[Rev.])),""),1),6)</f>
        <v>#VALUE!</v>
      </c>
    </row>
    <row r="941" spans="1:19" ht="18" customHeight="1" x14ac:dyDescent="0.45">
      <c r="A941" s="64">
        <v>936</v>
      </c>
      <c r="B941" s="49" t="s">
        <v>2912</v>
      </c>
      <c r="C941" s="50" t="s">
        <v>3695</v>
      </c>
      <c r="D941" s="49">
        <v>155361</v>
      </c>
      <c r="E941" s="50" t="s">
        <v>3696</v>
      </c>
      <c r="F941" s="49" t="s">
        <v>6</v>
      </c>
      <c r="G941" s="48">
        <v>42909</v>
      </c>
      <c r="H941" s="48">
        <v>42939</v>
      </c>
      <c r="I941" s="48">
        <v>42965</v>
      </c>
      <c r="J941" s="49" t="s">
        <v>3070</v>
      </c>
      <c r="K941" s="58" t="s">
        <v>7</v>
      </c>
      <c r="L941" s="49">
        <v>0</v>
      </c>
      <c r="M941" s="48">
        <v>42969</v>
      </c>
      <c r="N941" s="49" t="s">
        <v>2917</v>
      </c>
      <c r="O941" s="49" t="s">
        <v>7</v>
      </c>
      <c r="P941" s="49">
        <v>0</v>
      </c>
      <c r="Q941" s="51" t="s">
        <v>5002</v>
      </c>
      <c r="R941" s="67" t="e" cm="1">
        <f t="array" ref="R941">_xlfn.CHOOSECOLS(_xlfn.CHOOSEROWS(_xlfn._xlws.FILTER(표2[],표2[DWG No.]=C941,""),1),6)</f>
        <v>#VALUE!</v>
      </c>
      <c r="S941" s="67" t="e" cm="1">
        <f t="array" ref="S941">_xlfn.CHOOSECOLS(_xlfn.CHOOSEROWS(_xlfn._xlws.FILTER(표2[],(표2[DWG No.]=C941)*(ISNUMBER(표2[Rev.])),""),1),6)</f>
        <v>#VALUE!</v>
      </c>
    </row>
    <row r="942" spans="1:19" ht="18" customHeight="1" x14ac:dyDescent="0.45">
      <c r="A942" s="64">
        <v>937</v>
      </c>
      <c r="B942" s="49" t="s">
        <v>2912</v>
      </c>
      <c r="C942" s="50" t="s">
        <v>3697</v>
      </c>
      <c r="D942" s="49">
        <v>155362</v>
      </c>
      <c r="E942" s="50" t="s">
        <v>3698</v>
      </c>
      <c r="F942" s="49" t="s">
        <v>6</v>
      </c>
      <c r="G942" s="48">
        <v>42906</v>
      </c>
      <c r="H942" s="48">
        <v>42936</v>
      </c>
      <c r="I942" s="48">
        <v>42965</v>
      </c>
      <c r="J942" s="49" t="s">
        <v>3070</v>
      </c>
      <c r="K942" s="58" t="s">
        <v>7</v>
      </c>
      <c r="L942" s="49">
        <v>0</v>
      </c>
      <c r="M942" s="48">
        <v>42969</v>
      </c>
      <c r="N942" s="49" t="s">
        <v>2917</v>
      </c>
      <c r="O942" s="49" t="s">
        <v>7</v>
      </c>
      <c r="P942" s="49">
        <v>0</v>
      </c>
      <c r="Q942" s="51" t="s">
        <v>5002</v>
      </c>
      <c r="R942" s="67" t="e" cm="1">
        <f t="array" ref="R942">_xlfn.CHOOSECOLS(_xlfn.CHOOSEROWS(_xlfn._xlws.FILTER(표2[],표2[DWG No.]=C942,""),1),6)</f>
        <v>#VALUE!</v>
      </c>
      <c r="S942" s="67" t="e" cm="1">
        <f t="array" ref="S942">_xlfn.CHOOSECOLS(_xlfn.CHOOSEROWS(_xlfn._xlws.FILTER(표2[],(표2[DWG No.]=C942)*(ISNUMBER(표2[Rev.])),""),1),6)</f>
        <v>#VALUE!</v>
      </c>
    </row>
    <row r="943" spans="1:19" ht="18" customHeight="1" x14ac:dyDescent="0.45">
      <c r="A943" s="64">
        <v>938</v>
      </c>
      <c r="B943" s="49" t="s">
        <v>2912</v>
      </c>
      <c r="C943" s="50" t="s">
        <v>3699</v>
      </c>
      <c r="D943" s="49">
        <v>175363</v>
      </c>
      <c r="E943" s="50" t="s">
        <v>3700</v>
      </c>
      <c r="F943" s="49" t="s">
        <v>6</v>
      </c>
      <c r="G943" s="48">
        <v>42906</v>
      </c>
      <c r="H943" s="48">
        <v>42936</v>
      </c>
      <c r="I943" s="48">
        <v>43024</v>
      </c>
      <c r="J943" s="49" t="s">
        <v>3249</v>
      </c>
      <c r="K943" s="58" t="s">
        <v>7</v>
      </c>
      <c r="L943" s="49">
        <v>0</v>
      </c>
      <c r="M943" s="48">
        <v>43025</v>
      </c>
      <c r="N943" s="49" t="s">
        <v>2917</v>
      </c>
      <c r="O943" s="49" t="s">
        <v>7</v>
      </c>
      <c r="P943" s="49">
        <v>0</v>
      </c>
      <c r="Q943" s="51" t="s">
        <v>5002</v>
      </c>
      <c r="R943" s="67" t="e" cm="1">
        <f t="array" ref="R943">_xlfn.CHOOSECOLS(_xlfn.CHOOSEROWS(_xlfn._xlws.FILTER(표2[],표2[DWG No.]=C943,""),1),6)</f>
        <v>#VALUE!</v>
      </c>
      <c r="S943" s="67" t="e" cm="1">
        <f t="array" ref="S943">_xlfn.CHOOSECOLS(_xlfn.CHOOSEROWS(_xlfn._xlws.FILTER(표2[],(표2[DWG No.]=C943)*(ISNUMBER(표2[Rev.])),""),1),6)</f>
        <v>#VALUE!</v>
      </c>
    </row>
    <row r="944" spans="1:19" ht="18" customHeight="1" x14ac:dyDescent="0.45">
      <c r="A944" s="64">
        <v>939</v>
      </c>
      <c r="B944" s="49" t="s">
        <v>2912</v>
      </c>
      <c r="C944" s="50" t="s">
        <v>3701</v>
      </c>
      <c r="D944" s="49">
        <v>175364</v>
      </c>
      <c r="E944" s="50" t="s">
        <v>3702</v>
      </c>
      <c r="F944" s="49" t="s">
        <v>6</v>
      </c>
      <c r="G944" s="48">
        <v>42906</v>
      </c>
      <c r="H944" s="48">
        <v>42936</v>
      </c>
      <c r="I944" s="48">
        <v>43024</v>
      </c>
      <c r="J944" s="49" t="s">
        <v>3249</v>
      </c>
      <c r="K944" s="58" t="s">
        <v>7</v>
      </c>
      <c r="L944" s="49">
        <v>0</v>
      </c>
      <c r="M944" s="48">
        <v>43025</v>
      </c>
      <c r="N944" s="49" t="s">
        <v>2917</v>
      </c>
      <c r="O944" s="49" t="s">
        <v>7</v>
      </c>
      <c r="P944" s="49">
        <v>0</v>
      </c>
      <c r="Q944" s="51" t="s">
        <v>5002</v>
      </c>
      <c r="R944" s="67" t="e" cm="1">
        <f t="array" ref="R944">_xlfn.CHOOSECOLS(_xlfn.CHOOSEROWS(_xlfn._xlws.FILTER(표2[],표2[DWG No.]=C944,""),1),6)</f>
        <v>#VALUE!</v>
      </c>
      <c r="S944" s="67" t="e" cm="1">
        <f t="array" ref="S944">_xlfn.CHOOSECOLS(_xlfn.CHOOSEROWS(_xlfn._xlws.FILTER(표2[],(표2[DWG No.]=C944)*(ISNUMBER(표2[Rev.])),""),1),6)</f>
        <v>#VALUE!</v>
      </c>
    </row>
    <row r="945" spans="1:19" ht="18" customHeight="1" x14ac:dyDescent="0.45">
      <c r="A945" s="64">
        <v>940</v>
      </c>
      <c r="B945" s="49" t="s">
        <v>2912</v>
      </c>
      <c r="C945" s="50" t="s">
        <v>3703</v>
      </c>
      <c r="D945" s="49">
        <v>175365</v>
      </c>
      <c r="E945" s="50" t="s">
        <v>3704</v>
      </c>
      <c r="F945" s="49" t="s">
        <v>6</v>
      </c>
      <c r="G945" s="48">
        <v>42906</v>
      </c>
      <c r="H945" s="48">
        <v>42936</v>
      </c>
      <c r="I945" s="48">
        <v>43024</v>
      </c>
      <c r="J945" s="49" t="s">
        <v>3249</v>
      </c>
      <c r="K945" s="58" t="s">
        <v>7</v>
      </c>
      <c r="L945" s="49">
        <v>0</v>
      </c>
      <c r="M945" s="48">
        <v>43025</v>
      </c>
      <c r="N945" s="49" t="s">
        <v>2917</v>
      </c>
      <c r="O945" s="49" t="s">
        <v>7</v>
      </c>
      <c r="P945" s="49">
        <v>0</v>
      </c>
      <c r="Q945" s="51" t="s">
        <v>5002</v>
      </c>
      <c r="R945" s="67" t="e" cm="1">
        <f t="array" ref="R945">_xlfn.CHOOSECOLS(_xlfn.CHOOSEROWS(_xlfn._xlws.FILTER(표2[],표2[DWG No.]=C945,""),1),6)</f>
        <v>#VALUE!</v>
      </c>
      <c r="S945" s="67" t="e" cm="1">
        <f t="array" ref="S945">_xlfn.CHOOSECOLS(_xlfn.CHOOSEROWS(_xlfn._xlws.FILTER(표2[],(표2[DWG No.]=C945)*(ISNUMBER(표2[Rev.])),""),1),6)</f>
        <v>#VALUE!</v>
      </c>
    </row>
    <row r="946" spans="1:19" ht="18" customHeight="1" x14ac:dyDescent="0.45">
      <c r="A946" s="64">
        <v>941</v>
      </c>
      <c r="B946" s="49" t="s">
        <v>2912</v>
      </c>
      <c r="C946" s="50" t="s">
        <v>3705</v>
      </c>
      <c r="D946" s="49">
        <v>175366</v>
      </c>
      <c r="E946" s="50" t="s">
        <v>3706</v>
      </c>
      <c r="F946" s="49" t="s">
        <v>6</v>
      </c>
      <c r="G946" s="48">
        <v>42906</v>
      </c>
      <c r="H946" s="48">
        <v>42936</v>
      </c>
      <c r="I946" s="48">
        <v>43024</v>
      </c>
      <c r="J946" s="49" t="s">
        <v>3249</v>
      </c>
      <c r="K946" s="58" t="s">
        <v>7</v>
      </c>
      <c r="L946" s="49">
        <v>0</v>
      </c>
      <c r="M946" s="48">
        <v>43025</v>
      </c>
      <c r="N946" s="49" t="s">
        <v>2917</v>
      </c>
      <c r="O946" s="49" t="s">
        <v>7</v>
      </c>
      <c r="P946" s="49">
        <v>0</v>
      </c>
      <c r="Q946" s="51" t="s">
        <v>5002</v>
      </c>
      <c r="R946" s="67" t="e" cm="1">
        <f t="array" ref="R946">_xlfn.CHOOSECOLS(_xlfn.CHOOSEROWS(_xlfn._xlws.FILTER(표2[],표2[DWG No.]=C946,""),1),6)</f>
        <v>#VALUE!</v>
      </c>
      <c r="S946" s="67" t="e" cm="1">
        <f t="array" ref="S946">_xlfn.CHOOSECOLS(_xlfn.CHOOSEROWS(_xlfn._xlws.FILTER(표2[],(표2[DWG No.]=C946)*(ISNUMBER(표2[Rev.])),""),1),6)</f>
        <v>#VALUE!</v>
      </c>
    </row>
    <row r="947" spans="1:19" ht="18" customHeight="1" x14ac:dyDescent="0.45">
      <c r="A947" s="64">
        <v>942</v>
      </c>
      <c r="B947" s="49" t="s">
        <v>2912</v>
      </c>
      <c r="C947" s="50" t="s">
        <v>3707</v>
      </c>
      <c r="D947" s="49">
        <v>155367</v>
      </c>
      <c r="E947" s="50" t="s">
        <v>3708</v>
      </c>
      <c r="F947" s="49" t="s">
        <v>6</v>
      </c>
      <c r="G947" s="48">
        <v>42905</v>
      </c>
      <c r="H947" s="48">
        <v>42935</v>
      </c>
      <c r="I947" s="48">
        <v>42991</v>
      </c>
      <c r="J947" s="49" t="s">
        <v>3070</v>
      </c>
      <c r="K947" s="58" t="s">
        <v>7</v>
      </c>
      <c r="L947" s="49">
        <v>0</v>
      </c>
      <c r="M947" s="48">
        <v>42991</v>
      </c>
      <c r="N947" s="49" t="s">
        <v>2917</v>
      </c>
      <c r="O947" s="49" t="s">
        <v>7</v>
      </c>
      <c r="P947" s="49">
        <v>0</v>
      </c>
      <c r="Q947" s="51" t="s">
        <v>5002</v>
      </c>
      <c r="R947" s="67" t="e" cm="1">
        <f t="array" ref="R947">_xlfn.CHOOSECOLS(_xlfn.CHOOSEROWS(_xlfn._xlws.FILTER(표2[],표2[DWG No.]=C947,""),1),6)</f>
        <v>#VALUE!</v>
      </c>
      <c r="S947" s="67" t="e" cm="1">
        <f t="array" ref="S947">_xlfn.CHOOSECOLS(_xlfn.CHOOSEROWS(_xlfn._xlws.FILTER(표2[],(표2[DWG No.]=C947)*(ISNUMBER(표2[Rev.])),""),1),6)</f>
        <v>#VALUE!</v>
      </c>
    </row>
    <row r="948" spans="1:19" ht="18" customHeight="1" x14ac:dyDescent="0.45">
      <c r="A948" s="64">
        <v>943</v>
      </c>
      <c r="B948" s="49" t="s">
        <v>2912</v>
      </c>
      <c r="C948" s="50" t="s">
        <v>3709</v>
      </c>
      <c r="D948" s="49">
        <v>155369</v>
      </c>
      <c r="E948" s="50" t="s">
        <v>3710</v>
      </c>
      <c r="F948" s="49" t="s">
        <v>6</v>
      </c>
      <c r="G948" s="48">
        <v>42905</v>
      </c>
      <c r="H948" s="48">
        <v>42935</v>
      </c>
      <c r="I948" s="48">
        <v>42965</v>
      </c>
      <c r="J948" s="49" t="s">
        <v>3070</v>
      </c>
      <c r="K948" s="58" t="s">
        <v>7</v>
      </c>
      <c r="L948" s="49">
        <v>0</v>
      </c>
      <c r="M948" s="48">
        <v>42969</v>
      </c>
      <c r="N948" s="49" t="s">
        <v>2917</v>
      </c>
      <c r="O948" s="49" t="s">
        <v>7</v>
      </c>
      <c r="P948" s="49">
        <v>0</v>
      </c>
      <c r="Q948" s="51" t="s">
        <v>5002</v>
      </c>
      <c r="R948" s="67" t="e" cm="1">
        <f t="array" ref="R948">_xlfn.CHOOSECOLS(_xlfn.CHOOSEROWS(_xlfn._xlws.FILTER(표2[],표2[DWG No.]=C948,""),1),6)</f>
        <v>#VALUE!</v>
      </c>
      <c r="S948" s="67" t="e" cm="1">
        <f t="array" ref="S948">_xlfn.CHOOSECOLS(_xlfn.CHOOSEROWS(_xlfn._xlws.FILTER(표2[],(표2[DWG No.]=C948)*(ISNUMBER(표2[Rev.])),""),1),6)</f>
        <v>#VALUE!</v>
      </c>
    </row>
    <row r="949" spans="1:19" ht="18" customHeight="1" x14ac:dyDescent="0.45">
      <c r="A949" s="64">
        <v>944</v>
      </c>
      <c r="B949" s="49" t="s">
        <v>2912</v>
      </c>
      <c r="C949" s="50" t="s">
        <v>3711</v>
      </c>
      <c r="D949" s="49">
        <v>155370</v>
      </c>
      <c r="E949" s="50" t="s">
        <v>3712</v>
      </c>
      <c r="F949" s="49" t="s">
        <v>6</v>
      </c>
      <c r="G949" s="48">
        <v>42905</v>
      </c>
      <c r="H949" s="48">
        <v>42935</v>
      </c>
      <c r="I949" s="48">
        <v>42965</v>
      </c>
      <c r="J949" s="49" t="s">
        <v>3070</v>
      </c>
      <c r="K949" s="58" t="s">
        <v>7</v>
      </c>
      <c r="L949" s="49">
        <v>0</v>
      </c>
      <c r="M949" s="48">
        <v>42969</v>
      </c>
      <c r="N949" s="49" t="s">
        <v>2917</v>
      </c>
      <c r="O949" s="49" t="s">
        <v>7</v>
      </c>
      <c r="P949" s="49">
        <v>0</v>
      </c>
      <c r="Q949" s="51" t="s">
        <v>5002</v>
      </c>
      <c r="R949" s="67" t="e" cm="1">
        <f t="array" ref="R949">_xlfn.CHOOSECOLS(_xlfn.CHOOSEROWS(_xlfn._xlws.FILTER(표2[],표2[DWG No.]=C949,""),1),6)</f>
        <v>#VALUE!</v>
      </c>
      <c r="S949" s="67" t="e" cm="1">
        <f t="array" ref="S949">_xlfn.CHOOSECOLS(_xlfn.CHOOSEROWS(_xlfn._xlws.FILTER(표2[],(표2[DWG No.]=C949)*(ISNUMBER(표2[Rev.])),""),1),6)</f>
        <v>#VALUE!</v>
      </c>
    </row>
    <row r="950" spans="1:19" ht="18" customHeight="1" x14ac:dyDescent="0.45">
      <c r="A950" s="64">
        <v>945</v>
      </c>
      <c r="B950" s="49" t="s">
        <v>2912</v>
      </c>
      <c r="C950" s="50" t="s">
        <v>3713</v>
      </c>
      <c r="D950" s="49">
        <v>155371</v>
      </c>
      <c r="E950" s="50" t="s">
        <v>3714</v>
      </c>
      <c r="F950" s="49" t="s">
        <v>6</v>
      </c>
      <c r="G950" s="48">
        <v>42909</v>
      </c>
      <c r="H950" s="48">
        <v>42939</v>
      </c>
      <c r="I950" s="48">
        <v>43031</v>
      </c>
      <c r="J950" s="49" t="s">
        <v>3145</v>
      </c>
      <c r="K950" s="58" t="s">
        <v>7</v>
      </c>
      <c r="L950" s="49">
        <v>0</v>
      </c>
      <c r="M950" s="48">
        <v>43032</v>
      </c>
      <c r="N950" s="49" t="s">
        <v>2917</v>
      </c>
      <c r="O950" s="49" t="s">
        <v>7</v>
      </c>
      <c r="P950" s="49">
        <v>0</v>
      </c>
      <c r="Q950" s="51" t="s">
        <v>5002</v>
      </c>
      <c r="R950" s="67" t="e" cm="1">
        <f t="array" ref="R950">_xlfn.CHOOSECOLS(_xlfn.CHOOSEROWS(_xlfn._xlws.FILTER(표2[],표2[DWG No.]=C950,""),1),6)</f>
        <v>#VALUE!</v>
      </c>
      <c r="S950" s="67" t="e" cm="1">
        <f t="array" ref="S950">_xlfn.CHOOSECOLS(_xlfn.CHOOSEROWS(_xlfn._xlws.FILTER(표2[],(표2[DWG No.]=C950)*(ISNUMBER(표2[Rev.])),""),1),6)</f>
        <v>#VALUE!</v>
      </c>
    </row>
    <row r="951" spans="1:19" ht="18" customHeight="1" x14ac:dyDescent="0.45">
      <c r="A951" s="64">
        <v>946</v>
      </c>
      <c r="B951" s="49" t="s">
        <v>2912</v>
      </c>
      <c r="C951" s="50" t="s">
        <v>3715</v>
      </c>
      <c r="D951" s="49">
        <v>175372</v>
      </c>
      <c r="E951" s="50" t="s">
        <v>3716</v>
      </c>
      <c r="F951" s="49" t="s">
        <v>6</v>
      </c>
      <c r="G951" s="48">
        <v>42909</v>
      </c>
      <c r="H951" s="48">
        <v>42939</v>
      </c>
      <c r="I951" s="48">
        <v>43539</v>
      </c>
      <c r="J951" s="49" t="s">
        <v>3717</v>
      </c>
      <c r="K951" s="58" t="s">
        <v>7</v>
      </c>
      <c r="L951" s="49">
        <v>1</v>
      </c>
      <c r="M951" s="48">
        <v>43539</v>
      </c>
      <c r="N951" s="49" t="s">
        <v>3275</v>
      </c>
      <c r="O951" s="49" t="s">
        <v>7</v>
      </c>
      <c r="P951" s="49">
        <v>1</v>
      </c>
      <c r="Q951" s="51" t="s">
        <v>5002</v>
      </c>
      <c r="R951" s="67" t="e" cm="1">
        <f t="array" ref="R951">_xlfn.CHOOSECOLS(_xlfn.CHOOSEROWS(_xlfn._xlws.FILTER(표2[],표2[DWG No.]=C951,""),1),6)</f>
        <v>#VALUE!</v>
      </c>
      <c r="S951" s="67" t="e" cm="1">
        <f t="array" ref="S951">_xlfn.CHOOSECOLS(_xlfn.CHOOSEROWS(_xlfn._xlws.FILTER(표2[],(표2[DWG No.]=C951)*(ISNUMBER(표2[Rev.])),""),1),6)</f>
        <v>#VALUE!</v>
      </c>
    </row>
    <row r="952" spans="1:19" ht="18" customHeight="1" x14ac:dyDescent="0.45">
      <c r="A952" s="64">
        <v>947</v>
      </c>
      <c r="B952" s="49" t="s">
        <v>2912</v>
      </c>
      <c r="C952" s="50" t="s">
        <v>3718</v>
      </c>
      <c r="D952" s="49">
        <v>175373</v>
      </c>
      <c r="E952" s="50" t="s">
        <v>3719</v>
      </c>
      <c r="F952" s="49" t="s">
        <v>6</v>
      </c>
      <c r="G952" s="48">
        <v>42909</v>
      </c>
      <c r="H952" s="48">
        <v>42939</v>
      </c>
      <c r="I952" s="48">
        <v>43069</v>
      </c>
      <c r="J952" s="49" t="s">
        <v>3549</v>
      </c>
      <c r="K952" s="58" t="s">
        <v>7</v>
      </c>
      <c r="L952" s="49">
        <v>0</v>
      </c>
      <c r="M952" s="48">
        <v>43069</v>
      </c>
      <c r="N952" s="49" t="s">
        <v>2917</v>
      </c>
      <c r="O952" s="49" t="s">
        <v>7</v>
      </c>
      <c r="P952" s="49">
        <v>0</v>
      </c>
      <c r="Q952" s="51" t="s">
        <v>5002</v>
      </c>
      <c r="R952" s="67" t="e" cm="1">
        <f t="array" ref="R952">_xlfn.CHOOSECOLS(_xlfn.CHOOSEROWS(_xlfn._xlws.FILTER(표2[],표2[DWG No.]=C952,""),1),6)</f>
        <v>#VALUE!</v>
      </c>
      <c r="S952" s="67" t="e" cm="1">
        <f t="array" ref="S952">_xlfn.CHOOSECOLS(_xlfn.CHOOSEROWS(_xlfn._xlws.FILTER(표2[],(표2[DWG No.]=C952)*(ISNUMBER(표2[Rev.])),""),1),6)</f>
        <v>#VALUE!</v>
      </c>
    </row>
    <row r="953" spans="1:19" ht="18" customHeight="1" x14ac:dyDescent="0.45">
      <c r="A953" s="64">
        <v>948</v>
      </c>
      <c r="B953" s="49" t="s">
        <v>2912</v>
      </c>
      <c r="C953" s="50" t="s">
        <v>3720</v>
      </c>
      <c r="D953" s="49">
        <v>175376</v>
      </c>
      <c r="E953" s="50" t="s">
        <v>3721</v>
      </c>
      <c r="F953" s="49" t="s">
        <v>6</v>
      </c>
      <c r="G953" s="48">
        <v>42923</v>
      </c>
      <c r="H953" s="48">
        <v>42922</v>
      </c>
      <c r="I953" s="48">
        <v>43069</v>
      </c>
      <c r="J953" s="49" t="s">
        <v>3549</v>
      </c>
      <c r="K953" s="58" t="s">
        <v>7</v>
      </c>
      <c r="L953" s="49">
        <v>0</v>
      </c>
      <c r="M953" s="48">
        <v>43069</v>
      </c>
      <c r="N953" s="49" t="s">
        <v>2917</v>
      </c>
      <c r="O953" s="49" t="s">
        <v>7</v>
      </c>
      <c r="P953" s="49">
        <v>0</v>
      </c>
      <c r="Q953" s="51" t="s">
        <v>5002</v>
      </c>
      <c r="R953" s="67" t="e" cm="1">
        <f t="array" ref="R953">_xlfn.CHOOSECOLS(_xlfn.CHOOSEROWS(_xlfn._xlws.FILTER(표2[],표2[DWG No.]=C953,""),1),6)</f>
        <v>#VALUE!</v>
      </c>
      <c r="S953" s="67" t="e" cm="1">
        <f t="array" ref="S953">_xlfn.CHOOSECOLS(_xlfn.CHOOSEROWS(_xlfn._xlws.FILTER(표2[],(표2[DWG No.]=C953)*(ISNUMBER(표2[Rev.])),""),1),6)</f>
        <v>#VALUE!</v>
      </c>
    </row>
    <row r="954" spans="1:19" ht="18" customHeight="1" x14ac:dyDescent="0.45">
      <c r="A954" s="64">
        <v>949</v>
      </c>
      <c r="B954" s="49" t="s">
        <v>2912</v>
      </c>
      <c r="C954" s="50" t="s">
        <v>3722</v>
      </c>
      <c r="D954" s="49">
        <v>115377</v>
      </c>
      <c r="E954" s="50" t="s">
        <v>3723</v>
      </c>
      <c r="F954" s="49" t="s">
        <v>6</v>
      </c>
      <c r="G954" s="48">
        <v>42923</v>
      </c>
      <c r="H954" s="48">
        <v>42922</v>
      </c>
      <c r="I954" s="48">
        <v>43473</v>
      </c>
      <c r="J954" s="49" t="s">
        <v>3724</v>
      </c>
      <c r="K954" s="58" t="s">
        <v>7</v>
      </c>
      <c r="L954" s="49">
        <v>1</v>
      </c>
      <c r="M954" s="48">
        <v>43480</v>
      </c>
      <c r="N954" s="49" t="s">
        <v>3153</v>
      </c>
      <c r="O954" s="49" t="s">
        <v>7</v>
      </c>
      <c r="P954" s="49"/>
      <c r="Q954" s="51" t="s">
        <v>5002</v>
      </c>
      <c r="R954" s="67" t="e" cm="1">
        <f t="array" ref="R954">_xlfn.CHOOSECOLS(_xlfn.CHOOSEROWS(_xlfn._xlws.FILTER(표2[],표2[DWG No.]=C954,""),1),6)</f>
        <v>#VALUE!</v>
      </c>
      <c r="S954" s="67" t="e" cm="1">
        <f t="array" ref="S954">_xlfn.CHOOSECOLS(_xlfn.CHOOSEROWS(_xlfn._xlws.FILTER(표2[],(표2[DWG No.]=C954)*(ISNUMBER(표2[Rev.])),""),1),6)</f>
        <v>#VALUE!</v>
      </c>
    </row>
    <row r="955" spans="1:19" ht="18" customHeight="1" x14ac:dyDescent="0.45">
      <c r="A955" s="64">
        <v>950</v>
      </c>
      <c r="B955" s="49" t="s">
        <v>2912</v>
      </c>
      <c r="C955" s="50" t="s">
        <v>3725</v>
      </c>
      <c r="D955" s="49">
        <v>115378</v>
      </c>
      <c r="E955" s="50" t="s">
        <v>3726</v>
      </c>
      <c r="F955" s="49" t="s">
        <v>6</v>
      </c>
      <c r="G955" s="48">
        <v>42923</v>
      </c>
      <c r="H955" s="48">
        <v>42922</v>
      </c>
      <c r="I955" s="48">
        <v>42963</v>
      </c>
      <c r="J955" s="49" t="s">
        <v>3727</v>
      </c>
      <c r="K955" s="58" t="s">
        <v>7</v>
      </c>
      <c r="L955" s="49">
        <v>0</v>
      </c>
      <c r="M955" s="48">
        <v>42963</v>
      </c>
      <c r="N955" s="49" t="s">
        <v>2917</v>
      </c>
      <c r="O955" s="49" t="s">
        <v>7</v>
      </c>
      <c r="P955" s="49">
        <v>0</v>
      </c>
      <c r="Q955" s="51" t="s">
        <v>5002</v>
      </c>
      <c r="R955" s="67" t="e" cm="1">
        <f t="array" ref="R955">_xlfn.CHOOSECOLS(_xlfn.CHOOSEROWS(_xlfn._xlws.FILTER(표2[],표2[DWG No.]=C955,""),1),6)</f>
        <v>#VALUE!</v>
      </c>
      <c r="S955" s="67" t="e" cm="1">
        <f t="array" ref="S955">_xlfn.CHOOSECOLS(_xlfn.CHOOSEROWS(_xlfn._xlws.FILTER(표2[],(표2[DWG No.]=C955)*(ISNUMBER(표2[Rev.])),""),1),6)</f>
        <v>#VALUE!</v>
      </c>
    </row>
    <row r="956" spans="1:19" ht="18" customHeight="1" x14ac:dyDescent="0.45">
      <c r="A956" s="64">
        <v>951</v>
      </c>
      <c r="B956" s="49" t="s">
        <v>2912</v>
      </c>
      <c r="C956" s="50" t="s">
        <v>3728</v>
      </c>
      <c r="D956" s="49">
        <v>115379</v>
      </c>
      <c r="E956" s="50" t="s">
        <v>3729</v>
      </c>
      <c r="F956" s="49" t="s">
        <v>6</v>
      </c>
      <c r="G956" s="48">
        <v>42923</v>
      </c>
      <c r="H956" s="48">
        <v>42922</v>
      </c>
      <c r="I956" s="48">
        <v>42843</v>
      </c>
      <c r="J956" s="49" t="s">
        <v>3730</v>
      </c>
      <c r="K956" s="58" t="s">
        <v>7</v>
      </c>
      <c r="L956" s="49">
        <v>0</v>
      </c>
      <c r="M956" s="48">
        <v>42846</v>
      </c>
      <c r="N956" s="49" t="s">
        <v>3377</v>
      </c>
      <c r="O956" s="49" t="s">
        <v>7</v>
      </c>
      <c r="P956" s="49">
        <v>0</v>
      </c>
      <c r="Q956" s="49" t="s">
        <v>2702</v>
      </c>
      <c r="R956" s="67" t="e" cm="1">
        <f t="array" ref="R956">_xlfn.CHOOSECOLS(_xlfn.CHOOSEROWS(_xlfn._xlws.FILTER(표2[],표2[DWG No.]=C956,""),1),6)</f>
        <v>#VALUE!</v>
      </c>
      <c r="S956" s="67" t="e" cm="1">
        <f t="array" ref="S956">_xlfn.CHOOSECOLS(_xlfn.CHOOSEROWS(_xlfn._xlws.FILTER(표2[],(표2[DWG No.]=C956)*(ISNUMBER(표2[Rev.])),""),1),6)</f>
        <v>#VALUE!</v>
      </c>
    </row>
    <row r="957" spans="1:19" ht="18" customHeight="1" x14ac:dyDescent="0.45">
      <c r="A957" s="64">
        <v>952</v>
      </c>
      <c r="B957" s="49" t="s">
        <v>2912</v>
      </c>
      <c r="C957" s="50" t="s">
        <v>3731</v>
      </c>
      <c r="D957" s="49">
        <v>115380</v>
      </c>
      <c r="E957" s="50" t="s">
        <v>3732</v>
      </c>
      <c r="F957" s="49" t="s">
        <v>6</v>
      </c>
      <c r="G957" s="48">
        <v>42923</v>
      </c>
      <c r="H957" s="48">
        <v>42922</v>
      </c>
      <c r="I957" s="48">
        <v>42963</v>
      </c>
      <c r="J957" s="49" t="s">
        <v>3727</v>
      </c>
      <c r="K957" s="58" t="s">
        <v>7</v>
      </c>
      <c r="L957" s="49">
        <v>0</v>
      </c>
      <c r="M957" s="48">
        <v>42963</v>
      </c>
      <c r="N957" s="49" t="s">
        <v>2917</v>
      </c>
      <c r="O957" s="49" t="s">
        <v>7</v>
      </c>
      <c r="P957" s="49">
        <v>0</v>
      </c>
      <c r="Q957" s="51" t="s">
        <v>5002</v>
      </c>
      <c r="R957" s="67" t="e" cm="1">
        <f t="array" ref="R957">_xlfn.CHOOSECOLS(_xlfn.CHOOSEROWS(_xlfn._xlws.FILTER(표2[],표2[DWG No.]=C957,""),1),6)</f>
        <v>#VALUE!</v>
      </c>
      <c r="S957" s="67" t="e" cm="1">
        <f t="array" ref="S957">_xlfn.CHOOSECOLS(_xlfn.CHOOSEROWS(_xlfn._xlws.FILTER(표2[],(표2[DWG No.]=C957)*(ISNUMBER(표2[Rev.])),""),1),6)</f>
        <v>#VALUE!</v>
      </c>
    </row>
    <row r="958" spans="1:19" ht="18" customHeight="1" x14ac:dyDescent="0.45">
      <c r="A958" s="64">
        <v>953</v>
      </c>
      <c r="B958" s="49" t="s">
        <v>2912</v>
      </c>
      <c r="C958" s="50" t="s">
        <v>3733</v>
      </c>
      <c r="D958" s="49">
        <v>115381</v>
      </c>
      <c r="E958" s="50" t="s">
        <v>3734</v>
      </c>
      <c r="F958" s="49" t="s">
        <v>6</v>
      </c>
      <c r="G958" s="48">
        <v>42814</v>
      </c>
      <c r="H958" s="48">
        <v>42844</v>
      </c>
      <c r="I958" s="48">
        <v>43066</v>
      </c>
      <c r="J958" s="49" t="s">
        <v>2963</v>
      </c>
      <c r="K958" s="58" t="s">
        <v>7</v>
      </c>
      <c r="L958" s="49">
        <v>0</v>
      </c>
      <c r="M958" s="48">
        <v>43066</v>
      </c>
      <c r="N958" s="49" t="s">
        <v>2917</v>
      </c>
      <c r="O958" s="49" t="s">
        <v>7</v>
      </c>
      <c r="P958" s="49">
        <v>0</v>
      </c>
      <c r="Q958" s="51" t="s">
        <v>5002</v>
      </c>
      <c r="R958" s="67" t="e" cm="1">
        <f t="array" ref="R958">_xlfn.CHOOSECOLS(_xlfn.CHOOSEROWS(_xlfn._xlws.FILTER(표2[],표2[DWG No.]=C958,""),1),6)</f>
        <v>#VALUE!</v>
      </c>
      <c r="S958" s="67" t="e" cm="1">
        <f t="array" ref="S958">_xlfn.CHOOSECOLS(_xlfn.CHOOSEROWS(_xlfn._xlws.FILTER(표2[],(표2[DWG No.]=C958)*(ISNUMBER(표2[Rev.])),""),1),6)</f>
        <v>#VALUE!</v>
      </c>
    </row>
    <row r="959" spans="1:19" ht="18" customHeight="1" x14ac:dyDescent="0.45">
      <c r="A959" s="64">
        <v>954</v>
      </c>
      <c r="B959" s="49" t="s">
        <v>2912</v>
      </c>
      <c r="C959" s="50" t="s">
        <v>3735</v>
      </c>
      <c r="D959" s="49">
        <v>115382</v>
      </c>
      <c r="E959" s="50" t="s">
        <v>3736</v>
      </c>
      <c r="F959" s="49" t="s">
        <v>6</v>
      </c>
      <c r="G959" s="48">
        <v>42814</v>
      </c>
      <c r="H959" s="48">
        <v>42844</v>
      </c>
      <c r="I959" s="48">
        <v>43539</v>
      </c>
      <c r="J959" s="49" t="s">
        <v>3737</v>
      </c>
      <c r="K959" s="58" t="s">
        <v>7</v>
      </c>
      <c r="L959" s="49">
        <v>1</v>
      </c>
      <c r="M959" s="48">
        <v>43539</v>
      </c>
      <c r="N959" s="49" t="s">
        <v>3275</v>
      </c>
      <c r="O959" s="49" t="s">
        <v>7</v>
      </c>
      <c r="P959" s="49">
        <v>1</v>
      </c>
      <c r="Q959" s="51" t="s">
        <v>5002</v>
      </c>
      <c r="R959" s="67" t="e" cm="1">
        <f t="array" ref="R959">_xlfn.CHOOSECOLS(_xlfn.CHOOSEROWS(_xlfn._xlws.FILTER(표2[],표2[DWG No.]=C959,""),1),6)</f>
        <v>#VALUE!</v>
      </c>
      <c r="S959" s="67" t="e" cm="1">
        <f t="array" ref="S959">_xlfn.CHOOSECOLS(_xlfn.CHOOSEROWS(_xlfn._xlws.FILTER(표2[],(표2[DWG No.]=C959)*(ISNUMBER(표2[Rev.])),""),1),6)</f>
        <v>#VALUE!</v>
      </c>
    </row>
    <row r="960" spans="1:19" ht="18" customHeight="1" x14ac:dyDescent="0.45">
      <c r="A960" s="64">
        <v>955</v>
      </c>
      <c r="B960" s="49" t="s">
        <v>2912</v>
      </c>
      <c r="C960" s="50" t="s">
        <v>3738</v>
      </c>
      <c r="D960" s="49">
        <v>115383</v>
      </c>
      <c r="E960" s="50" t="s">
        <v>3739</v>
      </c>
      <c r="F960" s="49" t="s">
        <v>6</v>
      </c>
      <c r="G960" s="48">
        <v>42814</v>
      </c>
      <c r="H960" s="48">
        <v>42844</v>
      </c>
      <c r="I960" s="48">
        <v>42983</v>
      </c>
      <c r="J960" s="49" t="s">
        <v>2916</v>
      </c>
      <c r="K960" s="58" t="s">
        <v>7</v>
      </c>
      <c r="L960" s="49">
        <v>0</v>
      </c>
      <c r="M960" s="48">
        <v>42984</v>
      </c>
      <c r="N960" s="49" t="s">
        <v>2917</v>
      </c>
      <c r="O960" s="49" t="s">
        <v>7</v>
      </c>
      <c r="P960" s="49">
        <v>0</v>
      </c>
      <c r="Q960" s="51" t="s">
        <v>5002</v>
      </c>
      <c r="R960" s="67" t="e" cm="1">
        <f t="array" ref="R960">_xlfn.CHOOSECOLS(_xlfn.CHOOSEROWS(_xlfn._xlws.FILTER(표2[],표2[DWG No.]=C960,""),1),6)</f>
        <v>#VALUE!</v>
      </c>
      <c r="S960" s="67" t="e" cm="1">
        <f t="array" ref="S960">_xlfn.CHOOSECOLS(_xlfn.CHOOSEROWS(_xlfn._xlws.FILTER(표2[],(표2[DWG No.]=C960)*(ISNUMBER(표2[Rev.])),""),1),6)</f>
        <v>#VALUE!</v>
      </c>
    </row>
    <row r="961" spans="1:19" ht="18" customHeight="1" x14ac:dyDescent="0.45">
      <c r="A961" s="64">
        <v>956</v>
      </c>
      <c r="B961" s="49" t="s">
        <v>2912</v>
      </c>
      <c r="C961" s="50" t="s">
        <v>3740</v>
      </c>
      <c r="D961" s="49">
        <v>115384</v>
      </c>
      <c r="E961" s="50" t="s">
        <v>3741</v>
      </c>
      <c r="F961" s="49" t="s">
        <v>6</v>
      </c>
      <c r="G961" s="48">
        <v>42814</v>
      </c>
      <c r="H961" s="48">
        <v>42844</v>
      </c>
      <c r="I961" s="48">
        <v>42963</v>
      </c>
      <c r="J961" s="49" t="s">
        <v>3727</v>
      </c>
      <c r="K961" s="58" t="s">
        <v>7</v>
      </c>
      <c r="L961" s="49">
        <v>0</v>
      </c>
      <c r="M961" s="48">
        <v>42963</v>
      </c>
      <c r="N961" s="49" t="s">
        <v>2917</v>
      </c>
      <c r="O961" s="49" t="s">
        <v>7</v>
      </c>
      <c r="P961" s="49">
        <v>0</v>
      </c>
      <c r="Q961" s="51" t="s">
        <v>5002</v>
      </c>
      <c r="R961" s="67" t="e" cm="1">
        <f t="array" ref="R961">_xlfn.CHOOSECOLS(_xlfn.CHOOSEROWS(_xlfn._xlws.FILTER(표2[],표2[DWG No.]=C961,""),1),6)</f>
        <v>#VALUE!</v>
      </c>
      <c r="S961" s="67" t="e" cm="1">
        <f t="array" ref="S961">_xlfn.CHOOSECOLS(_xlfn.CHOOSEROWS(_xlfn._xlws.FILTER(표2[],(표2[DWG No.]=C961)*(ISNUMBER(표2[Rev.])),""),1),6)</f>
        <v>#VALUE!</v>
      </c>
    </row>
    <row r="962" spans="1:19" ht="18" customHeight="1" x14ac:dyDescent="0.45">
      <c r="A962" s="64">
        <v>957</v>
      </c>
      <c r="B962" s="49" t="s">
        <v>2912</v>
      </c>
      <c r="C962" s="50" t="s">
        <v>3742</v>
      </c>
      <c r="D962" s="49">
        <v>115385</v>
      </c>
      <c r="E962" s="50" t="s">
        <v>3743</v>
      </c>
      <c r="F962" s="49" t="s">
        <v>6</v>
      </c>
      <c r="G962" s="48">
        <v>42814</v>
      </c>
      <c r="H962" s="48">
        <v>42844</v>
      </c>
      <c r="I962" s="48">
        <v>42963</v>
      </c>
      <c r="J962" s="49" t="s">
        <v>3727</v>
      </c>
      <c r="K962" s="58" t="s">
        <v>7</v>
      </c>
      <c r="L962" s="49">
        <v>0</v>
      </c>
      <c r="M962" s="48">
        <v>42963</v>
      </c>
      <c r="N962" s="49" t="s">
        <v>2917</v>
      </c>
      <c r="O962" s="49" t="s">
        <v>7</v>
      </c>
      <c r="P962" s="49">
        <v>0</v>
      </c>
      <c r="Q962" s="51" t="s">
        <v>5002</v>
      </c>
      <c r="R962" s="67" t="e" cm="1">
        <f t="array" ref="R962">_xlfn.CHOOSECOLS(_xlfn.CHOOSEROWS(_xlfn._xlws.FILTER(표2[],표2[DWG No.]=C962,""),1),6)</f>
        <v>#VALUE!</v>
      </c>
      <c r="S962" s="67" t="e" cm="1">
        <f t="array" ref="S962">_xlfn.CHOOSECOLS(_xlfn.CHOOSEROWS(_xlfn._xlws.FILTER(표2[],(표2[DWG No.]=C962)*(ISNUMBER(표2[Rev.])),""),1),6)</f>
        <v>#VALUE!</v>
      </c>
    </row>
    <row r="963" spans="1:19" ht="18" customHeight="1" x14ac:dyDescent="0.45">
      <c r="A963" s="64">
        <v>958</v>
      </c>
      <c r="B963" s="49" t="s">
        <v>2912</v>
      </c>
      <c r="C963" s="50" t="s">
        <v>3744</v>
      </c>
      <c r="D963" s="49">
        <v>115386</v>
      </c>
      <c r="E963" s="50" t="s">
        <v>3745</v>
      </c>
      <c r="F963" s="49" t="s">
        <v>6</v>
      </c>
      <c r="G963" s="48">
        <v>42814</v>
      </c>
      <c r="H963" s="48">
        <v>42844</v>
      </c>
      <c r="I963" s="48">
        <v>42963</v>
      </c>
      <c r="J963" s="49" t="s">
        <v>3727</v>
      </c>
      <c r="K963" s="58" t="s">
        <v>7</v>
      </c>
      <c r="L963" s="49">
        <v>0</v>
      </c>
      <c r="M963" s="48">
        <v>42963</v>
      </c>
      <c r="N963" s="49" t="s">
        <v>2917</v>
      </c>
      <c r="O963" s="49" t="s">
        <v>7</v>
      </c>
      <c r="P963" s="49">
        <v>0</v>
      </c>
      <c r="Q963" s="51" t="s">
        <v>5002</v>
      </c>
      <c r="R963" s="67" t="e" cm="1">
        <f t="array" ref="R963">_xlfn.CHOOSECOLS(_xlfn.CHOOSEROWS(_xlfn._xlws.FILTER(표2[],표2[DWG No.]=C963,""),1),6)</f>
        <v>#VALUE!</v>
      </c>
      <c r="S963" s="67" t="e" cm="1">
        <f t="array" ref="S963">_xlfn.CHOOSECOLS(_xlfn.CHOOSEROWS(_xlfn._xlws.FILTER(표2[],(표2[DWG No.]=C963)*(ISNUMBER(표2[Rev.])),""),1),6)</f>
        <v>#VALUE!</v>
      </c>
    </row>
    <row r="964" spans="1:19" ht="18" customHeight="1" x14ac:dyDescent="0.45">
      <c r="A964" s="64">
        <v>959</v>
      </c>
      <c r="B964" s="49" t="s">
        <v>2912</v>
      </c>
      <c r="C964" s="50" t="s">
        <v>3746</v>
      </c>
      <c r="D964" s="49">
        <v>115387</v>
      </c>
      <c r="E964" s="50" t="s">
        <v>3747</v>
      </c>
      <c r="F964" s="49" t="s">
        <v>6</v>
      </c>
      <c r="G964" s="48">
        <v>42814</v>
      </c>
      <c r="H964" s="48">
        <v>42844</v>
      </c>
      <c r="I964" s="48">
        <v>42963</v>
      </c>
      <c r="J964" s="49" t="s">
        <v>3727</v>
      </c>
      <c r="K964" s="58" t="s">
        <v>7</v>
      </c>
      <c r="L964" s="49">
        <v>0</v>
      </c>
      <c r="M964" s="48">
        <v>42963</v>
      </c>
      <c r="N964" s="49" t="s">
        <v>2917</v>
      </c>
      <c r="O964" s="49" t="s">
        <v>7</v>
      </c>
      <c r="P964" s="49">
        <v>0</v>
      </c>
      <c r="Q964" s="51" t="s">
        <v>5002</v>
      </c>
      <c r="R964" s="67" t="e" cm="1">
        <f t="array" ref="R964">_xlfn.CHOOSECOLS(_xlfn.CHOOSEROWS(_xlfn._xlws.FILTER(표2[],표2[DWG No.]=C964,""),1),6)</f>
        <v>#VALUE!</v>
      </c>
      <c r="S964" s="67" t="e" cm="1">
        <f t="array" ref="S964">_xlfn.CHOOSECOLS(_xlfn.CHOOSEROWS(_xlfn._xlws.FILTER(표2[],(표2[DWG No.]=C964)*(ISNUMBER(표2[Rev.])),""),1),6)</f>
        <v>#VALUE!</v>
      </c>
    </row>
    <row r="965" spans="1:19" ht="18" customHeight="1" x14ac:dyDescent="0.45">
      <c r="A965" s="64">
        <v>960</v>
      </c>
      <c r="B965" s="49" t="s">
        <v>2912</v>
      </c>
      <c r="C965" s="50" t="s">
        <v>3748</v>
      </c>
      <c r="D965" s="49">
        <v>115388</v>
      </c>
      <c r="E965" s="50" t="s">
        <v>3749</v>
      </c>
      <c r="F965" s="49" t="s">
        <v>6</v>
      </c>
      <c r="G965" s="48">
        <v>42814</v>
      </c>
      <c r="H965" s="48">
        <v>42844</v>
      </c>
      <c r="I965" s="48">
        <v>42963</v>
      </c>
      <c r="J965" s="49" t="s">
        <v>3727</v>
      </c>
      <c r="K965" s="58" t="s">
        <v>7</v>
      </c>
      <c r="L965" s="49">
        <v>0</v>
      </c>
      <c r="M965" s="48">
        <v>42963</v>
      </c>
      <c r="N965" s="49" t="s">
        <v>2917</v>
      </c>
      <c r="O965" s="49" t="s">
        <v>7</v>
      </c>
      <c r="P965" s="49">
        <v>0</v>
      </c>
      <c r="Q965" s="51" t="s">
        <v>5002</v>
      </c>
      <c r="R965" s="67" t="e" cm="1">
        <f t="array" ref="R965">_xlfn.CHOOSECOLS(_xlfn.CHOOSEROWS(_xlfn._xlws.FILTER(표2[],표2[DWG No.]=C965,""),1),6)</f>
        <v>#VALUE!</v>
      </c>
      <c r="S965" s="67" t="e" cm="1">
        <f t="array" ref="S965">_xlfn.CHOOSECOLS(_xlfn.CHOOSEROWS(_xlfn._xlws.FILTER(표2[],(표2[DWG No.]=C965)*(ISNUMBER(표2[Rev.])),""),1),6)</f>
        <v>#VALUE!</v>
      </c>
    </row>
    <row r="966" spans="1:19" ht="18" customHeight="1" x14ac:dyDescent="0.45">
      <c r="A966" s="64">
        <v>961</v>
      </c>
      <c r="B966" s="49" t="s">
        <v>2912</v>
      </c>
      <c r="C966" s="50" t="s">
        <v>3750</v>
      </c>
      <c r="D966" s="49">
        <v>115389</v>
      </c>
      <c r="E966" s="50" t="s">
        <v>3751</v>
      </c>
      <c r="F966" s="49" t="s">
        <v>6</v>
      </c>
      <c r="G966" s="48">
        <v>42814</v>
      </c>
      <c r="H966" s="48">
        <v>42844</v>
      </c>
      <c r="I966" s="48">
        <v>42983</v>
      </c>
      <c r="J966" s="49" t="s">
        <v>2916</v>
      </c>
      <c r="K966" s="58" t="s">
        <v>7</v>
      </c>
      <c r="L966" s="49">
        <v>0</v>
      </c>
      <c r="M966" s="48">
        <v>42984</v>
      </c>
      <c r="N966" s="49" t="s">
        <v>2917</v>
      </c>
      <c r="O966" s="49" t="s">
        <v>7</v>
      </c>
      <c r="P966" s="49">
        <v>0</v>
      </c>
      <c r="Q966" s="51" t="s">
        <v>5002</v>
      </c>
      <c r="R966" s="67" t="e" cm="1">
        <f t="array" ref="R966">_xlfn.CHOOSECOLS(_xlfn.CHOOSEROWS(_xlfn._xlws.FILTER(표2[],표2[DWG No.]=C966,""),1),6)</f>
        <v>#VALUE!</v>
      </c>
      <c r="S966" s="67" t="e" cm="1">
        <f t="array" ref="S966">_xlfn.CHOOSECOLS(_xlfn.CHOOSEROWS(_xlfn._xlws.FILTER(표2[],(표2[DWG No.]=C966)*(ISNUMBER(표2[Rev.])),""),1),6)</f>
        <v>#VALUE!</v>
      </c>
    </row>
    <row r="967" spans="1:19" ht="18" customHeight="1" x14ac:dyDescent="0.45">
      <c r="A967" s="64">
        <v>962</v>
      </c>
      <c r="B967" s="49" t="s">
        <v>2912</v>
      </c>
      <c r="C967" s="50" t="s">
        <v>3752</v>
      </c>
      <c r="D967" s="49">
        <v>115390</v>
      </c>
      <c r="E967" s="50" t="s">
        <v>3753</v>
      </c>
      <c r="F967" s="49" t="s">
        <v>6</v>
      </c>
      <c r="G967" s="48">
        <v>42814</v>
      </c>
      <c r="H967" s="48">
        <v>42844</v>
      </c>
      <c r="I967" s="48">
        <v>42963</v>
      </c>
      <c r="J967" s="49" t="s">
        <v>3727</v>
      </c>
      <c r="K967" s="58" t="s">
        <v>7</v>
      </c>
      <c r="L967" s="49">
        <v>0</v>
      </c>
      <c r="M967" s="48">
        <v>42963</v>
      </c>
      <c r="N967" s="49" t="s">
        <v>2917</v>
      </c>
      <c r="O967" s="49" t="s">
        <v>7</v>
      </c>
      <c r="P967" s="49">
        <v>0</v>
      </c>
      <c r="Q967" s="51" t="s">
        <v>5002</v>
      </c>
      <c r="R967" s="67" t="e" cm="1">
        <f t="array" ref="R967">_xlfn.CHOOSECOLS(_xlfn.CHOOSEROWS(_xlfn._xlws.FILTER(표2[],표2[DWG No.]=C967,""),1),6)</f>
        <v>#VALUE!</v>
      </c>
      <c r="S967" s="67" t="e" cm="1">
        <f t="array" ref="S967">_xlfn.CHOOSECOLS(_xlfn.CHOOSEROWS(_xlfn._xlws.FILTER(표2[],(표2[DWG No.]=C967)*(ISNUMBER(표2[Rev.])),""),1),6)</f>
        <v>#VALUE!</v>
      </c>
    </row>
    <row r="968" spans="1:19" ht="18" customHeight="1" x14ac:dyDescent="0.45">
      <c r="A968" s="64">
        <v>963</v>
      </c>
      <c r="B968" s="49" t="s">
        <v>2912</v>
      </c>
      <c r="C968" s="50" t="s">
        <v>3754</v>
      </c>
      <c r="D968" s="49">
        <v>125391</v>
      </c>
      <c r="E968" s="50" t="s">
        <v>3755</v>
      </c>
      <c r="F968" s="49" t="s">
        <v>6</v>
      </c>
      <c r="G968" s="48">
        <v>42821</v>
      </c>
      <c r="H968" s="48">
        <v>42851</v>
      </c>
      <c r="I968" s="48">
        <v>43014</v>
      </c>
      <c r="J968" s="49" t="s">
        <v>3578</v>
      </c>
      <c r="K968" s="58" t="s">
        <v>7</v>
      </c>
      <c r="L968" s="49">
        <v>0</v>
      </c>
      <c r="M968" s="48">
        <v>43014</v>
      </c>
      <c r="N968" s="49" t="s">
        <v>2917</v>
      </c>
      <c r="O968" s="49" t="s">
        <v>7</v>
      </c>
      <c r="P968" s="49">
        <v>0</v>
      </c>
      <c r="Q968" s="51" t="s">
        <v>5002</v>
      </c>
      <c r="R968" s="67" t="e" cm="1">
        <f t="array" ref="R968">_xlfn.CHOOSECOLS(_xlfn.CHOOSEROWS(_xlfn._xlws.FILTER(표2[],표2[DWG No.]=C968,""),1),6)</f>
        <v>#VALUE!</v>
      </c>
      <c r="S968" s="67" t="e" cm="1">
        <f t="array" ref="S968">_xlfn.CHOOSECOLS(_xlfn.CHOOSEROWS(_xlfn._xlws.FILTER(표2[],(표2[DWG No.]=C968)*(ISNUMBER(표2[Rev.])),""),1),6)</f>
        <v>#VALUE!</v>
      </c>
    </row>
    <row r="969" spans="1:19" ht="18" customHeight="1" x14ac:dyDescent="0.45">
      <c r="A969" s="64">
        <v>964</v>
      </c>
      <c r="B969" s="49" t="s">
        <v>2912</v>
      </c>
      <c r="C969" s="50" t="s">
        <v>3756</v>
      </c>
      <c r="D969" s="49">
        <v>125392</v>
      </c>
      <c r="E969" s="50" t="s">
        <v>3757</v>
      </c>
      <c r="F969" s="49" t="s">
        <v>6</v>
      </c>
      <c r="G969" s="48">
        <v>42821</v>
      </c>
      <c r="H969" s="48">
        <v>42851</v>
      </c>
      <c r="I969" s="48">
        <v>43014</v>
      </c>
      <c r="J969" s="49" t="s">
        <v>3578</v>
      </c>
      <c r="K969" s="58" t="s">
        <v>7</v>
      </c>
      <c r="L969" s="49">
        <v>0</v>
      </c>
      <c r="M969" s="48">
        <v>43014</v>
      </c>
      <c r="N969" s="49" t="s">
        <v>2917</v>
      </c>
      <c r="O969" s="49" t="s">
        <v>7</v>
      </c>
      <c r="P969" s="49">
        <v>0</v>
      </c>
      <c r="Q969" s="51" t="s">
        <v>5002</v>
      </c>
      <c r="R969" s="67" t="e" cm="1">
        <f t="array" ref="R969">_xlfn.CHOOSECOLS(_xlfn.CHOOSEROWS(_xlfn._xlws.FILTER(표2[],표2[DWG No.]=C969,""),1),6)</f>
        <v>#VALUE!</v>
      </c>
      <c r="S969" s="67" t="e" cm="1">
        <f t="array" ref="S969">_xlfn.CHOOSECOLS(_xlfn.CHOOSEROWS(_xlfn._xlws.FILTER(표2[],(표2[DWG No.]=C969)*(ISNUMBER(표2[Rev.])),""),1),6)</f>
        <v>#VALUE!</v>
      </c>
    </row>
    <row r="970" spans="1:19" ht="18" customHeight="1" x14ac:dyDescent="0.45">
      <c r="A970" s="64">
        <v>965</v>
      </c>
      <c r="B970" s="49" t="s">
        <v>2912</v>
      </c>
      <c r="C970" s="50" t="s">
        <v>3758</v>
      </c>
      <c r="D970" s="49">
        <v>155393</v>
      </c>
      <c r="E970" s="50" t="s">
        <v>3759</v>
      </c>
      <c r="F970" s="49" t="s">
        <v>6</v>
      </c>
      <c r="G970" s="48">
        <v>42930</v>
      </c>
      <c r="H970" s="48">
        <v>42960</v>
      </c>
      <c r="I970" s="48">
        <v>42986</v>
      </c>
      <c r="J970" s="49" t="s">
        <v>3067</v>
      </c>
      <c r="K970" s="58" t="s">
        <v>7</v>
      </c>
      <c r="L970" s="49">
        <v>0</v>
      </c>
      <c r="M970" s="48">
        <v>42986</v>
      </c>
      <c r="N970" s="49" t="s">
        <v>2917</v>
      </c>
      <c r="O970" s="49" t="s">
        <v>7</v>
      </c>
      <c r="P970" s="49">
        <v>0</v>
      </c>
      <c r="Q970" s="51" t="s">
        <v>5002</v>
      </c>
      <c r="R970" s="67" t="e" cm="1">
        <f t="array" ref="R970">_xlfn.CHOOSECOLS(_xlfn.CHOOSEROWS(_xlfn._xlws.FILTER(표2[],표2[DWG No.]=C970,""),1),6)</f>
        <v>#VALUE!</v>
      </c>
      <c r="S970" s="67" t="e" cm="1">
        <f t="array" ref="S970">_xlfn.CHOOSECOLS(_xlfn.CHOOSEROWS(_xlfn._xlws.FILTER(표2[],(표2[DWG No.]=C970)*(ISNUMBER(표2[Rev.])),""),1),6)</f>
        <v>#VALUE!</v>
      </c>
    </row>
    <row r="971" spans="1:19" ht="18" customHeight="1" x14ac:dyDescent="0.45">
      <c r="A971" s="64">
        <v>966</v>
      </c>
      <c r="B971" s="49" t="s">
        <v>2912</v>
      </c>
      <c r="C971" s="50" t="s">
        <v>3760</v>
      </c>
      <c r="D971" s="49">
        <v>155394</v>
      </c>
      <c r="E971" s="50" t="s">
        <v>3761</v>
      </c>
      <c r="F971" s="49" t="s">
        <v>6</v>
      </c>
      <c r="G971" s="48">
        <v>42930</v>
      </c>
      <c r="H971" s="48">
        <v>42960</v>
      </c>
      <c r="I971" s="48">
        <v>42986</v>
      </c>
      <c r="J971" s="49" t="s">
        <v>3067</v>
      </c>
      <c r="K971" s="58" t="s">
        <v>7</v>
      </c>
      <c r="L971" s="49">
        <v>0</v>
      </c>
      <c r="M971" s="48">
        <v>42986</v>
      </c>
      <c r="N971" s="49" t="s">
        <v>2917</v>
      </c>
      <c r="O971" s="49" t="s">
        <v>7</v>
      </c>
      <c r="P971" s="49">
        <v>0</v>
      </c>
      <c r="Q971" s="51" t="s">
        <v>5002</v>
      </c>
      <c r="R971" s="67" t="e" cm="1">
        <f t="array" ref="R971">_xlfn.CHOOSECOLS(_xlfn.CHOOSEROWS(_xlfn._xlws.FILTER(표2[],표2[DWG No.]=C971,""),1),6)</f>
        <v>#VALUE!</v>
      </c>
      <c r="S971" s="67" t="e" cm="1">
        <f t="array" ref="S971">_xlfn.CHOOSECOLS(_xlfn.CHOOSEROWS(_xlfn._xlws.FILTER(표2[],(표2[DWG No.]=C971)*(ISNUMBER(표2[Rev.])),""),1),6)</f>
        <v>#VALUE!</v>
      </c>
    </row>
    <row r="972" spans="1:19" ht="18" customHeight="1" x14ac:dyDescent="0.45">
      <c r="A972" s="64">
        <v>967</v>
      </c>
      <c r="B972" s="49" t="s">
        <v>2912</v>
      </c>
      <c r="C972" s="50" t="s">
        <v>3762</v>
      </c>
      <c r="D972" s="49">
        <v>155395</v>
      </c>
      <c r="E972" s="50" t="s">
        <v>3763</v>
      </c>
      <c r="F972" s="49" t="s">
        <v>6</v>
      </c>
      <c r="G972" s="48">
        <v>42930</v>
      </c>
      <c r="H972" s="48">
        <v>42960</v>
      </c>
      <c r="I972" s="48">
        <v>43727</v>
      </c>
      <c r="J972" s="49" t="s">
        <v>3400</v>
      </c>
      <c r="K972" s="58" t="s">
        <v>7</v>
      </c>
      <c r="L972" s="49" t="s">
        <v>1851</v>
      </c>
      <c r="M972" s="48">
        <v>43734</v>
      </c>
      <c r="N972" s="49" t="s">
        <v>3401</v>
      </c>
      <c r="O972" s="49" t="s">
        <v>7</v>
      </c>
      <c r="P972" s="49"/>
      <c r="Q972" s="51" t="s">
        <v>5002</v>
      </c>
      <c r="R972" s="67" t="e" cm="1">
        <f t="array" ref="R972">_xlfn.CHOOSECOLS(_xlfn.CHOOSEROWS(_xlfn._xlws.FILTER(표2[],표2[DWG No.]=C972,""),1),6)</f>
        <v>#VALUE!</v>
      </c>
      <c r="S972" s="67" t="e" cm="1">
        <f t="array" ref="S972">_xlfn.CHOOSECOLS(_xlfn.CHOOSEROWS(_xlfn._xlws.FILTER(표2[],(표2[DWG No.]=C972)*(ISNUMBER(표2[Rev.])),""),1),6)</f>
        <v>#VALUE!</v>
      </c>
    </row>
    <row r="973" spans="1:19" ht="18" customHeight="1" x14ac:dyDescent="0.45">
      <c r="A973" s="64">
        <v>968</v>
      </c>
      <c r="B973" s="49" t="s">
        <v>2912</v>
      </c>
      <c r="C973" s="50" t="s">
        <v>3764</v>
      </c>
      <c r="D973" s="49">
        <v>155396</v>
      </c>
      <c r="E973" s="50" t="s">
        <v>3765</v>
      </c>
      <c r="F973" s="49" t="s">
        <v>6</v>
      </c>
      <c r="G973" s="48">
        <v>42930</v>
      </c>
      <c r="H973" s="48">
        <v>42960</v>
      </c>
      <c r="I973" s="48">
        <v>42965</v>
      </c>
      <c r="J973" s="49" t="s">
        <v>3070</v>
      </c>
      <c r="K973" s="58" t="s">
        <v>7</v>
      </c>
      <c r="L973" s="49">
        <v>0</v>
      </c>
      <c r="M973" s="48">
        <v>43734</v>
      </c>
      <c r="N973" s="49" t="s">
        <v>3401</v>
      </c>
      <c r="O973" s="49" t="s">
        <v>7</v>
      </c>
      <c r="P973" s="49">
        <v>0</v>
      </c>
      <c r="Q973" s="51" t="s">
        <v>5002</v>
      </c>
      <c r="R973" s="67" t="e" cm="1">
        <f t="array" ref="R973">_xlfn.CHOOSECOLS(_xlfn.CHOOSEROWS(_xlfn._xlws.FILTER(표2[],표2[DWG No.]=C973,""),1),6)</f>
        <v>#VALUE!</v>
      </c>
      <c r="S973" s="67" t="e" cm="1">
        <f t="array" ref="S973">_xlfn.CHOOSECOLS(_xlfn.CHOOSEROWS(_xlfn._xlws.FILTER(표2[],(표2[DWG No.]=C973)*(ISNUMBER(표2[Rev.])),""),1),6)</f>
        <v>#VALUE!</v>
      </c>
    </row>
    <row r="974" spans="1:19" ht="18" customHeight="1" x14ac:dyDescent="0.45">
      <c r="A974" s="64">
        <v>969</v>
      </c>
      <c r="B974" s="49" t="s">
        <v>2912</v>
      </c>
      <c r="C974" s="50" t="s">
        <v>3766</v>
      </c>
      <c r="D974" s="49">
        <v>155397</v>
      </c>
      <c r="E974" s="50" t="s">
        <v>3767</v>
      </c>
      <c r="F974" s="49" t="s">
        <v>6</v>
      </c>
      <c r="G974" s="48">
        <v>42923</v>
      </c>
      <c r="H974" s="48">
        <v>42960</v>
      </c>
      <c r="I974" s="48">
        <v>42965</v>
      </c>
      <c r="J974" s="49" t="s">
        <v>3070</v>
      </c>
      <c r="K974" s="58" t="s">
        <v>7</v>
      </c>
      <c r="L974" s="49">
        <v>0</v>
      </c>
      <c r="M974" s="48">
        <v>42969</v>
      </c>
      <c r="N974" s="49" t="s">
        <v>2917</v>
      </c>
      <c r="O974" s="49" t="s">
        <v>7</v>
      </c>
      <c r="P974" s="49">
        <v>0</v>
      </c>
      <c r="Q974" s="51" t="s">
        <v>5002</v>
      </c>
      <c r="R974" s="67" t="e" cm="1">
        <f t="array" ref="R974">_xlfn.CHOOSECOLS(_xlfn.CHOOSEROWS(_xlfn._xlws.FILTER(표2[],표2[DWG No.]=C974,""),1),6)</f>
        <v>#VALUE!</v>
      </c>
      <c r="S974" s="67" t="e" cm="1">
        <f t="array" ref="S974">_xlfn.CHOOSECOLS(_xlfn.CHOOSEROWS(_xlfn._xlws.FILTER(표2[],(표2[DWG No.]=C974)*(ISNUMBER(표2[Rev.])),""),1),6)</f>
        <v>#VALUE!</v>
      </c>
    </row>
    <row r="975" spans="1:19" ht="18" customHeight="1" x14ac:dyDescent="0.45">
      <c r="A975" s="64">
        <v>970</v>
      </c>
      <c r="B975" s="49" t="s">
        <v>2912</v>
      </c>
      <c r="C975" s="50" t="s">
        <v>3768</v>
      </c>
      <c r="D975" s="49">
        <v>175399</v>
      </c>
      <c r="E975" s="50" t="s">
        <v>3769</v>
      </c>
      <c r="F975" s="49" t="s">
        <v>6</v>
      </c>
      <c r="G975" s="48">
        <v>42930</v>
      </c>
      <c r="H975" s="48">
        <v>42960</v>
      </c>
      <c r="I975" s="48">
        <v>43644</v>
      </c>
      <c r="J975" s="49" t="s">
        <v>3770</v>
      </c>
      <c r="K975" s="58" t="s">
        <v>7</v>
      </c>
      <c r="L975" s="49">
        <v>1</v>
      </c>
      <c r="M975" s="48">
        <v>43665</v>
      </c>
      <c r="N975" s="49" t="s">
        <v>3035</v>
      </c>
      <c r="O975" s="49"/>
      <c r="P975" s="49">
        <v>1</v>
      </c>
      <c r="Q975" s="51" t="s">
        <v>160</v>
      </c>
      <c r="R975" s="67" t="e" cm="1">
        <f t="array" ref="R975">_xlfn.CHOOSECOLS(_xlfn.CHOOSEROWS(_xlfn._xlws.FILTER(표2[],표2[DWG No.]=C975,""),1),6)</f>
        <v>#VALUE!</v>
      </c>
      <c r="S975" s="67" t="e" cm="1">
        <f t="array" ref="S975">_xlfn.CHOOSECOLS(_xlfn.CHOOSEROWS(_xlfn._xlws.FILTER(표2[],(표2[DWG No.]=C975)*(ISNUMBER(표2[Rev.])),""),1),6)</f>
        <v>#VALUE!</v>
      </c>
    </row>
    <row r="976" spans="1:19" ht="18" customHeight="1" x14ac:dyDescent="0.45">
      <c r="A976" s="64">
        <v>971</v>
      </c>
      <c r="B976" s="49" t="s">
        <v>2912</v>
      </c>
      <c r="C976" s="50" t="s">
        <v>3771</v>
      </c>
      <c r="D976" s="49">
        <v>175400</v>
      </c>
      <c r="E976" s="50" t="s">
        <v>3772</v>
      </c>
      <c r="F976" s="49" t="s">
        <v>6</v>
      </c>
      <c r="G976" s="48">
        <v>42930</v>
      </c>
      <c r="H976" s="48">
        <v>42960</v>
      </c>
      <c r="I976" s="48">
        <v>42955</v>
      </c>
      <c r="J976" s="49" t="s">
        <v>3197</v>
      </c>
      <c r="K976" s="58" t="s">
        <v>7</v>
      </c>
      <c r="L976" s="49">
        <v>0</v>
      </c>
      <c r="M976" s="48">
        <v>42955</v>
      </c>
      <c r="N976" s="49" t="s">
        <v>2917</v>
      </c>
      <c r="O976" s="49" t="s">
        <v>7</v>
      </c>
      <c r="P976" s="49">
        <v>0</v>
      </c>
      <c r="Q976" s="51" t="s">
        <v>5002</v>
      </c>
      <c r="R976" s="67" t="e" cm="1">
        <f t="array" ref="R976">_xlfn.CHOOSECOLS(_xlfn.CHOOSEROWS(_xlfn._xlws.FILTER(표2[],표2[DWG No.]=C976,""),1),6)</f>
        <v>#VALUE!</v>
      </c>
      <c r="S976" s="67" t="e" cm="1">
        <f t="array" ref="S976">_xlfn.CHOOSECOLS(_xlfn.CHOOSEROWS(_xlfn._xlws.FILTER(표2[],(표2[DWG No.]=C976)*(ISNUMBER(표2[Rev.])),""),1),6)</f>
        <v>#VALUE!</v>
      </c>
    </row>
    <row r="977" spans="1:19" ht="18" customHeight="1" x14ac:dyDescent="0.45">
      <c r="A977" s="64">
        <v>972</v>
      </c>
      <c r="B977" s="49" t="s">
        <v>2912</v>
      </c>
      <c r="C977" s="50" t="s">
        <v>3773</v>
      </c>
      <c r="D977" s="49">
        <v>175401</v>
      </c>
      <c r="E977" s="50" t="s">
        <v>3774</v>
      </c>
      <c r="F977" s="49" t="s">
        <v>6</v>
      </c>
      <c r="G977" s="48">
        <v>42930</v>
      </c>
      <c r="H977" s="48">
        <v>42960</v>
      </c>
      <c r="I977" s="48">
        <v>43013</v>
      </c>
      <c r="J977" s="49" t="s">
        <v>3352</v>
      </c>
      <c r="K977" s="58" t="s">
        <v>7</v>
      </c>
      <c r="L977" s="49">
        <v>0</v>
      </c>
      <c r="M977" s="48">
        <v>43013</v>
      </c>
      <c r="N977" s="49" t="s">
        <v>2917</v>
      </c>
      <c r="O977" s="49" t="s">
        <v>7</v>
      </c>
      <c r="P977" s="49">
        <v>0</v>
      </c>
      <c r="Q977" s="51" t="s">
        <v>5002</v>
      </c>
      <c r="R977" s="67" t="e" cm="1">
        <f t="array" ref="R977">_xlfn.CHOOSECOLS(_xlfn.CHOOSEROWS(_xlfn._xlws.FILTER(표2[],표2[DWG No.]=C977,""),1),6)</f>
        <v>#VALUE!</v>
      </c>
      <c r="S977" s="67" t="e" cm="1">
        <f t="array" ref="S977">_xlfn.CHOOSECOLS(_xlfn.CHOOSEROWS(_xlfn._xlws.FILTER(표2[],(표2[DWG No.]=C977)*(ISNUMBER(표2[Rev.])),""),1),6)</f>
        <v>#VALUE!</v>
      </c>
    </row>
    <row r="978" spans="1:19" ht="18" customHeight="1" x14ac:dyDescent="0.45">
      <c r="A978" s="64">
        <v>973</v>
      </c>
      <c r="B978" s="49" t="s">
        <v>2912</v>
      </c>
      <c r="C978" s="50" t="s">
        <v>3775</v>
      </c>
      <c r="D978" s="49">
        <v>155408</v>
      </c>
      <c r="E978" s="50" t="s">
        <v>3776</v>
      </c>
      <c r="F978" s="49" t="s">
        <v>6</v>
      </c>
      <c r="G978" s="48">
        <v>42900</v>
      </c>
      <c r="H978" s="48">
        <v>42930</v>
      </c>
      <c r="I978" s="48">
        <v>43059</v>
      </c>
      <c r="J978" s="49" t="s">
        <v>3063</v>
      </c>
      <c r="K978" s="58" t="s">
        <v>7</v>
      </c>
      <c r="L978" s="49">
        <v>1</v>
      </c>
      <c r="M978" s="48">
        <v>43060</v>
      </c>
      <c r="N978" s="49" t="s">
        <v>2917</v>
      </c>
      <c r="O978" s="49" t="s">
        <v>7</v>
      </c>
      <c r="P978" s="49">
        <v>1</v>
      </c>
      <c r="Q978" s="51" t="s">
        <v>5002</v>
      </c>
      <c r="R978" s="67" t="e" cm="1">
        <f t="array" ref="R978">_xlfn.CHOOSECOLS(_xlfn.CHOOSEROWS(_xlfn._xlws.FILTER(표2[],표2[DWG No.]=C978,""),1),6)</f>
        <v>#VALUE!</v>
      </c>
      <c r="S978" s="67" t="e" cm="1">
        <f t="array" ref="S978">_xlfn.CHOOSECOLS(_xlfn.CHOOSEROWS(_xlfn._xlws.FILTER(표2[],(표2[DWG No.]=C978)*(ISNUMBER(표2[Rev.])),""),1),6)</f>
        <v>#VALUE!</v>
      </c>
    </row>
    <row r="979" spans="1:19" ht="18" customHeight="1" x14ac:dyDescent="0.45">
      <c r="A979" s="64">
        <v>974</v>
      </c>
      <c r="B979" s="49" t="s">
        <v>2912</v>
      </c>
      <c r="C979" s="50" t="s">
        <v>3777</v>
      </c>
      <c r="D979" s="49">
        <v>155409</v>
      </c>
      <c r="E979" s="50" t="s">
        <v>3778</v>
      </c>
      <c r="F979" s="49" t="s">
        <v>6</v>
      </c>
      <c r="G979" s="48">
        <v>42900</v>
      </c>
      <c r="H979" s="48">
        <v>42930</v>
      </c>
      <c r="I979" s="48">
        <v>43039</v>
      </c>
      <c r="J979" s="49" t="s">
        <v>3092</v>
      </c>
      <c r="K979" s="58" t="s">
        <v>7</v>
      </c>
      <c r="L979" s="49">
        <v>0</v>
      </c>
      <c r="M979" s="48">
        <v>43039</v>
      </c>
      <c r="N979" s="49" t="s">
        <v>2917</v>
      </c>
      <c r="O979" s="49" t="s">
        <v>7</v>
      </c>
      <c r="P979" s="49">
        <v>0</v>
      </c>
      <c r="Q979" s="51" t="s">
        <v>5002</v>
      </c>
      <c r="R979" s="67" t="e" cm="1">
        <f t="array" ref="R979">_xlfn.CHOOSECOLS(_xlfn.CHOOSEROWS(_xlfn._xlws.FILTER(표2[],표2[DWG No.]=C979,""),1),6)</f>
        <v>#VALUE!</v>
      </c>
      <c r="S979" s="67" t="e" cm="1">
        <f t="array" ref="S979">_xlfn.CHOOSECOLS(_xlfn.CHOOSEROWS(_xlfn._xlws.FILTER(표2[],(표2[DWG No.]=C979)*(ISNUMBER(표2[Rev.])),""),1),6)</f>
        <v>#VALUE!</v>
      </c>
    </row>
    <row r="980" spans="1:19" ht="18" customHeight="1" x14ac:dyDescent="0.45">
      <c r="A980" s="64">
        <v>975</v>
      </c>
      <c r="B980" s="49" t="s">
        <v>2912</v>
      </c>
      <c r="C980" s="50" t="s">
        <v>3779</v>
      </c>
      <c r="D980" s="49">
        <v>155410</v>
      </c>
      <c r="E980" s="50" t="s">
        <v>3780</v>
      </c>
      <c r="F980" s="49" t="s">
        <v>6</v>
      </c>
      <c r="G980" s="48">
        <v>42900</v>
      </c>
      <c r="H980" s="48">
        <v>42930</v>
      </c>
      <c r="I980" s="48">
        <v>42996</v>
      </c>
      <c r="J980" s="49" t="s">
        <v>3158</v>
      </c>
      <c r="K980" s="58" t="s">
        <v>7</v>
      </c>
      <c r="L980" s="49">
        <v>0</v>
      </c>
      <c r="M980" s="48">
        <v>42996</v>
      </c>
      <c r="N980" s="49" t="s">
        <v>2917</v>
      </c>
      <c r="O980" s="49" t="s">
        <v>7</v>
      </c>
      <c r="P980" s="49">
        <v>0</v>
      </c>
      <c r="Q980" s="51" t="s">
        <v>5002</v>
      </c>
      <c r="R980" s="67" t="e" cm="1">
        <f t="array" ref="R980">_xlfn.CHOOSECOLS(_xlfn.CHOOSEROWS(_xlfn._xlws.FILTER(표2[],표2[DWG No.]=C980,""),1),6)</f>
        <v>#VALUE!</v>
      </c>
      <c r="S980" s="67" t="e" cm="1">
        <f t="array" ref="S980">_xlfn.CHOOSECOLS(_xlfn.CHOOSEROWS(_xlfn._xlws.FILTER(표2[],(표2[DWG No.]=C980)*(ISNUMBER(표2[Rev.])),""),1),6)</f>
        <v>#VALUE!</v>
      </c>
    </row>
    <row r="981" spans="1:19" ht="18" customHeight="1" x14ac:dyDescent="0.45">
      <c r="A981" s="64">
        <v>976</v>
      </c>
      <c r="B981" s="49" t="s">
        <v>2912</v>
      </c>
      <c r="C981" s="50" t="s">
        <v>3781</v>
      </c>
      <c r="D981" s="49">
        <v>155411</v>
      </c>
      <c r="E981" s="50" t="s">
        <v>3782</v>
      </c>
      <c r="F981" s="49" t="s">
        <v>6</v>
      </c>
      <c r="G981" s="48">
        <v>42932</v>
      </c>
      <c r="H981" s="48">
        <v>42953</v>
      </c>
      <c r="I981" s="48">
        <v>43782</v>
      </c>
      <c r="J981" s="49" t="s">
        <v>3783</v>
      </c>
      <c r="K981" s="58" t="s">
        <v>7</v>
      </c>
      <c r="L981" s="49">
        <v>3</v>
      </c>
      <c r="M981" s="48">
        <v>43798</v>
      </c>
      <c r="N981" s="49" t="s">
        <v>3784</v>
      </c>
      <c r="O981" s="49"/>
      <c r="P981" s="49">
        <v>3</v>
      </c>
      <c r="Q981" s="51" t="s">
        <v>5002</v>
      </c>
      <c r="R981" s="67" t="e" cm="1">
        <f t="array" ref="R981">_xlfn.CHOOSECOLS(_xlfn.CHOOSEROWS(_xlfn._xlws.FILTER(표2[],표2[DWG No.]=C981,""),1),6)</f>
        <v>#VALUE!</v>
      </c>
      <c r="S981" s="67" t="e" cm="1">
        <f t="array" ref="S981">_xlfn.CHOOSECOLS(_xlfn.CHOOSEROWS(_xlfn._xlws.FILTER(표2[],(표2[DWG No.]=C981)*(ISNUMBER(표2[Rev.])),""),1),6)</f>
        <v>#VALUE!</v>
      </c>
    </row>
    <row r="982" spans="1:19" ht="18" customHeight="1" x14ac:dyDescent="0.45">
      <c r="A982" s="64">
        <v>977</v>
      </c>
      <c r="B982" s="49" t="s">
        <v>2912</v>
      </c>
      <c r="C982" s="50" t="s">
        <v>3785</v>
      </c>
      <c r="D982" s="49">
        <v>155412</v>
      </c>
      <c r="E982" s="50" t="s">
        <v>3786</v>
      </c>
      <c r="F982" s="49" t="s">
        <v>6</v>
      </c>
      <c r="G982" s="48">
        <v>42900</v>
      </c>
      <c r="H982" s="48">
        <v>42930</v>
      </c>
      <c r="I982" s="48">
        <v>43059</v>
      </c>
      <c r="J982" s="49" t="s">
        <v>3063</v>
      </c>
      <c r="K982" s="58" t="s">
        <v>7</v>
      </c>
      <c r="L982" s="49">
        <v>1</v>
      </c>
      <c r="M982" s="48">
        <v>43060</v>
      </c>
      <c r="N982" s="49" t="s">
        <v>2917</v>
      </c>
      <c r="O982" s="49" t="s">
        <v>7</v>
      </c>
      <c r="P982" s="49">
        <v>1</v>
      </c>
      <c r="Q982" s="51" t="s">
        <v>5002</v>
      </c>
      <c r="R982" s="67" t="e" cm="1">
        <f t="array" ref="R982">_xlfn.CHOOSECOLS(_xlfn.CHOOSEROWS(_xlfn._xlws.FILTER(표2[],표2[DWG No.]=C982,""),1),6)</f>
        <v>#VALUE!</v>
      </c>
      <c r="S982" s="67" t="e" cm="1">
        <f t="array" ref="S982">_xlfn.CHOOSECOLS(_xlfn.CHOOSEROWS(_xlfn._xlws.FILTER(표2[],(표2[DWG No.]=C982)*(ISNUMBER(표2[Rev.])),""),1),6)</f>
        <v>#VALUE!</v>
      </c>
    </row>
    <row r="983" spans="1:19" ht="18" customHeight="1" x14ac:dyDescent="0.45">
      <c r="A983" s="64">
        <v>978</v>
      </c>
      <c r="B983" s="49" t="s">
        <v>2912</v>
      </c>
      <c r="C983" s="50" t="s">
        <v>3787</v>
      </c>
      <c r="D983" s="49">
        <v>155413</v>
      </c>
      <c r="E983" s="50" t="s">
        <v>3788</v>
      </c>
      <c r="F983" s="49" t="s">
        <v>6</v>
      </c>
      <c r="G983" s="48">
        <v>42900</v>
      </c>
      <c r="H983" s="48">
        <v>42930</v>
      </c>
      <c r="I983" s="48">
        <v>43031</v>
      </c>
      <c r="J983" s="49" t="s">
        <v>3145</v>
      </c>
      <c r="K983" s="58" t="s">
        <v>7</v>
      </c>
      <c r="L983" s="49">
        <v>1</v>
      </c>
      <c r="M983" s="48">
        <v>43032</v>
      </c>
      <c r="N983" s="49" t="s">
        <v>2917</v>
      </c>
      <c r="O983" s="49" t="s">
        <v>7</v>
      </c>
      <c r="P983" s="49">
        <v>1</v>
      </c>
      <c r="Q983" s="51" t="s">
        <v>5002</v>
      </c>
      <c r="R983" s="67" t="e" cm="1">
        <f t="array" ref="R983">_xlfn.CHOOSECOLS(_xlfn.CHOOSEROWS(_xlfn._xlws.FILTER(표2[],표2[DWG No.]=C983,""),1),6)</f>
        <v>#VALUE!</v>
      </c>
      <c r="S983" s="67" t="e" cm="1">
        <f t="array" ref="S983">_xlfn.CHOOSECOLS(_xlfn.CHOOSEROWS(_xlfn._xlws.FILTER(표2[],(표2[DWG No.]=C983)*(ISNUMBER(표2[Rev.])),""),1),6)</f>
        <v>#VALUE!</v>
      </c>
    </row>
    <row r="984" spans="1:19" ht="18" customHeight="1" x14ac:dyDescent="0.45">
      <c r="A984" s="64">
        <v>979</v>
      </c>
      <c r="B984" s="49" t="s">
        <v>2912</v>
      </c>
      <c r="C984" s="50" t="s">
        <v>3789</v>
      </c>
      <c r="D984" s="49">
        <v>175420</v>
      </c>
      <c r="E984" s="50" t="s">
        <v>3790</v>
      </c>
      <c r="F984" s="49" t="s">
        <v>6</v>
      </c>
      <c r="G984" s="48">
        <v>42930</v>
      </c>
      <c r="H984" s="48">
        <v>42960</v>
      </c>
      <c r="I984" s="48">
        <v>42963</v>
      </c>
      <c r="J984" s="49" t="s">
        <v>3727</v>
      </c>
      <c r="K984" s="58" t="s">
        <v>7</v>
      </c>
      <c r="L984" s="49">
        <v>0</v>
      </c>
      <c r="M984" s="48">
        <v>42963</v>
      </c>
      <c r="N984" s="49" t="s">
        <v>2917</v>
      </c>
      <c r="O984" s="49" t="s">
        <v>7</v>
      </c>
      <c r="P984" s="49">
        <v>0</v>
      </c>
      <c r="Q984" s="51" t="s">
        <v>5002</v>
      </c>
      <c r="R984" s="67" t="e" cm="1">
        <f t="array" ref="R984">_xlfn.CHOOSECOLS(_xlfn.CHOOSEROWS(_xlfn._xlws.FILTER(표2[],표2[DWG No.]=C984,""),1),6)</f>
        <v>#VALUE!</v>
      </c>
      <c r="S984" s="67" t="e" cm="1">
        <f t="array" ref="S984">_xlfn.CHOOSECOLS(_xlfn.CHOOSEROWS(_xlfn._xlws.FILTER(표2[],(표2[DWG No.]=C984)*(ISNUMBER(표2[Rev.])),""),1),6)</f>
        <v>#VALUE!</v>
      </c>
    </row>
    <row r="985" spans="1:19" ht="18" customHeight="1" x14ac:dyDescent="0.45">
      <c r="A985" s="64">
        <v>980</v>
      </c>
      <c r="B985" s="49" t="s">
        <v>2912</v>
      </c>
      <c r="C985" s="50" t="s">
        <v>3791</v>
      </c>
      <c r="D985" s="49">
        <v>175421</v>
      </c>
      <c r="E985" s="50" t="s">
        <v>3792</v>
      </c>
      <c r="F985" s="49" t="s">
        <v>6</v>
      </c>
      <c r="G985" s="48">
        <v>42930</v>
      </c>
      <c r="H985" s="48">
        <v>42960</v>
      </c>
      <c r="I985" s="48">
        <v>42951</v>
      </c>
      <c r="J985" s="49" t="s">
        <v>3044</v>
      </c>
      <c r="K985" s="58" t="s">
        <v>7</v>
      </c>
      <c r="L985" s="49">
        <v>0</v>
      </c>
      <c r="M985" s="48">
        <v>42951</v>
      </c>
      <c r="N985" s="49" t="s">
        <v>2917</v>
      </c>
      <c r="O985" s="49" t="s">
        <v>7</v>
      </c>
      <c r="P985" s="49">
        <v>0</v>
      </c>
      <c r="Q985" s="51" t="s">
        <v>5002</v>
      </c>
      <c r="R985" s="67" t="e" cm="1">
        <f t="array" ref="R985">_xlfn.CHOOSECOLS(_xlfn.CHOOSEROWS(_xlfn._xlws.FILTER(표2[],표2[DWG No.]=C985,""),1),6)</f>
        <v>#VALUE!</v>
      </c>
      <c r="S985" s="67" t="e" cm="1">
        <f t="array" ref="S985">_xlfn.CHOOSECOLS(_xlfn.CHOOSEROWS(_xlfn._xlws.FILTER(표2[],(표2[DWG No.]=C985)*(ISNUMBER(표2[Rev.])),""),1),6)</f>
        <v>#VALUE!</v>
      </c>
    </row>
    <row r="986" spans="1:19" ht="18" customHeight="1" x14ac:dyDescent="0.45">
      <c r="A986" s="64">
        <v>981</v>
      </c>
      <c r="B986" s="49" t="s">
        <v>2912</v>
      </c>
      <c r="C986" s="50" t="s">
        <v>3793</v>
      </c>
      <c r="D986" s="49">
        <v>175422</v>
      </c>
      <c r="E986" s="50" t="s">
        <v>3794</v>
      </c>
      <c r="F986" s="49" t="s">
        <v>6</v>
      </c>
      <c r="G986" s="48">
        <v>42930</v>
      </c>
      <c r="H986" s="48">
        <v>42960</v>
      </c>
      <c r="I986" s="48">
        <v>42951</v>
      </c>
      <c r="J986" s="49" t="s">
        <v>3044</v>
      </c>
      <c r="K986" s="58" t="s">
        <v>7</v>
      </c>
      <c r="L986" s="49">
        <v>0</v>
      </c>
      <c r="M986" s="48">
        <v>42951</v>
      </c>
      <c r="N986" s="49" t="s">
        <v>2917</v>
      </c>
      <c r="O986" s="49" t="s">
        <v>7</v>
      </c>
      <c r="P986" s="49">
        <v>0</v>
      </c>
      <c r="Q986" s="51" t="s">
        <v>5002</v>
      </c>
      <c r="R986" s="67" t="e" cm="1">
        <f t="array" ref="R986">_xlfn.CHOOSECOLS(_xlfn.CHOOSEROWS(_xlfn._xlws.FILTER(표2[],표2[DWG No.]=C986,""),1),6)</f>
        <v>#VALUE!</v>
      </c>
      <c r="S986" s="67" t="e" cm="1">
        <f t="array" ref="S986">_xlfn.CHOOSECOLS(_xlfn.CHOOSEROWS(_xlfn._xlws.FILTER(표2[],(표2[DWG No.]=C986)*(ISNUMBER(표2[Rev.])),""),1),6)</f>
        <v>#VALUE!</v>
      </c>
    </row>
    <row r="987" spans="1:19" ht="18" customHeight="1" x14ac:dyDescent="0.45">
      <c r="A987" s="64">
        <v>982</v>
      </c>
      <c r="B987" s="49" t="s">
        <v>2912</v>
      </c>
      <c r="C987" s="50" t="s">
        <v>3795</v>
      </c>
      <c r="D987" s="49">
        <v>175423</v>
      </c>
      <c r="E987" s="50" t="s">
        <v>3796</v>
      </c>
      <c r="F987" s="49" t="s">
        <v>6</v>
      </c>
      <c r="G987" s="48">
        <v>42930</v>
      </c>
      <c r="H987" s="48">
        <v>42960</v>
      </c>
      <c r="I987" s="48">
        <v>42951</v>
      </c>
      <c r="J987" s="49" t="s">
        <v>3044</v>
      </c>
      <c r="K987" s="58" t="s">
        <v>7</v>
      </c>
      <c r="L987" s="49">
        <v>0</v>
      </c>
      <c r="M987" s="48">
        <v>42951</v>
      </c>
      <c r="N987" s="49" t="s">
        <v>2917</v>
      </c>
      <c r="O987" s="49" t="s">
        <v>7</v>
      </c>
      <c r="P987" s="49">
        <v>0</v>
      </c>
      <c r="Q987" s="51" t="s">
        <v>5002</v>
      </c>
      <c r="R987" s="67" t="e" cm="1">
        <f t="array" ref="R987">_xlfn.CHOOSECOLS(_xlfn.CHOOSEROWS(_xlfn._xlws.FILTER(표2[],표2[DWG No.]=C987,""),1),6)</f>
        <v>#VALUE!</v>
      </c>
      <c r="S987" s="67" t="e" cm="1">
        <f t="array" ref="S987">_xlfn.CHOOSECOLS(_xlfn.CHOOSEROWS(_xlfn._xlws.FILTER(표2[],(표2[DWG No.]=C987)*(ISNUMBER(표2[Rev.])),""),1),6)</f>
        <v>#VALUE!</v>
      </c>
    </row>
    <row r="988" spans="1:19" ht="18" customHeight="1" x14ac:dyDescent="0.45">
      <c r="A988" s="64">
        <v>983</v>
      </c>
      <c r="B988" s="49" t="s">
        <v>2912</v>
      </c>
      <c r="C988" s="50" t="s">
        <v>3797</v>
      </c>
      <c r="D988" s="49">
        <v>175424</v>
      </c>
      <c r="E988" s="50" t="s">
        <v>3798</v>
      </c>
      <c r="F988" s="49" t="s">
        <v>6</v>
      </c>
      <c r="G988" s="48">
        <v>42794</v>
      </c>
      <c r="H988" s="48">
        <v>42824</v>
      </c>
      <c r="I988" s="48">
        <v>42951</v>
      </c>
      <c r="J988" s="49" t="s">
        <v>3044</v>
      </c>
      <c r="K988" s="58" t="s">
        <v>7</v>
      </c>
      <c r="L988" s="49">
        <v>0</v>
      </c>
      <c r="M988" s="48">
        <v>42951</v>
      </c>
      <c r="N988" s="49" t="s">
        <v>2917</v>
      </c>
      <c r="O988" s="49" t="s">
        <v>7</v>
      </c>
      <c r="P988" s="49">
        <v>0</v>
      </c>
      <c r="Q988" s="51" t="s">
        <v>5002</v>
      </c>
      <c r="R988" s="67" t="e" cm="1">
        <f t="array" ref="R988">_xlfn.CHOOSECOLS(_xlfn.CHOOSEROWS(_xlfn._xlws.FILTER(표2[],표2[DWG No.]=C988,""),1),6)</f>
        <v>#VALUE!</v>
      </c>
      <c r="S988" s="67" t="e" cm="1">
        <f t="array" ref="S988">_xlfn.CHOOSECOLS(_xlfn.CHOOSEROWS(_xlfn._xlws.FILTER(표2[],(표2[DWG No.]=C988)*(ISNUMBER(표2[Rev.])),""),1),6)</f>
        <v>#VALUE!</v>
      </c>
    </row>
    <row r="989" spans="1:19" ht="18" customHeight="1" x14ac:dyDescent="0.45">
      <c r="A989" s="64">
        <v>984</v>
      </c>
      <c r="B989" s="49" t="s">
        <v>2912</v>
      </c>
      <c r="C989" s="50" t="s">
        <v>3799</v>
      </c>
      <c r="D989" s="49">
        <v>175424</v>
      </c>
      <c r="E989" s="50" t="s">
        <v>3800</v>
      </c>
      <c r="F989" s="49" t="s">
        <v>6</v>
      </c>
      <c r="G989" s="48">
        <v>42794</v>
      </c>
      <c r="H989" s="48">
        <v>42824</v>
      </c>
      <c r="I989" s="48">
        <v>42951</v>
      </c>
      <c r="J989" s="49" t="s">
        <v>3044</v>
      </c>
      <c r="K989" s="58" t="s">
        <v>7</v>
      </c>
      <c r="L989" s="49">
        <v>0</v>
      </c>
      <c r="M989" s="48">
        <v>42951</v>
      </c>
      <c r="N989" s="49" t="s">
        <v>2917</v>
      </c>
      <c r="O989" s="49" t="s">
        <v>7</v>
      </c>
      <c r="P989" s="49">
        <v>0</v>
      </c>
      <c r="Q989" s="51" t="s">
        <v>5002</v>
      </c>
      <c r="R989" s="67" t="e" cm="1">
        <f t="array" ref="R989">_xlfn.CHOOSECOLS(_xlfn.CHOOSEROWS(_xlfn._xlws.FILTER(표2[],표2[DWG No.]=C989,""),1),6)</f>
        <v>#VALUE!</v>
      </c>
      <c r="S989" s="67" t="e" cm="1">
        <f t="array" ref="S989">_xlfn.CHOOSECOLS(_xlfn.CHOOSEROWS(_xlfn._xlws.FILTER(표2[],(표2[DWG No.]=C989)*(ISNUMBER(표2[Rev.])),""),1),6)</f>
        <v>#VALUE!</v>
      </c>
    </row>
    <row r="990" spans="1:19" ht="18" customHeight="1" x14ac:dyDescent="0.45">
      <c r="A990" s="64">
        <v>985</v>
      </c>
      <c r="B990" s="49" t="s">
        <v>2912</v>
      </c>
      <c r="C990" s="50" t="s">
        <v>3801</v>
      </c>
      <c r="D990" s="49">
        <v>175425</v>
      </c>
      <c r="E990" s="50" t="s">
        <v>3802</v>
      </c>
      <c r="F990" s="49" t="s">
        <v>6</v>
      </c>
      <c r="G990" s="48">
        <v>42936</v>
      </c>
      <c r="H990" s="48">
        <v>42824</v>
      </c>
      <c r="I990" s="48">
        <v>43609</v>
      </c>
      <c r="J990" s="49" t="s">
        <v>3803</v>
      </c>
      <c r="K990" s="58" t="s">
        <v>7</v>
      </c>
      <c r="L990" s="49">
        <v>1</v>
      </c>
      <c r="M990" s="48">
        <v>43609</v>
      </c>
      <c r="N990" s="49" t="s">
        <v>3803</v>
      </c>
      <c r="O990" s="49" t="s">
        <v>7</v>
      </c>
      <c r="P990" s="49">
        <v>1</v>
      </c>
      <c r="Q990" s="51" t="s">
        <v>5002</v>
      </c>
      <c r="R990" s="67" t="e" cm="1">
        <f t="array" ref="R990">_xlfn.CHOOSECOLS(_xlfn.CHOOSEROWS(_xlfn._xlws.FILTER(표2[],표2[DWG No.]=C990,""),1),6)</f>
        <v>#VALUE!</v>
      </c>
      <c r="S990" s="67" t="e" cm="1">
        <f t="array" ref="S990">_xlfn.CHOOSECOLS(_xlfn.CHOOSEROWS(_xlfn._xlws.FILTER(표2[],(표2[DWG No.]=C990)*(ISNUMBER(표2[Rev.])),""),1),6)</f>
        <v>#VALUE!</v>
      </c>
    </row>
    <row r="991" spans="1:19" ht="18" customHeight="1" x14ac:dyDescent="0.45">
      <c r="A991" s="64">
        <v>986</v>
      </c>
      <c r="B991" s="49" t="s">
        <v>2912</v>
      </c>
      <c r="C991" s="50" t="s">
        <v>3804</v>
      </c>
      <c r="D991" s="49">
        <v>175426</v>
      </c>
      <c r="E991" s="50" t="s">
        <v>3805</v>
      </c>
      <c r="F991" s="49" t="s">
        <v>6</v>
      </c>
      <c r="G991" s="48">
        <v>42936</v>
      </c>
      <c r="H991" s="48">
        <v>42824</v>
      </c>
      <c r="I991" s="48">
        <v>43609</v>
      </c>
      <c r="J991" s="49" t="s">
        <v>3803</v>
      </c>
      <c r="K991" s="58" t="s">
        <v>7</v>
      </c>
      <c r="L991" s="49">
        <v>1</v>
      </c>
      <c r="M991" s="48">
        <v>43609</v>
      </c>
      <c r="N991" s="49" t="s">
        <v>3803</v>
      </c>
      <c r="O991" s="49" t="s">
        <v>7</v>
      </c>
      <c r="P991" s="49">
        <v>1</v>
      </c>
      <c r="Q991" s="51" t="s">
        <v>5002</v>
      </c>
      <c r="R991" s="67" t="e" cm="1">
        <f t="array" ref="R991">_xlfn.CHOOSECOLS(_xlfn.CHOOSEROWS(_xlfn._xlws.FILTER(표2[],표2[DWG No.]=C991,""),1),6)</f>
        <v>#VALUE!</v>
      </c>
      <c r="S991" s="67" t="e" cm="1">
        <f t="array" ref="S991">_xlfn.CHOOSECOLS(_xlfn.CHOOSEROWS(_xlfn._xlws.FILTER(표2[],(표2[DWG No.]=C991)*(ISNUMBER(표2[Rev.])),""),1),6)</f>
        <v>#VALUE!</v>
      </c>
    </row>
    <row r="992" spans="1:19" ht="18" customHeight="1" x14ac:dyDescent="0.45">
      <c r="A992" s="64">
        <v>987</v>
      </c>
      <c r="B992" s="49" t="s">
        <v>2912</v>
      </c>
      <c r="C992" s="50" t="s">
        <v>3806</v>
      </c>
      <c r="D992" s="49">
        <v>175427</v>
      </c>
      <c r="E992" s="50" t="s">
        <v>3807</v>
      </c>
      <c r="F992" s="49" t="s">
        <v>6</v>
      </c>
      <c r="G992" s="48">
        <v>42936</v>
      </c>
      <c r="H992" s="48">
        <v>42824</v>
      </c>
      <c r="I992" s="48">
        <v>43061</v>
      </c>
      <c r="J992" s="49" t="s">
        <v>3142</v>
      </c>
      <c r="K992" s="58" t="s">
        <v>7</v>
      </c>
      <c r="L992" s="49">
        <v>0</v>
      </c>
      <c r="M992" s="48">
        <v>43061</v>
      </c>
      <c r="N992" s="49" t="s">
        <v>2917</v>
      </c>
      <c r="O992" s="49" t="s">
        <v>7</v>
      </c>
      <c r="P992" s="49">
        <v>0</v>
      </c>
      <c r="Q992" s="51" t="s">
        <v>5002</v>
      </c>
      <c r="R992" s="67" t="e" cm="1">
        <f t="array" ref="R992">_xlfn.CHOOSECOLS(_xlfn.CHOOSEROWS(_xlfn._xlws.FILTER(표2[],표2[DWG No.]=C992,""),1),6)</f>
        <v>#VALUE!</v>
      </c>
      <c r="S992" s="67" t="e" cm="1">
        <f t="array" ref="S992">_xlfn.CHOOSECOLS(_xlfn.CHOOSEROWS(_xlfn._xlws.FILTER(표2[],(표2[DWG No.]=C992)*(ISNUMBER(표2[Rev.])),""),1),6)</f>
        <v>#VALUE!</v>
      </c>
    </row>
    <row r="993" spans="1:19" ht="18" customHeight="1" x14ac:dyDescent="0.45">
      <c r="A993" s="64">
        <v>988</v>
      </c>
      <c r="B993" s="49" t="s">
        <v>2912</v>
      </c>
      <c r="C993" s="50" t="s">
        <v>3808</v>
      </c>
      <c r="D993" s="49">
        <v>175428</v>
      </c>
      <c r="E993" s="50" t="s">
        <v>3805</v>
      </c>
      <c r="F993" s="49" t="s">
        <v>6</v>
      </c>
      <c r="G993" s="48">
        <v>42936</v>
      </c>
      <c r="H993" s="48">
        <v>42824</v>
      </c>
      <c r="I993" s="48">
        <v>43061</v>
      </c>
      <c r="J993" s="49" t="s">
        <v>3142</v>
      </c>
      <c r="K993" s="58" t="s">
        <v>7</v>
      </c>
      <c r="L993" s="49">
        <v>0</v>
      </c>
      <c r="M993" s="48">
        <v>43061</v>
      </c>
      <c r="N993" s="49" t="s">
        <v>2917</v>
      </c>
      <c r="O993" s="49" t="s">
        <v>7</v>
      </c>
      <c r="P993" s="49">
        <v>0</v>
      </c>
      <c r="Q993" s="51" t="s">
        <v>5002</v>
      </c>
      <c r="R993" s="67" t="e" cm="1">
        <f t="array" ref="R993">_xlfn.CHOOSECOLS(_xlfn.CHOOSEROWS(_xlfn._xlws.FILTER(표2[],표2[DWG No.]=C993,""),1),6)</f>
        <v>#VALUE!</v>
      </c>
      <c r="S993" s="67" t="e" cm="1">
        <f t="array" ref="S993">_xlfn.CHOOSECOLS(_xlfn.CHOOSEROWS(_xlfn._xlws.FILTER(표2[],(표2[DWG No.]=C993)*(ISNUMBER(표2[Rev.])),""),1),6)</f>
        <v>#VALUE!</v>
      </c>
    </row>
    <row r="994" spans="1:19" ht="18" customHeight="1" x14ac:dyDescent="0.45">
      <c r="A994" s="64">
        <v>989</v>
      </c>
      <c r="B994" s="49" t="s">
        <v>2912</v>
      </c>
      <c r="C994" s="50" t="s">
        <v>3809</v>
      </c>
      <c r="D994" s="49">
        <v>175429</v>
      </c>
      <c r="E994" s="50" t="s">
        <v>3810</v>
      </c>
      <c r="F994" s="49" t="s">
        <v>6</v>
      </c>
      <c r="G994" s="48">
        <v>42946</v>
      </c>
      <c r="H994" s="48">
        <v>42966</v>
      </c>
      <c r="I994" s="48">
        <v>42965</v>
      </c>
      <c r="J994" s="49" t="s">
        <v>3811</v>
      </c>
      <c r="K994" s="58" t="s">
        <v>7</v>
      </c>
      <c r="L994" s="49">
        <v>0</v>
      </c>
      <c r="M994" s="48">
        <v>42969</v>
      </c>
      <c r="N994" s="49" t="s">
        <v>3812</v>
      </c>
      <c r="O994" s="49" t="s">
        <v>6</v>
      </c>
      <c r="P994" s="49" t="s">
        <v>65</v>
      </c>
      <c r="Q994" s="49" t="s">
        <v>160</v>
      </c>
      <c r="R994" s="67" t="e" cm="1">
        <f t="array" ref="R994">_xlfn.CHOOSECOLS(_xlfn.CHOOSEROWS(_xlfn._xlws.FILTER(표2[],표2[DWG No.]=C994,""),1),6)</f>
        <v>#VALUE!</v>
      </c>
      <c r="S994" s="67" t="e" cm="1">
        <f t="array" ref="S994">_xlfn.CHOOSECOLS(_xlfn.CHOOSEROWS(_xlfn._xlws.FILTER(표2[],(표2[DWG No.]=C994)*(ISNUMBER(표2[Rev.])),""),1),6)</f>
        <v>#VALUE!</v>
      </c>
    </row>
    <row r="995" spans="1:19" ht="18" customHeight="1" x14ac:dyDescent="0.45">
      <c r="A995" s="64">
        <v>990</v>
      </c>
      <c r="B995" s="49" t="s">
        <v>2912</v>
      </c>
      <c r="C995" s="50" t="s">
        <v>3813</v>
      </c>
      <c r="D995" s="49">
        <v>175430</v>
      </c>
      <c r="E995" s="50" t="s">
        <v>3814</v>
      </c>
      <c r="F995" s="49" t="s">
        <v>6</v>
      </c>
      <c r="G995" s="48">
        <v>42946</v>
      </c>
      <c r="H995" s="48">
        <v>42966</v>
      </c>
      <c r="I995" s="48">
        <v>43061</v>
      </c>
      <c r="J995" s="49" t="s">
        <v>3142</v>
      </c>
      <c r="K995" s="58" t="s">
        <v>7</v>
      </c>
      <c r="L995" s="49">
        <v>0</v>
      </c>
      <c r="M995" s="48">
        <v>43061</v>
      </c>
      <c r="N995" s="49" t="s">
        <v>2917</v>
      </c>
      <c r="O995" s="49" t="s">
        <v>7</v>
      </c>
      <c r="P995" s="49">
        <v>0</v>
      </c>
      <c r="Q995" s="51" t="s">
        <v>5002</v>
      </c>
      <c r="R995" s="67" t="e" cm="1">
        <f t="array" ref="R995">_xlfn.CHOOSECOLS(_xlfn.CHOOSEROWS(_xlfn._xlws.FILTER(표2[],표2[DWG No.]=C995,""),1),6)</f>
        <v>#VALUE!</v>
      </c>
      <c r="S995" s="67" t="e" cm="1">
        <f t="array" ref="S995">_xlfn.CHOOSECOLS(_xlfn.CHOOSEROWS(_xlfn._xlws.FILTER(표2[],(표2[DWG No.]=C995)*(ISNUMBER(표2[Rev.])),""),1),6)</f>
        <v>#VALUE!</v>
      </c>
    </row>
    <row r="996" spans="1:19" ht="18" customHeight="1" x14ac:dyDescent="0.45">
      <c r="A996" s="64">
        <v>991</v>
      </c>
      <c r="B996" s="49" t="s">
        <v>2912</v>
      </c>
      <c r="C996" s="50" t="s">
        <v>3815</v>
      </c>
      <c r="D996" s="49">
        <v>175447</v>
      </c>
      <c r="E996" s="50" t="s">
        <v>3816</v>
      </c>
      <c r="F996" s="49" t="s">
        <v>6</v>
      </c>
      <c r="G996" s="48">
        <v>42946</v>
      </c>
      <c r="H996" s="48">
        <v>42976</v>
      </c>
      <c r="I996" s="48">
        <v>42969</v>
      </c>
      <c r="J996" s="49" t="s">
        <v>3328</v>
      </c>
      <c r="K996" s="58" t="s">
        <v>7</v>
      </c>
      <c r="L996" s="49">
        <v>0</v>
      </c>
      <c r="M996" s="48">
        <v>42969</v>
      </c>
      <c r="N996" s="49" t="s">
        <v>2917</v>
      </c>
      <c r="O996" s="49" t="s">
        <v>7</v>
      </c>
      <c r="P996" s="49">
        <v>0</v>
      </c>
      <c r="Q996" s="51" t="s">
        <v>5002</v>
      </c>
      <c r="R996" s="67" t="e" cm="1">
        <f t="array" ref="R996">_xlfn.CHOOSECOLS(_xlfn.CHOOSEROWS(_xlfn._xlws.FILTER(표2[],표2[DWG No.]=C996,""),1),6)</f>
        <v>#VALUE!</v>
      </c>
      <c r="S996" s="67" t="e" cm="1">
        <f t="array" ref="S996">_xlfn.CHOOSECOLS(_xlfn.CHOOSEROWS(_xlfn._xlws.FILTER(표2[],(표2[DWG No.]=C996)*(ISNUMBER(표2[Rev.])),""),1),6)</f>
        <v>#VALUE!</v>
      </c>
    </row>
    <row r="997" spans="1:19" ht="18" customHeight="1" x14ac:dyDescent="0.45">
      <c r="A997" s="64">
        <v>992</v>
      </c>
      <c r="B997" s="49" t="s">
        <v>2912</v>
      </c>
      <c r="C997" s="50" t="s">
        <v>3817</v>
      </c>
      <c r="D997" s="49">
        <v>175448</v>
      </c>
      <c r="E997" s="50" t="s">
        <v>3818</v>
      </c>
      <c r="F997" s="49" t="s">
        <v>6</v>
      </c>
      <c r="G997" s="48">
        <v>42946</v>
      </c>
      <c r="H997" s="48">
        <v>42976</v>
      </c>
      <c r="I997" s="48">
        <v>42969</v>
      </c>
      <c r="J997" s="49" t="s">
        <v>3328</v>
      </c>
      <c r="K997" s="58" t="s">
        <v>7</v>
      </c>
      <c r="L997" s="49">
        <v>0</v>
      </c>
      <c r="M997" s="48">
        <v>42969</v>
      </c>
      <c r="N997" s="49" t="s">
        <v>2917</v>
      </c>
      <c r="O997" s="49" t="s">
        <v>7</v>
      </c>
      <c r="P997" s="49">
        <v>0</v>
      </c>
      <c r="Q997" s="51" t="s">
        <v>5002</v>
      </c>
      <c r="R997" s="67" t="e" cm="1">
        <f t="array" ref="R997">_xlfn.CHOOSECOLS(_xlfn.CHOOSEROWS(_xlfn._xlws.FILTER(표2[],표2[DWG No.]=C997,""),1),6)</f>
        <v>#VALUE!</v>
      </c>
      <c r="S997" s="67" t="e" cm="1">
        <f t="array" ref="S997">_xlfn.CHOOSECOLS(_xlfn.CHOOSEROWS(_xlfn._xlws.FILTER(표2[],(표2[DWG No.]=C997)*(ISNUMBER(표2[Rev.])),""),1),6)</f>
        <v>#VALUE!</v>
      </c>
    </row>
    <row r="998" spans="1:19" ht="18" customHeight="1" x14ac:dyDescent="0.45">
      <c r="A998" s="64">
        <v>993</v>
      </c>
      <c r="B998" s="49" t="s">
        <v>2912</v>
      </c>
      <c r="C998" s="50" t="s">
        <v>3819</v>
      </c>
      <c r="D998" s="49">
        <v>175448</v>
      </c>
      <c r="E998" s="50" t="s">
        <v>3820</v>
      </c>
      <c r="F998" s="49" t="s">
        <v>6</v>
      </c>
      <c r="G998" s="48">
        <v>42946</v>
      </c>
      <c r="H998" s="48">
        <v>42976</v>
      </c>
      <c r="I998" s="48">
        <v>42969</v>
      </c>
      <c r="J998" s="49" t="s">
        <v>3328</v>
      </c>
      <c r="K998" s="58" t="s">
        <v>7</v>
      </c>
      <c r="L998" s="49">
        <v>0</v>
      </c>
      <c r="M998" s="48">
        <v>42969</v>
      </c>
      <c r="N998" s="49" t="s">
        <v>2917</v>
      </c>
      <c r="O998" s="49" t="s">
        <v>7</v>
      </c>
      <c r="P998" s="49">
        <v>0</v>
      </c>
      <c r="Q998" s="51" t="s">
        <v>5002</v>
      </c>
      <c r="R998" s="67" t="e" cm="1">
        <f t="array" ref="R998">_xlfn.CHOOSECOLS(_xlfn.CHOOSEROWS(_xlfn._xlws.FILTER(표2[],표2[DWG No.]=C998,""),1),6)</f>
        <v>#VALUE!</v>
      </c>
      <c r="S998" s="67" t="e" cm="1">
        <f t="array" ref="S998">_xlfn.CHOOSECOLS(_xlfn.CHOOSEROWS(_xlfn._xlws.FILTER(표2[],(표2[DWG No.]=C998)*(ISNUMBER(표2[Rev.])),""),1),6)</f>
        <v>#VALUE!</v>
      </c>
    </row>
    <row r="999" spans="1:19" ht="18" customHeight="1" x14ac:dyDescent="0.45">
      <c r="A999" s="64">
        <v>994</v>
      </c>
      <c r="B999" s="49" t="s">
        <v>2912</v>
      </c>
      <c r="C999" s="50" t="s">
        <v>3821</v>
      </c>
      <c r="D999" s="49">
        <v>175449</v>
      </c>
      <c r="E999" s="50" t="s">
        <v>3822</v>
      </c>
      <c r="F999" s="49" t="s">
        <v>6</v>
      </c>
      <c r="G999" s="48">
        <v>42946</v>
      </c>
      <c r="H999" s="48">
        <v>42976</v>
      </c>
      <c r="I999" s="48">
        <v>43692</v>
      </c>
      <c r="J999" s="49" t="s">
        <v>3823</v>
      </c>
      <c r="K999" s="58" t="s">
        <v>7</v>
      </c>
      <c r="L999" s="49">
        <v>1</v>
      </c>
      <c r="M999" s="48">
        <v>43699</v>
      </c>
      <c r="N999" s="49" t="s">
        <v>3824</v>
      </c>
      <c r="O999" s="49" t="s">
        <v>7</v>
      </c>
      <c r="P999" s="49">
        <v>1</v>
      </c>
      <c r="Q999" s="51" t="s">
        <v>160</v>
      </c>
      <c r="R999" s="67" t="e" cm="1">
        <f t="array" ref="R999">_xlfn.CHOOSECOLS(_xlfn.CHOOSEROWS(_xlfn._xlws.FILTER(표2[],표2[DWG No.]=C999,""),1),6)</f>
        <v>#VALUE!</v>
      </c>
      <c r="S999" s="67" t="e" cm="1">
        <f t="array" ref="S999">_xlfn.CHOOSECOLS(_xlfn.CHOOSEROWS(_xlfn._xlws.FILTER(표2[],(표2[DWG No.]=C999)*(ISNUMBER(표2[Rev.])),""),1),6)</f>
        <v>#VALUE!</v>
      </c>
    </row>
    <row r="1000" spans="1:19" ht="18" customHeight="1" x14ac:dyDescent="0.45">
      <c r="A1000" s="64">
        <v>995</v>
      </c>
      <c r="B1000" s="49" t="s">
        <v>2912</v>
      </c>
      <c r="C1000" s="50" t="s">
        <v>3825</v>
      </c>
      <c r="D1000" s="49">
        <v>175449</v>
      </c>
      <c r="E1000" s="50" t="s">
        <v>3826</v>
      </c>
      <c r="F1000" s="49" t="s">
        <v>6</v>
      </c>
      <c r="G1000" s="48">
        <v>42946</v>
      </c>
      <c r="H1000" s="48">
        <v>42976</v>
      </c>
      <c r="I1000" s="48">
        <v>42969</v>
      </c>
      <c r="J1000" s="49" t="s">
        <v>3328</v>
      </c>
      <c r="K1000" s="58" t="s">
        <v>7</v>
      </c>
      <c r="L1000" s="49">
        <v>0</v>
      </c>
      <c r="M1000" s="48">
        <v>42969</v>
      </c>
      <c r="N1000" s="49" t="s">
        <v>2917</v>
      </c>
      <c r="O1000" s="49" t="s">
        <v>7</v>
      </c>
      <c r="P1000" s="49">
        <v>0</v>
      </c>
      <c r="Q1000" s="51" t="s">
        <v>5002</v>
      </c>
      <c r="R1000" s="67" t="e" cm="1">
        <f t="array" ref="R1000">_xlfn.CHOOSECOLS(_xlfn.CHOOSEROWS(_xlfn._xlws.FILTER(표2[],표2[DWG No.]=C1000,""),1),6)</f>
        <v>#VALUE!</v>
      </c>
      <c r="S1000" s="67" t="e" cm="1">
        <f t="array" ref="S1000">_xlfn.CHOOSECOLS(_xlfn.CHOOSEROWS(_xlfn._xlws.FILTER(표2[],(표2[DWG No.]=C1000)*(ISNUMBER(표2[Rev.])),""),1),6)</f>
        <v>#VALUE!</v>
      </c>
    </row>
    <row r="1001" spans="1:19" ht="18" customHeight="1" x14ac:dyDescent="0.45">
      <c r="A1001" s="64">
        <v>996</v>
      </c>
      <c r="B1001" s="49" t="s">
        <v>2912</v>
      </c>
      <c r="C1001" s="50" t="s">
        <v>3827</v>
      </c>
      <c r="D1001" s="49">
        <v>175449</v>
      </c>
      <c r="E1001" s="50" t="s">
        <v>3828</v>
      </c>
      <c r="F1001" s="49" t="s">
        <v>6</v>
      </c>
      <c r="G1001" s="48">
        <v>42946</v>
      </c>
      <c r="H1001" s="48">
        <v>42976</v>
      </c>
      <c r="I1001" s="48">
        <v>42969</v>
      </c>
      <c r="J1001" s="49" t="s">
        <v>3328</v>
      </c>
      <c r="K1001" s="58" t="s">
        <v>7</v>
      </c>
      <c r="L1001" s="49">
        <v>0</v>
      </c>
      <c r="M1001" s="48">
        <v>42969</v>
      </c>
      <c r="N1001" s="49" t="s">
        <v>2917</v>
      </c>
      <c r="O1001" s="49" t="s">
        <v>7</v>
      </c>
      <c r="P1001" s="49">
        <v>0</v>
      </c>
      <c r="Q1001" s="51" t="s">
        <v>5002</v>
      </c>
      <c r="R1001" s="67" t="e" cm="1">
        <f t="array" ref="R1001">_xlfn.CHOOSECOLS(_xlfn.CHOOSEROWS(_xlfn._xlws.FILTER(표2[],표2[DWG No.]=C1001,""),1),6)</f>
        <v>#VALUE!</v>
      </c>
      <c r="S1001" s="67" t="e" cm="1">
        <f t="array" ref="S1001">_xlfn.CHOOSECOLS(_xlfn.CHOOSEROWS(_xlfn._xlws.FILTER(표2[],(표2[DWG No.]=C1001)*(ISNUMBER(표2[Rev.])),""),1),6)</f>
        <v>#VALUE!</v>
      </c>
    </row>
    <row r="1002" spans="1:19" ht="18" customHeight="1" x14ac:dyDescent="0.45">
      <c r="A1002" s="64">
        <v>997</v>
      </c>
      <c r="B1002" s="49" t="s">
        <v>2912</v>
      </c>
      <c r="C1002" s="50" t="s">
        <v>3829</v>
      </c>
      <c r="D1002" s="49">
        <v>175449</v>
      </c>
      <c r="E1002" s="50" t="s">
        <v>3830</v>
      </c>
      <c r="F1002" s="49" t="s">
        <v>6</v>
      </c>
      <c r="G1002" s="48">
        <v>42946</v>
      </c>
      <c r="H1002" s="48">
        <v>42976</v>
      </c>
      <c r="I1002" s="48">
        <v>42969</v>
      </c>
      <c r="J1002" s="49" t="s">
        <v>3328</v>
      </c>
      <c r="K1002" s="58" t="s">
        <v>7</v>
      </c>
      <c r="L1002" s="49">
        <v>0</v>
      </c>
      <c r="M1002" s="48">
        <v>42969</v>
      </c>
      <c r="N1002" s="49" t="s">
        <v>2917</v>
      </c>
      <c r="O1002" s="49" t="s">
        <v>7</v>
      </c>
      <c r="P1002" s="49">
        <v>0</v>
      </c>
      <c r="Q1002" s="51" t="s">
        <v>5002</v>
      </c>
      <c r="R1002" s="67" t="e" cm="1">
        <f t="array" ref="R1002">_xlfn.CHOOSECOLS(_xlfn.CHOOSEROWS(_xlfn._xlws.FILTER(표2[],표2[DWG No.]=C1002,""),1),6)</f>
        <v>#VALUE!</v>
      </c>
      <c r="S1002" s="67" t="e" cm="1">
        <f t="array" ref="S1002">_xlfn.CHOOSECOLS(_xlfn.CHOOSEROWS(_xlfn._xlws.FILTER(표2[],(표2[DWG No.]=C1002)*(ISNUMBER(표2[Rev.])),""),1),6)</f>
        <v>#VALUE!</v>
      </c>
    </row>
    <row r="1003" spans="1:19" ht="18" customHeight="1" x14ac:dyDescent="0.45">
      <c r="A1003" s="64">
        <v>998</v>
      </c>
      <c r="B1003" s="49" t="s">
        <v>2912</v>
      </c>
      <c r="C1003" s="50" t="s">
        <v>3831</v>
      </c>
      <c r="D1003" s="49">
        <v>175449</v>
      </c>
      <c r="E1003" s="50" t="s">
        <v>3832</v>
      </c>
      <c r="F1003" s="49" t="s">
        <v>6</v>
      </c>
      <c r="G1003" s="48">
        <v>42946</v>
      </c>
      <c r="H1003" s="48">
        <v>42976</v>
      </c>
      <c r="I1003" s="48">
        <v>42969</v>
      </c>
      <c r="J1003" s="49" t="s">
        <v>3328</v>
      </c>
      <c r="K1003" s="58" t="s">
        <v>7</v>
      </c>
      <c r="L1003" s="49">
        <v>0</v>
      </c>
      <c r="M1003" s="48">
        <v>42969</v>
      </c>
      <c r="N1003" s="49" t="s">
        <v>2917</v>
      </c>
      <c r="O1003" s="49" t="s">
        <v>7</v>
      </c>
      <c r="P1003" s="49">
        <v>0</v>
      </c>
      <c r="Q1003" s="51" t="s">
        <v>5002</v>
      </c>
      <c r="R1003" s="67" t="e" cm="1">
        <f t="array" ref="R1003">_xlfn.CHOOSECOLS(_xlfn.CHOOSEROWS(_xlfn._xlws.FILTER(표2[],표2[DWG No.]=C1003,""),1),6)</f>
        <v>#VALUE!</v>
      </c>
      <c r="S1003" s="67" t="e" cm="1">
        <f t="array" ref="S1003">_xlfn.CHOOSECOLS(_xlfn.CHOOSEROWS(_xlfn._xlws.FILTER(표2[],(표2[DWG No.]=C1003)*(ISNUMBER(표2[Rev.])),""),1),6)</f>
        <v>#VALUE!</v>
      </c>
    </row>
    <row r="1004" spans="1:19" ht="18" customHeight="1" x14ac:dyDescent="0.45">
      <c r="A1004" s="64">
        <v>999</v>
      </c>
      <c r="B1004" s="49" t="s">
        <v>2912</v>
      </c>
      <c r="C1004" s="50" t="s">
        <v>3833</v>
      </c>
      <c r="D1004" s="49">
        <v>175450</v>
      </c>
      <c r="E1004" s="50" t="s">
        <v>3834</v>
      </c>
      <c r="F1004" s="49" t="s">
        <v>6</v>
      </c>
      <c r="G1004" s="48">
        <v>42856</v>
      </c>
      <c r="H1004" s="48">
        <v>42886</v>
      </c>
      <c r="I1004" s="48">
        <v>42969</v>
      </c>
      <c r="J1004" s="49" t="s">
        <v>3328</v>
      </c>
      <c r="K1004" s="58" t="s">
        <v>7</v>
      </c>
      <c r="L1004" s="49">
        <v>0</v>
      </c>
      <c r="M1004" s="48">
        <v>42969</v>
      </c>
      <c r="N1004" s="49" t="s">
        <v>2917</v>
      </c>
      <c r="O1004" s="49" t="s">
        <v>7</v>
      </c>
      <c r="P1004" s="49">
        <v>0</v>
      </c>
      <c r="Q1004" s="51" t="s">
        <v>5002</v>
      </c>
      <c r="R1004" s="67" t="e" cm="1">
        <f t="array" ref="R1004">_xlfn.CHOOSECOLS(_xlfn.CHOOSEROWS(_xlfn._xlws.FILTER(표2[],표2[DWG No.]=C1004,""),1),6)</f>
        <v>#VALUE!</v>
      </c>
      <c r="S1004" s="67" t="e" cm="1">
        <f t="array" ref="S1004">_xlfn.CHOOSECOLS(_xlfn.CHOOSEROWS(_xlfn._xlws.FILTER(표2[],(표2[DWG No.]=C1004)*(ISNUMBER(표2[Rev.])),""),1),6)</f>
        <v>#VALUE!</v>
      </c>
    </row>
    <row r="1005" spans="1:19" ht="18" customHeight="1" x14ac:dyDescent="0.45">
      <c r="A1005" s="64">
        <v>1000</v>
      </c>
      <c r="B1005" s="49" t="s">
        <v>2912</v>
      </c>
      <c r="C1005" s="50" t="s">
        <v>3835</v>
      </c>
      <c r="D1005" s="49">
        <v>175450</v>
      </c>
      <c r="E1005" s="50" t="s">
        <v>3836</v>
      </c>
      <c r="F1005" s="49" t="s">
        <v>6</v>
      </c>
      <c r="G1005" s="48">
        <v>42856</v>
      </c>
      <c r="H1005" s="48">
        <v>42886</v>
      </c>
      <c r="I1005" s="48">
        <v>43721</v>
      </c>
      <c r="J1005" s="49" t="s">
        <v>3837</v>
      </c>
      <c r="K1005" s="58" t="s">
        <v>7</v>
      </c>
      <c r="L1005" s="49">
        <v>1</v>
      </c>
      <c r="M1005" s="48">
        <v>43735</v>
      </c>
      <c r="N1005" s="49" t="s">
        <v>3838</v>
      </c>
      <c r="O1005" s="49"/>
      <c r="P1005" s="49">
        <v>1</v>
      </c>
      <c r="Q1005" s="51" t="s">
        <v>5002</v>
      </c>
      <c r="R1005" s="67" t="e" cm="1">
        <f t="array" ref="R1005">_xlfn.CHOOSECOLS(_xlfn.CHOOSEROWS(_xlfn._xlws.FILTER(표2[],표2[DWG No.]=C1005,""),1),6)</f>
        <v>#VALUE!</v>
      </c>
      <c r="S1005" s="67" t="e" cm="1">
        <f t="array" ref="S1005">_xlfn.CHOOSECOLS(_xlfn.CHOOSEROWS(_xlfn._xlws.FILTER(표2[],(표2[DWG No.]=C1005)*(ISNUMBER(표2[Rev.])),""),1),6)</f>
        <v>#VALUE!</v>
      </c>
    </row>
    <row r="1006" spans="1:19" ht="18" customHeight="1" x14ac:dyDescent="0.45">
      <c r="A1006" s="64">
        <v>1001</v>
      </c>
      <c r="B1006" s="49" t="s">
        <v>2912</v>
      </c>
      <c r="C1006" s="50" t="s">
        <v>3839</v>
      </c>
      <c r="D1006" s="49">
        <v>175450</v>
      </c>
      <c r="E1006" s="50" t="s">
        <v>3840</v>
      </c>
      <c r="F1006" s="49" t="s">
        <v>6</v>
      </c>
      <c r="G1006" s="48">
        <v>42856</v>
      </c>
      <c r="H1006" s="48">
        <v>42886</v>
      </c>
      <c r="I1006" s="48">
        <v>43692</v>
      </c>
      <c r="J1006" s="49" t="s">
        <v>3823</v>
      </c>
      <c r="K1006" s="58" t="s">
        <v>7</v>
      </c>
      <c r="L1006" s="49">
        <v>1</v>
      </c>
      <c r="M1006" s="48">
        <v>43699</v>
      </c>
      <c r="N1006" s="49" t="s">
        <v>3824</v>
      </c>
      <c r="O1006" s="49" t="s">
        <v>7</v>
      </c>
      <c r="P1006" s="49">
        <v>1</v>
      </c>
      <c r="Q1006" s="51" t="s">
        <v>160</v>
      </c>
      <c r="R1006" s="67" t="e" cm="1">
        <f t="array" ref="R1006">_xlfn.CHOOSECOLS(_xlfn.CHOOSEROWS(_xlfn._xlws.FILTER(표2[],표2[DWG No.]=C1006,""),1),6)</f>
        <v>#VALUE!</v>
      </c>
      <c r="S1006" s="67" t="e" cm="1">
        <f t="array" ref="S1006">_xlfn.CHOOSECOLS(_xlfn.CHOOSEROWS(_xlfn._xlws.FILTER(표2[],(표2[DWG No.]=C1006)*(ISNUMBER(표2[Rev.])),""),1),6)</f>
        <v>#VALUE!</v>
      </c>
    </row>
    <row r="1007" spans="1:19" ht="18" customHeight="1" x14ac:dyDescent="0.45">
      <c r="A1007" s="64">
        <v>1002</v>
      </c>
      <c r="B1007" s="49" t="s">
        <v>2912</v>
      </c>
      <c r="C1007" s="50" t="s">
        <v>3841</v>
      </c>
      <c r="D1007" s="49">
        <v>175351</v>
      </c>
      <c r="E1007" s="50" t="s">
        <v>3842</v>
      </c>
      <c r="F1007" s="49" t="s">
        <v>6</v>
      </c>
      <c r="G1007" s="48">
        <v>42891</v>
      </c>
      <c r="H1007" s="48">
        <v>42921</v>
      </c>
      <c r="I1007" s="48">
        <v>42982</v>
      </c>
      <c r="J1007" s="49" t="s">
        <v>3477</v>
      </c>
      <c r="K1007" s="58" t="s">
        <v>7</v>
      </c>
      <c r="L1007" s="49">
        <v>0</v>
      </c>
      <c r="M1007" s="48">
        <v>42982</v>
      </c>
      <c r="N1007" s="49" t="s">
        <v>2917</v>
      </c>
      <c r="O1007" s="49" t="s">
        <v>7</v>
      </c>
      <c r="P1007" s="49">
        <v>0</v>
      </c>
      <c r="Q1007" s="51" t="s">
        <v>5002</v>
      </c>
      <c r="R1007" s="67" t="e" cm="1">
        <f t="array" ref="R1007">_xlfn.CHOOSECOLS(_xlfn.CHOOSEROWS(_xlfn._xlws.FILTER(표2[],표2[DWG No.]=C1007,""),1),6)</f>
        <v>#VALUE!</v>
      </c>
      <c r="S1007" s="67" t="e" cm="1">
        <f t="array" ref="S1007">_xlfn.CHOOSECOLS(_xlfn.CHOOSEROWS(_xlfn._xlws.FILTER(표2[],(표2[DWG No.]=C1007)*(ISNUMBER(표2[Rev.])),""),1),6)</f>
        <v>#VALUE!</v>
      </c>
    </row>
    <row r="1008" spans="1:19" ht="18" customHeight="1" x14ac:dyDescent="0.45">
      <c r="A1008" s="64">
        <v>1003</v>
      </c>
      <c r="B1008" s="49" t="s">
        <v>2912</v>
      </c>
      <c r="C1008" s="50" t="s">
        <v>3843</v>
      </c>
      <c r="D1008" s="49">
        <v>179029</v>
      </c>
      <c r="E1008" s="50" t="s">
        <v>3844</v>
      </c>
      <c r="F1008" s="49" t="s">
        <v>6</v>
      </c>
      <c r="G1008" s="48">
        <v>42891</v>
      </c>
      <c r="H1008" s="48">
        <v>42921</v>
      </c>
      <c r="I1008" s="48">
        <v>42905</v>
      </c>
      <c r="J1008" s="49" t="s">
        <v>3845</v>
      </c>
      <c r="K1008" s="58" t="s">
        <v>7</v>
      </c>
      <c r="L1008" s="49">
        <v>1</v>
      </c>
      <c r="M1008" s="48">
        <v>42908</v>
      </c>
      <c r="N1008" s="49" t="s">
        <v>3846</v>
      </c>
      <c r="O1008" s="49" t="s">
        <v>7</v>
      </c>
      <c r="P1008" s="49">
        <v>1</v>
      </c>
      <c r="Q1008" s="49" t="s">
        <v>2702</v>
      </c>
      <c r="R1008" s="67" t="e" cm="1">
        <f t="array" ref="R1008">_xlfn.CHOOSECOLS(_xlfn.CHOOSEROWS(_xlfn._xlws.FILTER(표2[],표2[DWG No.]=C1008,""),1),6)</f>
        <v>#VALUE!</v>
      </c>
      <c r="S1008" s="67" t="e" cm="1">
        <f t="array" ref="S1008">_xlfn.CHOOSECOLS(_xlfn.CHOOSEROWS(_xlfn._xlws.FILTER(표2[],(표2[DWG No.]=C1008)*(ISNUMBER(표2[Rev.])),""),1),6)</f>
        <v>#VALUE!</v>
      </c>
    </row>
    <row r="1009" spans="1:19" ht="18" customHeight="1" x14ac:dyDescent="0.45">
      <c r="A1009" s="64">
        <v>1004</v>
      </c>
      <c r="B1009" s="49" t="s">
        <v>2912</v>
      </c>
      <c r="C1009" s="50" t="s">
        <v>3847</v>
      </c>
      <c r="D1009" s="49">
        <v>175581</v>
      </c>
      <c r="E1009" s="50" t="s">
        <v>3848</v>
      </c>
      <c r="F1009" s="49" t="s">
        <v>6</v>
      </c>
      <c r="G1009" s="48">
        <v>43031</v>
      </c>
      <c r="H1009" s="48">
        <v>43031</v>
      </c>
      <c r="I1009" s="48">
        <v>43031</v>
      </c>
      <c r="J1009" s="49" t="s">
        <v>3145</v>
      </c>
      <c r="K1009" s="58" t="s">
        <v>7</v>
      </c>
      <c r="L1009" s="49">
        <v>0</v>
      </c>
      <c r="M1009" s="48">
        <v>43032</v>
      </c>
      <c r="N1009" s="49" t="s">
        <v>2917</v>
      </c>
      <c r="O1009" s="49" t="s">
        <v>7</v>
      </c>
      <c r="P1009" s="49">
        <v>0</v>
      </c>
      <c r="Q1009" s="51" t="s">
        <v>5002</v>
      </c>
      <c r="R1009" s="67" t="e" cm="1">
        <f t="array" ref="R1009">_xlfn.CHOOSECOLS(_xlfn.CHOOSEROWS(_xlfn._xlws.FILTER(표2[],표2[DWG No.]=C1009,""),1),6)</f>
        <v>#VALUE!</v>
      </c>
      <c r="S1009" s="67" t="e" cm="1">
        <f t="array" ref="S1009">_xlfn.CHOOSECOLS(_xlfn.CHOOSEROWS(_xlfn._xlws.FILTER(표2[],(표2[DWG No.]=C1009)*(ISNUMBER(표2[Rev.])),""),1),6)</f>
        <v>#VALUE!</v>
      </c>
    </row>
    <row r="1010" spans="1:19" ht="18" customHeight="1" x14ac:dyDescent="0.45">
      <c r="A1010" s="64">
        <v>1005</v>
      </c>
      <c r="B1010" s="49" t="s">
        <v>2912</v>
      </c>
      <c r="C1010" s="50" t="s">
        <v>3849</v>
      </c>
      <c r="D1010" s="49">
        <v>175582</v>
      </c>
      <c r="E1010" s="50" t="s">
        <v>3850</v>
      </c>
      <c r="F1010" s="49" t="s">
        <v>6</v>
      </c>
      <c r="G1010" s="48">
        <v>43031</v>
      </c>
      <c r="H1010" s="48">
        <v>43031</v>
      </c>
      <c r="I1010" s="48">
        <v>43031</v>
      </c>
      <c r="J1010" s="49" t="s">
        <v>3145</v>
      </c>
      <c r="K1010" s="58" t="s">
        <v>7</v>
      </c>
      <c r="L1010" s="49">
        <v>0</v>
      </c>
      <c r="M1010" s="48">
        <v>43032</v>
      </c>
      <c r="N1010" s="49" t="s">
        <v>2917</v>
      </c>
      <c r="O1010" s="49" t="s">
        <v>7</v>
      </c>
      <c r="P1010" s="49">
        <v>0</v>
      </c>
      <c r="Q1010" s="51" t="s">
        <v>5002</v>
      </c>
      <c r="R1010" s="67" t="e" cm="1">
        <f t="array" ref="R1010">_xlfn.CHOOSECOLS(_xlfn.CHOOSEROWS(_xlfn._xlws.FILTER(표2[],표2[DWG No.]=C1010,""),1),6)</f>
        <v>#VALUE!</v>
      </c>
      <c r="S1010" s="67" t="e" cm="1">
        <f t="array" ref="S1010">_xlfn.CHOOSECOLS(_xlfn.CHOOSEROWS(_xlfn._xlws.FILTER(표2[],(표2[DWG No.]=C1010)*(ISNUMBER(표2[Rev.])),""),1),6)</f>
        <v>#VALUE!</v>
      </c>
    </row>
    <row r="1011" spans="1:19" ht="18" customHeight="1" x14ac:dyDescent="0.45">
      <c r="A1011" s="64">
        <v>1006</v>
      </c>
      <c r="B1011" s="49" t="s">
        <v>2912</v>
      </c>
      <c r="C1011" s="50" t="s">
        <v>3851</v>
      </c>
      <c r="D1011" s="49">
        <v>175583</v>
      </c>
      <c r="E1011" s="50" t="s">
        <v>3852</v>
      </c>
      <c r="F1011" s="49" t="s">
        <v>6</v>
      </c>
      <c r="G1011" s="48">
        <v>43019</v>
      </c>
      <c r="H1011" s="48">
        <v>43049</v>
      </c>
      <c r="I1011" s="48">
        <v>43019</v>
      </c>
      <c r="J1011" s="49" t="s">
        <v>3853</v>
      </c>
      <c r="K1011" s="58" t="s">
        <v>7</v>
      </c>
      <c r="L1011" s="49">
        <v>0</v>
      </c>
      <c r="M1011" s="48">
        <v>43019</v>
      </c>
      <c r="N1011" s="49" t="s">
        <v>3655</v>
      </c>
      <c r="O1011" s="49" t="s">
        <v>6</v>
      </c>
      <c r="P1011" s="49" t="s">
        <v>65</v>
      </c>
      <c r="Q1011" s="51" t="s">
        <v>65</v>
      </c>
      <c r="R1011" s="67" t="e" cm="1">
        <f t="array" ref="R1011">_xlfn.CHOOSECOLS(_xlfn.CHOOSEROWS(_xlfn._xlws.FILTER(표2[],표2[DWG No.]=C1011,""),1),6)</f>
        <v>#VALUE!</v>
      </c>
      <c r="S1011" s="67" t="e" cm="1">
        <f t="array" ref="S1011">_xlfn.CHOOSECOLS(_xlfn.CHOOSEROWS(_xlfn._xlws.FILTER(표2[],(표2[DWG No.]=C1011)*(ISNUMBER(표2[Rev.])),""),1),6)</f>
        <v>#VALUE!</v>
      </c>
    </row>
    <row r="1012" spans="1:19" ht="18" customHeight="1" x14ac:dyDescent="0.45">
      <c r="A1012" s="64">
        <v>1007</v>
      </c>
      <c r="B1012" s="49" t="s">
        <v>2912</v>
      </c>
      <c r="C1012" s="50" t="s">
        <v>3854</v>
      </c>
      <c r="D1012" s="49">
        <v>175584</v>
      </c>
      <c r="E1012" s="50" t="s">
        <v>3855</v>
      </c>
      <c r="F1012" s="49" t="s">
        <v>6</v>
      </c>
      <c r="G1012" s="48">
        <v>43019</v>
      </c>
      <c r="H1012" s="48">
        <v>43049</v>
      </c>
      <c r="I1012" s="48">
        <v>43019</v>
      </c>
      <c r="J1012" s="49" t="s">
        <v>3853</v>
      </c>
      <c r="K1012" s="58" t="s">
        <v>7</v>
      </c>
      <c r="L1012" s="49">
        <v>0</v>
      </c>
      <c r="M1012" s="48">
        <v>43019</v>
      </c>
      <c r="N1012" s="49" t="s">
        <v>3655</v>
      </c>
      <c r="O1012" s="49" t="s">
        <v>6</v>
      </c>
      <c r="P1012" s="49" t="s">
        <v>65</v>
      </c>
      <c r="Q1012" s="51" t="s">
        <v>65</v>
      </c>
      <c r="R1012" s="67" t="e" cm="1">
        <f t="array" ref="R1012">_xlfn.CHOOSECOLS(_xlfn.CHOOSEROWS(_xlfn._xlws.FILTER(표2[],표2[DWG No.]=C1012,""),1),6)</f>
        <v>#VALUE!</v>
      </c>
      <c r="S1012" s="67" t="e" cm="1">
        <f t="array" ref="S1012">_xlfn.CHOOSECOLS(_xlfn.CHOOSEROWS(_xlfn._xlws.FILTER(표2[],(표2[DWG No.]=C1012)*(ISNUMBER(표2[Rev.])),""),1),6)</f>
        <v>#VALUE!</v>
      </c>
    </row>
    <row r="1013" spans="1:19" ht="18" customHeight="1" x14ac:dyDescent="0.45">
      <c r="A1013" s="64">
        <v>1008</v>
      </c>
      <c r="B1013" s="49" t="s">
        <v>2912</v>
      </c>
      <c r="C1013" s="50" t="s">
        <v>3856</v>
      </c>
      <c r="D1013" s="49">
        <v>175585</v>
      </c>
      <c r="E1013" s="50" t="s">
        <v>3857</v>
      </c>
      <c r="F1013" s="49" t="s">
        <v>6</v>
      </c>
      <c r="G1013" s="48">
        <v>43019</v>
      </c>
      <c r="H1013" s="48">
        <v>43049</v>
      </c>
      <c r="I1013" s="48">
        <v>43019</v>
      </c>
      <c r="J1013" s="49" t="s">
        <v>3853</v>
      </c>
      <c r="K1013" s="58" t="s">
        <v>7</v>
      </c>
      <c r="L1013" s="49">
        <v>0</v>
      </c>
      <c r="M1013" s="48">
        <v>43019</v>
      </c>
      <c r="N1013" s="49" t="s">
        <v>3655</v>
      </c>
      <c r="O1013" s="49" t="s">
        <v>6</v>
      </c>
      <c r="P1013" s="49" t="s">
        <v>65</v>
      </c>
      <c r="Q1013" s="51" t="s">
        <v>65</v>
      </c>
      <c r="R1013" s="67" t="e" cm="1">
        <f t="array" ref="R1013">_xlfn.CHOOSECOLS(_xlfn.CHOOSEROWS(_xlfn._xlws.FILTER(표2[],표2[DWG No.]=C1013,""),1),6)</f>
        <v>#VALUE!</v>
      </c>
      <c r="S1013" s="67" t="e" cm="1">
        <f t="array" ref="S1013">_xlfn.CHOOSECOLS(_xlfn.CHOOSEROWS(_xlfn._xlws.FILTER(표2[],(표2[DWG No.]=C1013)*(ISNUMBER(표2[Rev.])),""),1),6)</f>
        <v>#VALUE!</v>
      </c>
    </row>
    <row r="1014" spans="1:19" ht="18" customHeight="1" x14ac:dyDescent="0.45">
      <c r="A1014" s="64">
        <v>1009</v>
      </c>
      <c r="B1014" s="49" t="s">
        <v>2912</v>
      </c>
      <c r="C1014" s="50" t="s">
        <v>3858</v>
      </c>
      <c r="D1014" s="49">
        <v>175586</v>
      </c>
      <c r="E1014" s="50" t="s">
        <v>3859</v>
      </c>
      <c r="F1014" s="49" t="s">
        <v>6</v>
      </c>
      <c r="G1014" s="48">
        <v>43019</v>
      </c>
      <c r="H1014" s="48">
        <v>43049</v>
      </c>
      <c r="I1014" s="48">
        <v>43019</v>
      </c>
      <c r="J1014" s="49" t="s">
        <v>3853</v>
      </c>
      <c r="K1014" s="58" t="s">
        <v>7</v>
      </c>
      <c r="L1014" s="49">
        <v>0</v>
      </c>
      <c r="M1014" s="48">
        <v>43019</v>
      </c>
      <c r="N1014" s="49" t="s">
        <v>3655</v>
      </c>
      <c r="O1014" s="49" t="s">
        <v>6</v>
      </c>
      <c r="P1014" s="49" t="s">
        <v>65</v>
      </c>
      <c r="Q1014" s="51" t="s">
        <v>65</v>
      </c>
      <c r="R1014" s="67" t="e" cm="1">
        <f t="array" ref="R1014">_xlfn.CHOOSECOLS(_xlfn.CHOOSEROWS(_xlfn._xlws.FILTER(표2[],표2[DWG No.]=C1014,""),1),6)</f>
        <v>#VALUE!</v>
      </c>
      <c r="S1014" s="67" t="e" cm="1">
        <f t="array" ref="S1014">_xlfn.CHOOSECOLS(_xlfn.CHOOSEROWS(_xlfn._xlws.FILTER(표2[],(표2[DWG No.]=C1014)*(ISNUMBER(표2[Rev.])),""),1),6)</f>
        <v>#VALUE!</v>
      </c>
    </row>
    <row r="1015" spans="1:19" ht="18" customHeight="1" x14ac:dyDescent="0.45">
      <c r="A1015" s="64">
        <v>1010</v>
      </c>
      <c r="B1015" s="49" t="s">
        <v>2912</v>
      </c>
      <c r="C1015" s="50" t="s">
        <v>3860</v>
      </c>
      <c r="D1015" s="49">
        <v>175587</v>
      </c>
      <c r="E1015" s="50" t="s">
        <v>3861</v>
      </c>
      <c r="F1015" s="49" t="s">
        <v>6</v>
      </c>
      <c r="G1015" s="48">
        <v>43019</v>
      </c>
      <c r="H1015" s="48">
        <v>43049</v>
      </c>
      <c r="I1015" s="48">
        <v>43019</v>
      </c>
      <c r="J1015" s="49" t="s">
        <v>3853</v>
      </c>
      <c r="K1015" s="58" t="s">
        <v>7</v>
      </c>
      <c r="L1015" s="49">
        <v>0</v>
      </c>
      <c r="M1015" s="48">
        <v>43019</v>
      </c>
      <c r="N1015" s="49" t="s">
        <v>3655</v>
      </c>
      <c r="O1015" s="49" t="s">
        <v>6</v>
      </c>
      <c r="P1015" s="49" t="s">
        <v>65</v>
      </c>
      <c r="Q1015" s="51" t="s">
        <v>65</v>
      </c>
      <c r="R1015" s="67" t="e" cm="1">
        <f t="array" ref="R1015">_xlfn.CHOOSECOLS(_xlfn.CHOOSEROWS(_xlfn._xlws.FILTER(표2[],표2[DWG No.]=C1015,""),1),6)</f>
        <v>#VALUE!</v>
      </c>
      <c r="S1015" s="67" t="e" cm="1">
        <f t="array" ref="S1015">_xlfn.CHOOSECOLS(_xlfn.CHOOSEROWS(_xlfn._xlws.FILTER(표2[],(표2[DWG No.]=C1015)*(ISNUMBER(표2[Rev.])),""),1),6)</f>
        <v>#VALUE!</v>
      </c>
    </row>
    <row r="1016" spans="1:19" ht="18" customHeight="1" x14ac:dyDescent="0.45">
      <c r="A1016" s="64">
        <v>1011</v>
      </c>
      <c r="B1016" s="49" t="s">
        <v>2912</v>
      </c>
      <c r="C1016" s="50" t="s">
        <v>3862</v>
      </c>
      <c r="D1016" s="49">
        <v>175588</v>
      </c>
      <c r="E1016" s="50" t="s">
        <v>3863</v>
      </c>
      <c r="F1016" s="49" t="s">
        <v>6</v>
      </c>
      <c r="G1016" s="48">
        <v>43019</v>
      </c>
      <c r="H1016" s="48">
        <v>43049</v>
      </c>
      <c r="I1016" s="48">
        <v>43019</v>
      </c>
      <c r="J1016" s="49" t="s">
        <v>3853</v>
      </c>
      <c r="K1016" s="58" t="s">
        <v>7</v>
      </c>
      <c r="L1016" s="49">
        <v>0</v>
      </c>
      <c r="M1016" s="48">
        <v>43019</v>
      </c>
      <c r="N1016" s="49" t="s">
        <v>3655</v>
      </c>
      <c r="O1016" s="49" t="s">
        <v>6</v>
      </c>
      <c r="P1016" s="49" t="s">
        <v>65</v>
      </c>
      <c r="Q1016" s="51" t="s">
        <v>65</v>
      </c>
      <c r="R1016" s="67" t="e" cm="1">
        <f t="array" ref="R1016">_xlfn.CHOOSECOLS(_xlfn.CHOOSEROWS(_xlfn._xlws.FILTER(표2[],표2[DWG No.]=C1016,""),1),6)</f>
        <v>#VALUE!</v>
      </c>
      <c r="S1016" s="67" t="e" cm="1">
        <f t="array" ref="S1016">_xlfn.CHOOSECOLS(_xlfn.CHOOSEROWS(_xlfn._xlws.FILTER(표2[],(표2[DWG No.]=C1016)*(ISNUMBER(표2[Rev.])),""),1),6)</f>
        <v>#VALUE!</v>
      </c>
    </row>
    <row r="1017" spans="1:19" ht="18" customHeight="1" x14ac:dyDescent="0.45">
      <c r="A1017" s="64">
        <v>1012</v>
      </c>
      <c r="B1017" s="49" t="s">
        <v>2912</v>
      </c>
      <c r="C1017" s="50" t="s">
        <v>3864</v>
      </c>
      <c r="D1017" s="49">
        <v>175589</v>
      </c>
      <c r="E1017" s="50" t="s">
        <v>3865</v>
      </c>
      <c r="F1017" s="49" t="s">
        <v>6</v>
      </c>
      <c r="G1017" s="48">
        <v>43019</v>
      </c>
      <c r="H1017" s="48">
        <v>43049</v>
      </c>
      <c r="I1017" s="48">
        <v>43019</v>
      </c>
      <c r="J1017" s="49" t="s">
        <v>3853</v>
      </c>
      <c r="K1017" s="58" t="s">
        <v>7</v>
      </c>
      <c r="L1017" s="49">
        <v>0</v>
      </c>
      <c r="M1017" s="48">
        <v>43019</v>
      </c>
      <c r="N1017" s="49" t="s">
        <v>3655</v>
      </c>
      <c r="O1017" s="49" t="s">
        <v>6</v>
      </c>
      <c r="P1017" s="49" t="s">
        <v>65</v>
      </c>
      <c r="Q1017" s="51" t="s">
        <v>65</v>
      </c>
      <c r="R1017" s="67" t="e" cm="1">
        <f t="array" ref="R1017">_xlfn.CHOOSECOLS(_xlfn.CHOOSEROWS(_xlfn._xlws.FILTER(표2[],표2[DWG No.]=C1017,""),1),6)</f>
        <v>#VALUE!</v>
      </c>
      <c r="S1017" s="67" t="e" cm="1">
        <f t="array" ref="S1017">_xlfn.CHOOSECOLS(_xlfn.CHOOSEROWS(_xlfn._xlws.FILTER(표2[],(표2[DWG No.]=C1017)*(ISNUMBER(표2[Rev.])),""),1),6)</f>
        <v>#VALUE!</v>
      </c>
    </row>
    <row r="1018" spans="1:19" ht="18" customHeight="1" x14ac:dyDescent="0.45">
      <c r="A1018" s="64">
        <v>1013</v>
      </c>
      <c r="B1018" s="49" t="s">
        <v>2912</v>
      </c>
      <c r="C1018" s="50" t="s">
        <v>3866</v>
      </c>
      <c r="D1018" s="49">
        <v>175590</v>
      </c>
      <c r="E1018" s="50" t="s">
        <v>3865</v>
      </c>
      <c r="F1018" s="49" t="s">
        <v>6</v>
      </c>
      <c r="G1018" s="48">
        <v>43019</v>
      </c>
      <c r="H1018" s="48">
        <v>43049</v>
      </c>
      <c r="I1018" s="48">
        <v>43019</v>
      </c>
      <c r="J1018" s="49" t="s">
        <v>3853</v>
      </c>
      <c r="K1018" s="58" t="s">
        <v>7</v>
      </c>
      <c r="L1018" s="49">
        <v>0</v>
      </c>
      <c r="M1018" s="48">
        <v>43019</v>
      </c>
      <c r="N1018" s="49" t="s">
        <v>3655</v>
      </c>
      <c r="O1018" s="49" t="s">
        <v>6</v>
      </c>
      <c r="P1018" s="49" t="s">
        <v>65</v>
      </c>
      <c r="Q1018" s="49" t="s">
        <v>160</v>
      </c>
      <c r="R1018" s="67" t="e" cm="1">
        <f t="array" ref="R1018">_xlfn.CHOOSECOLS(_xlfn.CHOOSEROWS(_xlfn._xlws.FILTER(표2[],표2[DWG No.]=C1018,""),1),6)</f>
        <v>#VALUE!</v>
      </c>
      <c r="S1018" s="67" t="e" cm="1">
        <f t="array" ref="S1018">_xlfn.CHOOSECOLS(_xlfn.CHOOSEROWS(_xlfn._xlws.FILTER(표2[],(표2[DWG No.]=C1018)*(ISNUMBER(표2[Rev.])),""),1),6)</f>
        <v>#VALUE!</v>
      </c>
    </row>
    <row r="1019" spans="1:19" ht="18" customHeight="1" x14ac:dyDescent="0.45">
      <c r="A1019" s="64">
        <v>1014</v>
      </c>
      <c r="B1019" s="49" t="s">
        <v>2912</v>
      </c>
      <c r="C1019" s="50" t="s">
        <v>3867</v>
      </c>
      <c r="D1019" s="49">
        <v>175591</v>
      </c>
      <c r="E1019" s="50" t="s">
        <v>3865</v>
      </c>
      <c r="F1019" s="49" t="s">
        <v>6</v>
      </c>
      <c r="G1019" s="48">
        <v>43019</v>
      </c>
      <c r="H1019" s="48">
        <v>43049</v>
      </c>
      <c r="I1019" s="48">
        <v>43019</v>
      </c>
      <c r="J1019" s="49" t="s">
        <v>3853</v>
      </c>
      <c r="K1019" s="58" t="s">
        <v>7</v>
      </c>
      <c r="L1019" s="49">
        <v>0</v>
      </c>
      <c r="M1019" s="48">
        <v>43019</v>
      </c>
      <c r="N1019" s="49" t="s">
        <v>3655</v>
      </c>
      <c r="O1019" s="49" t="s">
        <v>6</v>
      </c>
      <c r="P1019" s="49" t="s">
        <v>65</v>
      </c>
      <c r="Q1019" s="51" t="s">
        <v>65</v>
      </c>
      <c r="R1019" s="67" t="e" cm="1">
        <f t="array" ref="R1019">_xlfn.CHOOSECOLS(_xlfn.CHOOSEROWS(_xlfn._xlws.FILTER(표2[],표2[DWG No.]=C1019,""),1),6)</f>
        <v>#VALUE!</v>
      </c>
      <c r="S1019" s="67" t="e" cm="1">
        <f t="array" ref="S1019">_xlfn.CHOOSECOLS(_xlfn.CHOOSEROWS(_xlfn._xlws.FILTER(표2[],(표2[DWG No.]=C1019)*(ISNUMBER(표2[Rev.])),""),1),6)</f>
        <v>#VALUE!</v>
      </c>
    </row>
    <row r="1020" spans="1:19" ht="18" customHeight="1" x14ac:dyDescent="0.45">
      <c r="A1020" s="64">
        <v>1015</v>
      </c>
      <c r="B1020" s="49" t="s">
        <v>2912</v>
      </c>
      <c r="C1020" s="50" t="s">
        <v>3868</v>
      </c>
      <c r="D1020" s="49">
        <v>145458</v>
      </c>
      <c r="E1020" s="50" t="s">
        <v>3869</v>
      </c>
      <c r="F1020" s="49" t="s">
        <v>6</v>
      </c>
      <c r="G1020" s="48">
        <v>42891</v>
      </c>
      <c r="H1020" s="48">
        <v>42921</v>
      </c>
      <c r="I1020" s="48">
        <v>42983</v>
      </c>
      <c r="J1020" s="49" t="s">
        <v>2916</v>
      </c>
      <c r="K1020" s="58" t="s">
        <v>7</v>
      </c>
      <c r="L1020" s="49">
        <v>0</v>
      </c>
      <c r="M1020" s="48">
        <v>42984</v>
      </c>
      <c r="N1020" s="49" t="s">
        <v>2917</v>
      </c>
      <c r="O1020" s="49" t="s">
        <v>7</v>
      </c>
      <c r="P1020" s="49">
        <v>0</v>
      </c>
      <c r="Q1020" s="51" t="s">
        <v>5002</v>
      </c>
      <c r="R1020" s="67" t="e" cm="1">
        <f t="array" ref="R1020">_xlfn.CHOOSECOLS(_xlfn.CHOOSEROWS(_xlfn._xlws.FILTER(표2[],표2[DWG No.]=C1020,""),1),6)</f>
        <v>#VALUE!</v>
      </c>
      <c r="S1020" s="67" t="e" cm="1">
        <f t="array" ref="S1020">_xlfn.CHOOSECOLS(_xlfn.CHOOSEROWS(_xlfn._xlws.FILTER(표2[],(표2[DWG No.]=C1020)*(ISNUMBER(표2[Rev.])),""),1),6)</f>
        <v>#VALUE!</v>
      </c>
    </row>
    <row r="1021" spans="1:19" ht="18" customHeight="1" x14ac:dyDescent="0.45">
      <c r="A1021" s="64">
        <v>1016</v>
      </c>
      <c r="B1021" s="49" t="s">
        <v>2912</v>
      </c>
      <c r="C1021" s="50" t="s">
        <v>3870</v>
      </c>
      <c r="D1021" s="49">
        <v>145452</v>
      </c>
      <c r="E1021" s="50" t="s">
        <v>3871</v>
      </c>
      <c r="F1021" s="49" t="s">
        <v>6</v>
      </c>
      <c r="G1021" s="48">
        <v>43017</v>
      </c>
      <c r="H1021" s="48">
        <v>43017</v>
      </c>
      <c r="I1021" s="48">
        <v>43017</v>
      </c>
      <c r="J1021" s="49" t="s">
        <v>3052</v>
      </c>
      <c r="K1021" s="58" t="s">
        <v>7</v>
      </c>
      <c r="L1021" s="49">
        <v>0</v>
      </c>
      <c r="M1021" s="48">
        <v>43018</v>
      </c>
      <c r="N1021" s="49" t="s">
        <v>2917</v>
      </c>
      <c r="O1021" s="49" t="s">
        <v>7</v>
      </c>
      <c r="P1021" s="49">
        <v>0</v>
      </c>
      <c r="Q1021" s="51" t="s">
        <v>5002</v>
      </c>
      <c r="R1021" s="67" t="e" cm="1">
        <f t="array" ref="R1021">_xlfn.CHOOSECOLS(_xlfn.CHOOSEROWS(_xlfn._xlws.FILTER(표2[],표2[DWG No.]=C1021,""),1),6)</f>
        <v>#VALUE!</v>
      </c>
      <c r="S1021" s="67" t="e" cm="1">
        <f t="array" ref="S1021">_xlfn.CHOOSECOLS(_xlfn.CHOOSEROWS(_xlfn._xlws.FILTER(표2[],(표2[DWG No.]=C1021)*(ISNUMBER(표2[Rev.])),""),1),6)</f>
        <v>#VALUE!</v>
      </c>
    </row>
    <row r="1022" spans="1:19" ht="18" customHeight="1" x14ac:dyDescent="0.45">
      <c r="A1022" s="64">
        <v>1017</v>
      </c>
      <c r="B1022" s="49" t="s">
        <v>2912</v>
      </c>
      <c r="C1022" s="50" t="s">
        <v>3872</v>
      </c>
      <c r="D1022" s="49">
        <v>145453</v>
      </c>
      <c r="E1022" s="50" t="s">
        <v>3873</v>
      </c>
      <c r="F1022" s="49" t="s">
        <v>6</v>
      </c>
      <c r="G1022" s="48">
        <v>42991</v>
      </c>
      <c r="H1022" s="48">
        <v>42991</v>
      </c>
      <c r="I1022" s="48">
        <v>42991</v>
      </c>
      <c r="J1022" s="49" t="s">
        <v>3359</v>
      </c>
      <c r="K1022" s="58" t="s">
        <v>7</v>
      </c>
      <c r="L1022" s="49">
        <v>0</v>
      </c>
      <c r="M1022" s="48">
        <v>42991</v>
      </c>
      <c r="N1022" s="49" t="s">
        <v>2917</v>
      </c>
      <c r="O1022" s="49" t="s">
        <v>7</v>
      </c>
      <c r="P1022" s="49">
        <v>0</v>
      </c>
      <c r="Q1022" s="51" t="s">
        <v>5002</v>
      </c>
      <c r="R1022" s="67" t="e" cm="1">
        <f t="array" ref="R1022">_xlfn.CHOOSECOLS(_xlfn.CHOOSEROWS(_xlfn._xlws.FILTER(표2[],표2[DWG No.]=C1022,""),1),6)</f>
        <v>#VALUE!</v>
      </c>
      <c r="S1022" s="67" t="e" cm="1">
        <f t="array" ref="S1022">_xlfn.CHOOSECOLS(_xlfn.CHOOSEROWS(_xlfn._xlws.FILTER(표2[],(표2[DWG No.]=C1022)*(ISNUMBER(표2[Rev.])),""),1),6)</f>
        <v>#VALUE!</v>
      </c>
    </row>
    <row r="1023" spans="1:19" ht="18" customHeight="1" x14ac:dyDescent="0.45">
      <c r="A1023" s="64">
        <v>1018</v>
      </c>
      <c r="B1023" s="49" t="s">
        <v>2912</v>
      </c>
      <c r="C1023" s="50" t="s">
        <v>3874</v>
      </c>
      <c r="D1023" s="49">
        <v>145453</v>
      </c>
      <c r="E1023" s="50" t="s">
        <v>3873</v>
      </c>
      <c r="F1023" s="49" t="s">
        <v>6</v>
      </c>
      <c r="G1023" s="48">
        <v>42991</v>
      </c>
      <c r="H1023" s="48">
        <v>42991</v>
      </c>
      <c r="I1023" s="48">
        <v>42991</v>
      </c>
      <c r="J1023" s="49" t="s">
        <v>3359</v>
      </c>
      <c r="K1023" s="58" t="s">
        <v>7</v>
      </c>
      <c r="L1023" s="49">
        <v>0</v>
      </c>
      <c r="M1023" s="48">
        <v>42991</v>
      </c>
      <c r="N1023" s="49" t="s">
        <v>2917</v>
      </c>
      <c r="O1023" s="49" t="s">
        <v>7</v>
      </c>
      <c r="P1023" s="49">
        <v>0</v>
      </c>
      <c r="Q1023" s="51" t="s">
        <v>5002</v>
      </c>
      <c r="R1023" s="67" t="e" cm="1">
        <f t="array" ref="R1023">_xlfn.CHOOSECOLS(_xlfn.CHOOSEROWS(_xlfn._xlws.FILTER(표2[],표2[DWG No.]=C1023,""),1),6)</f>
        <v>#VALUE!</v>
      </c>
      <c r="S1023" s="67" t="e" cm="1">
        <f t="array" ref="S1023">_xlfn.CHOOSECOLS(_xlfn.CHOOSEROWS(_xlfn._xlws.FILTER(표2[],(표2[DWG No.]=C1023)*(ISNUMBER(표2[Rev.])),""),1),6)</f>
        <v>#VALUE!</v>
      </c>
    </row>
    <row r="1024" spans="1:19" ht="18" customHeight="1" x14ac:dyDescent="0.45">
      <c r="A1024" s="64">
        <v>1019</v>
      </c>
      <c r="B1024" s="49" t="s">
        <v>2912</v>
      </c>
      <c r="C1024" s="50" t="s">
        <v>3875</v>
      </c>
      <c r="D1024" s="49">
        <v>145454</v>
      </c>
      <c r="E1024" s="50" t="s">
        <v>3876</v>
      </c>
      <c r="F1024" s="49" t="s">
        <v>6</v>
      </c>
      <c r="G1024" s="48">
        <v>43027</v>
      </c>
      <c r="H1024" s="48">
        <v>43027</v>
      </c>
      <c r="I1024" s="48">
        <v>43027</v>
      </c>
      <c r="J1024" s="49" t="s">
        <v>3877</v>
      </c>
      <c r="K1024" s="58" t="s">
        <v>7</v>
      </c>
      <c r="L1024" s="49">
        <v>0</v>
      </c>
      <c r="M1024" s="48">
        <v>43031</v>
      </c>
      <c r="N1024" s="49" t="s">
        <v>2917</v>
      </c>
      <c r="O1024" s="49" t="s">
        <v>7</v>
      </c>
      <c r="P1024" s="49">
        <v>0</v>
      </c>
      <c r="Q1024" s="51" t="s">
        <v>5002</v>
      </c>
      <c r="R1024" s="67" t="e" cm="1">
        <f t="array" ref="R1024">_xlfn.CHOOSECOLS(_xlfn.CHOOSEROWS(_xlfn._xlws.FILTER(표2[],표2[DWG No.]=C1024,""),1),6)</f>
        <v>#VALUE!</v>
      </c>
      <c r="S1024" s="67" t="e" cm="1">
        <f t="array" ref="S1024">_xlfn.CHOOSECOLS(_xlfn.CHOOSEROWS(_xlfn._xlws.FILTER(표2[],(표2[DWG No.]=C1024)*(ISNUMBER(표2[Rev.])),""),1),6)</f>
        <v>#VALUE!</v>
      </c>
    </row>
    <row r="1025" spans="1:19" ht="18" customHeight="1" x14ac:dyDescent="0.45">
      <c r="A1025" s="64">
        <v>1020</v>
      </c>
      <c r="B1025" s="49" t="s">
        <v>2912</v>
      </c>
      <c r="C1025" s="50" t="s">
        <v>3878</v>
      </c>
      <c r="D1025" s="49">
        <v>145626</v>
      </c>
      <c r="E1025" s="50" t="s">
        <v>3879</v>
      </c>
      <c r="F1025" s="49" t="s">
        <v>6</v>
      </c>
      <c r="G1025" s="48">
        <v>43024</v>
      </c>
      <c r="H1025" s="48">
        <v>43024</v>
      </c>
      <c r="I1025" s="48">
        <v>43024</v>
      </c>
      <c r="J1025" s="49" t="s">
        <v>3249</v>
      </c>
      <c r="K1025" s="58" t="s">
        <v>7</v>
      </c>
      <c r="L1025" s="49">
        <v>0</v>
      </c>
      <c r="M1025" s="48">
        <v>43025</v>
      </c>
      <c r="N1025" s="49" t="s">
        <v>2917</v>
      </c>
      <c r="O1025" s="49" t="s">
        <v>7</v>
      </c>
      <c r="P1025" s="49">
        <v>0</v>
      </c>
      <c r="Q1025" s="51" t="s">
        <v>5002</v>
      </c>
      <c r="R1025" s="67" t="e" cm="1">
        <f t="array" ref="R1025">_xlfn.CHOOSECOLS(_xlfn.CHOOSEROWS(_xlfn._xlws.FILTER(표2[],표2[DWG No.]=C1025,""),1),6)</f>
        <v>#VALUE!</v>
      </c>
      <c r="S1025" s="67" t="e" cm="1">
        <f t="array" ref="S1025">_xlfn.CHOOSECOLS(_xlfn.CHOOSEROWS(_xlfn._xlws.FILTER(표2[],(표2[DWG No.]=C1025)*(ISNUMBER(표2[Rev.])),""),1),6)</f>
        <v>#VALUE!</v>
      </c>
    </row>
    <row r="1026" spans="1:19" ht="18" customHeight="1" x14ac:dyDescent="0.45">
      <c r="A1026" s="64">
        <v>1021</v>
      </c>
      <c r="B1026" s="49" t="s">
        <v>2912</v>
      </c>
      <c r="C1026" s="50" t="s">
        <v>3880</v>
      </c>
      <c r="D1026" s="49">
        <v>145427</v>
      </c>
      <c r="E1026" s="50" t="s">
        <v>3881</v>
      </c>
      <c r="F1026" s="49" t="s">
        <v>6</v>
      </c>
      <c r="G1026" s="48">
        <v>43024</v>
      </c>
      <c r="H1026" s="48">
        <v>43024</v>
      </c>
      <c r="I1026" s="48">
        <v>43024</v>
      </c>
      <c r="J1026" s="49" t="s">
        <v>3249</v>
      </c>
      <c r="K1026" s="58" t="s">
        <v>7</v>
      </c>
      <c r="L1026" s="49">
        <v>0</v>
      </c>
      <c r="M1026" s="48">
        <v>43025</v>
      </c>
      <c r="N1026" s="49" t="s">
        <v>2917</v>
      </c>
      <c r="O1026" s="49" t="s">
        <v>7</v>
      </c>
      <c r="P1026" s="49">
        <v>0</v>
      </c>
      <c r="Q1026" s="51" t="s">
        <v>5002</v>
      </c>
      <c r="R1026" s="67" t="e" cm="1">
        <f t="array" ref="R1026">_xlfn.CHOOSECOLS(_xlfn.CHOOSEROWS(_xlfn._xlws.FILTER(표2[],표2[DWG No.]=C1026,""),1),6)</f>
        <v>#VALUE!</v>
      </c>
      <c r="S1026" s="67" t="e" cm="1">
        <f t="array" ref="S1026">_xlfn.CHOOSECOLS(_xlfn.CHOOSEROWS(_xlfn._xlws.FILTER(표2[],(표2[DWG No.]=C1026)*(ISNUMBER(표2[Rev.])),""),1),6)</f>
        <v>#VALUE!</v>
      </c>
    </row>
    <row r="1027" spans="1:19" ht="18" customHeight="1" x14ac:dyDescent="0.45">
      <c r="A1027" s="64">
        <v>1022</v>
      </c>
      <c r="B1027" s="49" t="s">
        <v>2912</v>
      </c>
      <c r="C1027" s="50" t="s">
        <v>3882</v>
      </c>
      <c r="D1027" s="49">
        <v>145628</v>
      </c>
      <c r="E1027" s="50" t="s">
        <v>3883</v>
      </c>
      <c r="F1027" s="49" t="s">
        <v>6</v>
      </c>
      <c r="G1027" s="48">
        <v>43024</v>
      </c>
      <c r="H1027" s="48">
        <v>43024</v>
      </c>
      <c r="I1027" s="48">
        <v>43024</v>
      </c>
      <c r="J1027" s="49" t="s">
        <v>3249</v>
      </c>
      <c r="K1027" s="58" t="s">
        <v>7</v>
      </c>
      <c r="L1027" s="49">
        <v>0</v>
      </c>
      <c r="M1027" s="48">
        <v>43025</v>
      </c>
      <c r="N1027" s="49" t="s">
        <v>2917</v>
      </c>
      <c r="O1027" s="49" t="s">
        <v>7</v>
      </c>
      <c r="P1027" s="49">
        <v>0</v>
      </c>
      <c r="Q1027" s="51" t="s">
        <v>5002</v>
      </c>
      <c r="R1027" s="67" t="e" cm="1">
        <f t="array" ref="R1027">_xlfn.CHOOSECOLS(_xlfn.CHOOSEROWS(_xlfn._xlws.FILTER(표2[],표2[DWG No.]=C1027,""),1),6)</f>
        <v>#VALUE!</v>
      </c>
      <c r="S1027" s="67" t="e" cm="1">
        <f t="array" ref="S1027">_xlfn.CHOOSECOLS(_xlfn.CHOOSEROWS(_xlfn._xlws.FILTER(표2[],(표2[DWG No.]=C1027)*(ISNUMBER(표2[Rev.])),""),1),6)</f>
        <v>#VALUE!</v>
      </c>
    </row>
    <row r="1028" spans="1:19" ht="18" customHeight="1" x14ac:dyDescent="0.45">
      <c r="A1028" s="64">
        <v>1023</v>
      </c>
      <c r="B1028" s="49" t="s">
        <v>2912</v>
      </c>
      <c r="C1028" s="50" t="s">
        <v>3884</v>
      </c>
      <c r="D1028" s="49">
        <v>145548</v>
      </c>
      <c r="E1028" s="50" t="s">
        <v>3885</v>
      </c>
      <c r="F1028" s="49" t="s">
        <v>6</v>
      </c>
      <c r="G1028" s="48">
        <v>43059</v>
      </c>
      <c r="H1028" s="48">
        <v>43059</v>
      </c>
      <c r="I1028" s="48">
        <v>43059</v>
      </c>
      <c r="J1028" s="49" t="s">
        <v>3063</v>
      </c>
      <c r="K1028" s="58" t="s">
        <v>7</v>
      </c>
      <c r="L1028" s="49">
        <v>0</v>
      </c>
      <c r="M1028" s="48">
        <v>43060</v>
      </c>
      <c r="N1028" s="49" t="s">
        <v>2917</v>
      </c>
      <c r="O1028" s="49" t="s">
        <v>7</v>
      </c>
      <c r="P1028" s="49">
        <v>0</v>
      </c>
      <c r="Q1028" s="51" t="s">
        <v>5002</v>
      </c>
      <c r="R1028" s="67" t="e" cm="1">
        <f t="array" ref="R1028">_xlfn.CHOOSECOLS(_xlfn.CHOOSEROWS(_xlfn._xlws.FILTER(표2[],표2[DWG No.]=C1028,""),1),6)</f>
        <v>#VALUE!</v>
      </c>
      <c r="S1028" s="67" t="e" cm="1">
        <f t="array" ref="S1028">_xlfn.CHOOSECOLS(_xlfn.CHOOSEROWS(_xlfn._xlws.FILTER(표2[],(표2[DWG No.]=C1028)*(ISNUMBER(표2[Rev.])),""),1),6)</f>
        <v>#VALUE!</v>
      </c>
    </row>
    <row r="1029" spans="1:19" ht="18" customHeight="1" x14ac:dyDescent="0.45">
      <c r="A1029" s="64">
        <v>1024</v>
      </c>
      <c r="B1029" s="49" t="s">
        <v>2912</v>
      </c>
      <c r="C1029" s="50" t="s">
        <v>3886</v>
      </c>
      <c r="D1029" s="49">
        <v>145547</v>
      </c>
      <c r="E1029" s="50" t="s">
        <v>3887</v>
      </c>
      <c r="F1029" s="49" t="s">
        <v>6</v>
      </c>
      <c r="G1029" s="48">
        <v>43024</v>
      </c>
      <c r="H1029" s="48">
        <v>43024</v>
      </c>
      <c r="I1029" s="48">
        <v>43024</v>
      </c>
      <c r="J1029" s="49" t="s">
        <v>3249</v>
      </c>
      <c r="K1029" s="58" t="s">
        <v>7</v>
      </c>
      <c r="L1029" s="49">
        <v>0</v>
      </c>
      <c r="M1029" s="48">
        <v>43025</v>
      </c>
      <c r="N1029" s="49" t="s">
        <v>2917</v>
      </c>
      <c r="O1029" s="49" t="s">
        <v>7</v>
      </c>
      <c r="P1029" s="49">
        <v>0</v>
      </c>
      <c r="Q1029" s="51" t="s">
        <v>5002</v>
      </c>
      <c r="R1029" s="67" t="e" cm="1">
        <f t="array" ref="R1029">_xlfn.CHOOSECOLS(_xlfn.CHOOSEROWS(_xlfn._xlws.FILTER(표2[],표2[DWG No.]=C1029,""),1),6)</f>
        <v>#VALUE!</v>
      </c>
      <c r="S1029" s="67" t="e" cm="1">
        <f t="array" ref="S1029">_xlfn.CHOOSECOLS(_xlfn.CHOOSEROWS(_xlfn._xlws.FILTER(표2[],(표2[DWG No.]=C1029)*(ISNUMBER(표2[Rev.])),""),1),6)</f>
        <v>#VALUE!</v>
      </c>
    </row>
    <row r="1030" spans="1:19" ht="18" customHeight="1" x14ac:dyDescent="0.45">
      <c r="A1030" s="64">
        <v>1025</v>
      </c>
      <c r="B1030" s="49" t="s">
        <v>2912</v>
      </c>
      <c r="C1030" s="50" t="s">
        <v>3888</v>
      </c>
      <c r="D1030" s="49">
        <v>125452</v>
      </c>
      <c r="E1030" s="50" t="s">
        <v>3889</v>
      </c>
      <c r="F1030" s="49" t="s">
        <v>6</v>
      </c>
      <c r="G1030" s="48">
        <v>43012</v>
      </c>
      <c r="H1030" s="48">
        <v>43012</v>
      </c>
      <c r="I1030" s="48">
        <v>43012</v>
      </c>
      <c r="J1030" s="49" t="s">
        <v>3202</v>
      </c>
      <c r="K1030" s="58" t="s">
        <v>7</v>
      </c>
      <c r="L1030" s="49">
        <v>0</v>
      </c>
      <c r="M1030" s="48">
        <v>43012</v>
      </c>
      <c r="N1030" s="49" t="s">
        <v>2917</v>
      </c>
      <c r="O1030" s="49" t="s">
        <v>7</v>
      </c>
      <c r="P1030" s="49">
        <v>0</v>
      </c>
      <c r="Q1030" s="51" t="s">
        <v>5002</v>
      </c>
      <c r="R1030" s="67" t="e" cm="1">
        <f t="array" ref="R1030">_xlfn.CHOOSECOLS(_xlfn.CHOOSEROWS(_xlfn._xlws.FILTER(표2[],표2[DWG No.]=C1030,""),1),6)</f>
        <v>#VALUE!</v>
      </c>
      <c r="S1030" s="67" t="e" cm="1">
        <f t="array" ref="S1030">_xlfn.CHOOSECOLS(_xlfn.CHOOSEROWS(_xlfn._xlws.FILTER(표2[],(표2[DWG No.]=C1030)*(ISNUMBER(표2[Rev.])),""),1),6)</f>
        <v>#VALUE!</v>
      </c>
    </row>
    <row r="1031" spans="1:19" ht="18" customHeight="1" x14ac:dyDescent="0.45">
      <c r="A1031" s="64">
        <v>1026</v>
      </c>
      <c r="B1031" s="49" t="s">
        <v>2912</v>
      </c>
      <c r="C1031" s="50" t="s">
        <v>3890</v>
      </c>
      <c r="D1031" s="49">
        <v>125624</v>
      </c>
      <c r="E1031" s="50" t="s">
        <v>3891</v>
      </c>
      <c r="F1031" s="49" t="s">
        <v>6</v>
      </c>
      <c r="G1031" s="48">
        <v>43059</v>
      </c>
      <c r="H1031" s="48">
        <v>43059</v>
      </c>
      <c r="I1031" s="48">
        <v>43059</v>
      </c>
      <c r="J1031" s="49" t="s">
        <v>3063</v>
      </c>
      <c r="K1031" s="58" t="s">
        <v>7</v>
      </c>
      <c r="L1031" s="49">
        <v>0</v>
      </c>
      <c r="M1031" s="48">
        <v>43060</v>
      </c>
      <c r="N1031" s="49" t="s">
        <v>2917</v>
      </c>
      <c r="O1031" s="49" t="s">
        <v>7</v>
      </c>
      <c r="P1031" s="49">
        <v>0</v>
      </c>
      <c r="Q1031" s="51" t="s">
        <v>5002</v>
      </c>
      <c r="R1031" s="67" t="e" cm="1">
        <f t="array" ref="R1031">_xlfn.CHOOSECOLS(_xlfn.CHOOSEROWS(_xlfn._xlws.FILTER(표2[],표2[DWG No.]=C1031,""),1),6)</f>
        <v>#VALUE!</v>
      </c>
      <c r="S1031" s="67" t="e" cm="1">
        <f t="array" ref="S1031">_xlfn.CHOOSECOLS(_xlfn.CHOOSEROWS(_xlfn._xlws.FILTER(표2[],(표2[DWG No.]=C1031)*(ISNUMBER(표2[Rev.])),""),1),6)</f>
        <v>#VALUE!</v>
      </c>
    </row>
    <row r="1032" spans="1:19" ht="18" customHeight="1" x14ac:dyDescent="0.45">
      <c r="A1032" s="64">
        <v>1027</v>
      </c>
      <c r="B1032" s="49" t="s">
        <v>2912</v>
      </c>
      <c r="C1032" s="50" t="s">
        <v>3892</v>
      </c>
      <c r="D1032" s="49">
        <v>125440</v>
      </c>
      <c r="E1032" s="50" t="s">
        <v>3893</v>
      </c>
      <c r="F1032" s="49" t="s">
        <v>5</v>
      </c>
      <c r="G1032" s="48">
        <v>43067</v>
      </c>
      <c r="H1032" s="48">
        <v>43097</v>
      </c>
      <c r="I1032" s="48">
        <v>43644</v>
      </c>
      <c r="J1032" s="49" t="s">
        <v>3034</v>
      </c>
      <c r="K1032" s="58" t="s">
        <v>7</v>
      </c>
      <c r="L1032" s="49" t="s">
        <v>349</v>
      </c>
      <c r="M1032" s="48">
        <v>43665</v>
      </c>
      <c r="N1032" s="49" t="s">
        <v>3035</v>
      </c>
      <c r="O1032" s="49"/>
      <c r="P1032" s="49" t="s">
        <v>349</v>
      </c>
      <c r="Q1032" s="49" t="s">
        <v>160</v>
      </c>
      <c r="R1032" s="67" t="e" cm="1">
        <f t="array" ref="R1032">_xlfn.CHOOSECOLS(_xlfn.CHOOSEROWS(_xlfn._xlws.FILTER(표2[],표2[DWG No.]=C1032,""),1),6)</f>
        <v>#VALUE!</v>
      </c>
      <c r="S1032" s="67" t="e" cm="1">
        <f t="array" ref="S1032">_xlfn.CHOOSECOLS(_xlfn.CHOOSEROWS(_xlfn._xlws.FILTER(표2[],(표2[DWG No.]=C1032)*(ISNUMBER(표2[Rev.])),""),1),6)</f>
        <v>#VALUE!</v>
      </c>
    </row>
    <row r="1033" spans="1:19" ht="18" customHeight="1" x14ac:dyDescent="0.45">
      <c r="A1033" s="64">
        <v>1028</v>
      </c>
      <c r="B1033" s="49" t="s">
        <v>2912</v>
      </c>
      <c r="C1033" s="50" t="s">
        <v>3894</v>
      </c>
      <c r="D1033" s="49">
        <v>125442</v>
      </c>
      <c r="E1033" s="50" t="s">
        <v>3895</v>
      </c>
      <c r="F1033" s="49" t="s">
        <v>5</v>
      </c>
      <c r="G1033" s="48">
        <v>43067</v>
      </c>
      <c r="H1033" s="48">
        <v>43097</v>
      </c>
      <c r="I1033" s="48">
        <v>43067</v>
      </c>
      <c r="J1033" s="49" t="s">
        <v>3896</v>
      </c>
      <c r="K1033" s="58" t="s">
        <v>5</v>
      </c>
      <c r="L1033" s="49" t="s">
        <v>65</v>
      </c>
      <c r="M1033" s="48">
        <v>43091</v>
      </c>
      <c r="N1033" s="49" t="s">
        <v>3897</v>
      </c>
      <c r="O1033" s="49" t="s">
        <v>5</v>
      </c>
      <c r="P1033" s="49" t="s">
        <v>65</v>
      </c>
      <c r="Q1033" s="49" t="s">
        <v>2702</v>
      </c>
      <c r="R1033" s="67" t="e" cm="1">
        <f t="array" ref="R1033">_xlfn.CHOOSECOLS(_xlfn.CHOOSEROWS(_xlfn._xlws.FILTER(표2[],표2[DWG No.]=C1033,""),1),6)</f>
        <v>#VALUE!</v>
      </c>
      <c r="S1033" s="67" t="e" cm="1">
        <f t="array" ref="S1033">_xlfn.CHOOSECOLS(_xlfn.CHOOSEROWS(_xlfn._xlws.FILTER(표2[],(표2[DWG No.]=C1033)*(ISNUMBER(표2[Rev.])),""),1),6)</f>
        <v>#VALUE!</v>
      </c>
    </row>
    <row r="1034" spans="1:19" ht="18" customHeight="1" x14ac:dyDescent="0.45">
      <c r="A1034" s="64">
        <v>1029</v>
      </c>
      <c r="B1034" s="49" t="s">
        <v>2912</v>
      </c>
      <c r="C1034" s="50" t="s">
        <v>3898</v>
      </c>
      <c r="D1034" s="49">
        <v>125443</v>
      </c>
      <c r="E1034" s="50" t="s">
        <v>3899</v>
      </c>
      <c r="F1034" s="49" t="s">
        <v>5</v>
      </c>
      <c r="G1034" s="48">
        <v>43067</v>
      </c>
      <c r="H1034" s="48">
        <v>43097</v>
      </c>
      <c r="I1034" s="48">
        <v>43067</v>
      </c>
      <c r="J1034" s="49" t="s">
        <v>3896</v>
      </c>
      <c r="K1034" s="58" t="s">
        <v>5</v>
      </c>
      <c r="L1034" s="49" t="s">
        <v>65</v>
      </c>
      <c r="M1034" s="48">
        <v>43091</v>
      </c>
      <c r="N1034" s="49" t="s">
        <v>3897</v>
      </c>
      <c r="O1034" s="49" t="s">
        <v>5</v>
      </c>
      <c r="P1034" s="49" t="s">
        <v>65</v>
      </c>
      <c r="Q1034" s="49" t="s">
        <v>2702</v>
      </c>
      <c r="R1034" s="67" t="e" cm="1">
        <f t="array" ref="R1034">_xlfn.CHOOSECOLS(_xlfn.CHOOSEROWS(_xlfn._xlws.FILTER(표2[],표2[DWG No.]=C1034,""),1),6)</f>
        <v>#VALUE!</v>
      </c>
      <c r="S1034" s="67" t="e" cm="1">
        <f t="array" ref="S1034">_xlfn.CHOOSECOLS(_xlfn.CHOOSEROWS(_xlfn._xlws.FILTER(표2[],(표2[DWG No.]=C1034)*(ISNUMBER(표2[Rev.])),""),1),6)</f>
        <v>#VALUE!</v>
      </c>
    </row>
    <row r="1035" spans="1:19" ht="18" customHeight="1" x14ac:dyDescent="0.45">
      <c r="A1035" s="64">
        <v>1030</v>
      </c>
      <c r="B1035" s="49" t="s">
        <v>2912</v>
      </c>
      <c r="C1035" s="50" t="s">
        <v>3900</v>
      </c>
      <c r="D1035" s="49">
        <v>125445</v>
      </c>
      <c r="E1035" s="50" t="s">
        <v>3901</v>
      </c>
      <c r="F1035" s="49" t="s">
        <v>5</v>
      </c>
      <c r="G1035" s="48">
        <v>43067</v>
      </c>
      <c r="H1035" s="48">
        <v>43097</v>
      </c>
      <c r="I1035" s="48">
        <v>43067</v>
      </c>
      <c r="J1035" s="49" t="s">
        <v>3896</v>
      </c>
      <c r="K1035" s="58" t="s">
        <v>5</v>
      </c>
      <c r="L1035" s="49" t="s">
        <v>65</v>
      </c>
      <c r="M1035" s="48">
        <v>43091</v>
      </c>
      <c r="N1035" s="49" t="s">
        <v>3897</v>
      </c>
      <c r="O1035" s="49" t="s">
        <v>5</v>
      </c>
      <c r="P1035" s="49" t="s">
        <v>65</v>
      </c>
      <c r="Q1035" s="49" t="s">
        <v>2702</v>
      </c>
      <c r="R1035" s="67" t="e" cm="1">
        <f t="array" ref="R1035">_xlfn.CHOOSECOLS(_xlfn.CHOOSEROWS(_xlfn._xlws.FILTER(표2[],표2[DWG No.]=C1035,""),1),6)</f>
        <v>#VALUE!</v>
      </c>
      <c r="S1035" s="67" t="e" cm="1">
        <f t="array" ref="S1035">_xlfn.CHOOSECOLS(_xlfn.CHOOSEROWS(_xlfn._xlws.FILTER(표2[],(표2[DWG No.]=C1035)*(ISNUMBER(표2[Rev.])),""),1),6)</f>
        <v>#VALUE!</v>
      </c>
    </row>
    <row r="1036" spans="1:19" ht="18" customHeight="1" x14ac:dyDescent="0.45">
      <c r="A1036" s="64">
        <v>1031</v>
      </c>
      <c r="B1036" s="49" t="s">
        <v>2912</v>
      </c>
      <c r="C1036" s="50" t="s">
        <v>3902</v>
      </c>
      <c r="D1036" s="49">
        <v>115135</v>
      </c>
      <c r="E1036" s="50" t="s">
        <v>3903</v>
      </c>
      <c r="F1036" s="49" t="s">
        <v>6</v>
      </c>
      <c r="G1036" s="48">
        <v>42773</v>
      </c>
      <c r="H1036" s="48">
        <v>42803</v>
      </c>
      <c r="I1036" s="48">
        <v>43003</v>
      </c>
      <c r="J1036" s="49" t="s">
        <v>2953</v>
      </c>
      <c r="K1036" s="58" t="s">
        <v>7</v>
      </c>
      <c r="L1036" s="49">
        <v>0</v>
      </c>
      <c r="M1036" s="48">
        <v>43003</v>
      </c>
      <c r="N1036" s="49" t="s">
        <v>2917</v>
      </c>
      <c r="O1036" s="49" t="s">
        <v>7</v>
      </c>
      <c r="P1036" s="49">
        <v>0</v>
      </c>
      <c r="Q1036" s="51" t="s">
        <v>5002</v>
      </c>
      <c r="R1036" s="67" t="e" cm="1">
        <f t="array" ref="R1036">_xlfn.CHOOSECOLS(_xlfn.CHOOSEROWS(_xlfn._xlws.FILTER(표2[],표2[DWG No.]=C1036,""),1),6)</f>
        <v>#VALUE!</v>
      </c>
      <c r="S1036" s="67" t="e" cm="1">
        <f t="array" ref="S1036">_xlfn.CHOOSECOLS(_xlfn.CHOOSEROWS(_xlfn._xlws.FILTER(표2[],(표2[DWG No.]=C1036)*(ISNUMBER(표2[Rev.])),""),1),6)</f>
        <v>#VALUE!</v>
      </c>
    </row>
    <row r="1037" spans="1:19" ht="18" customHeight="1" x14ac:dyDescent="0.45">
      <c r="A1037" s="64">
        <v>1032</v>
      </c>
      <c r="B1037" s="49" t="s">
        <v>2912</v>
      </c>
      <c r="C1037" s="50" t="s">
        <v>3904</v>
      </c>
      <c r="D1037" s="49">
        <v>115469</v>
      </c>
      <c r="E1037" s="50" t="s">
        <v>3905</v>
      </c>
      <c r="F1037" s="49" t="s">
        <v>6</v>
      </c>
      <c r="G1037" s="48">
        <v>42898</v>
      </c>
      <c r="H1037" s="48">
        <v>42928</v>
      </c>
      <c r="I1037" s="48">
        <v>43024</v>
      </c>
      <c r="J1037" s="49" t="s">
        <v>3249</v>
      </c>
      <c r="K1037" s="58" t="s">
        <v>7</v>
      </c>
      <c r="L1037" s="49">
        <v>0</v>
      </c>
      <c r="M1037" s="48">
        <v>43025</v>
      </c>
      <c r="N1037" s="49" t="s">
        <v>2917</v>
      </c>
      <c r="O1037" s="49" t="s">
        <v>7</v>
      </c>
      <c r="P1037" s="49">
        <v>0</v>
      </c>
      <c r="Q1037" s="51" t="s">
        <v>5002</v>
      </c>
      <c r="R1037" s="67" t="e" cm="1">
        <f t="array" ref="R1037">_xlfn.CHOOSECOLS(_xlfn.CHOOSEROWS(_xlfn._xlws.FILTER(표2[],표2[DWG No.]=C1037,""),1),6)</f>
        <v>#VALUE!</v>
      </c>
      <c r="S1037" s="67" t="e" cm="1">
        <f t="array" ref="S1037">_xlfn.CHOOSECOLS(_xlfn.CHOOSEROWS(_xlfn._xlws.FILTER(표2[],(표2[DWG No.]=C1037)*(ISNUMBER(표2[Rev.])),""),1),6)</f>
        <v>#VALUE!</v>
      </c>
    </row>
    <row r="1038" spans="1:19" ht="18" customHeight="1" x14ac:dyDescent="0.45">
      <c r="A1038" s="64">
        <v>1033</v>
      </c>
      <c r="B1038" s="49" t="s">
        <v>2912</v>
      </c>
      <c r="C1038" s="50" t="s">
        <v>3906</v>
      </c>
      <c r="D1038" s="49">
        <v>115469</v>
      </c>
      <c r="E1038" s="50" t="s">
        <v>3907</v>
      </c>
      <c r="F1038" s="49" t="s">
        <v>6</v>
      </c>
      <c r="G1038" s="48">
        <v>42898</v>
      </c>
      <c r="H1038" s="48">
        <v>42928</v>
      </c>
      <c r="I1038" s="48">
        <v>43024</v>
      </c>
      <c r="J1038" s="49" t="s">
        <v>3249</v>
      </c>
      <c r="K1038" s="58" t="s">
        <v>7</v>
      </c>
      <c r="L1038" s="49">
        <v>0</v>
      </c>
      <c r="M1038" s="48">
        <v>43025</v>
      </c>
      <c r="N1038" s="49" t="s">
        <v>2917</v>
      </c>
      <c r="O1038" s="49" t="s">
        <v>7</v>
      </c>
      <c r="P1038" s="49">
        <v>0</v>
      </c>
      <c r="Q1038" s="51" t="s">
        <v>5002</v>
      </c>
      <c r="R1038" s="67" t="e" cm="1">
        <f t="array" ref="R1038">_xlfn.CHOOSECOLS(_xlfn.CHOOSEROWS(_xlfn._xlws.FILTER(표2[],표2[DWG No.]=C1038,""),1),6)</f>
        <v>#VALUE!</v>
      </c>
      <c r="S1038" s="67" t="e" cm="1">
        <f t="array" ref="S1038">_xlfn.CHOOSECOLS(_xlfn.CHOOSEROWS(_xlfn._xlws.FILTER(표2[],(표2[DWG No.]=C1038)*(ISNUMBER(표2[Rev.])),""),1),6)</f>
        <v>#VALUE!</v>
      </c>
    </row>
    <row r="1039" spans="1:19" ht="18" customHeight="1" x14ac:dyDescent="0.45">
      <c r="A1039" s="64">
        <v>1034</v>
      </c>
      <c r="B1039" s="49" t="s">
        <v>2912</v>
      </c>
      <c r="C1039" s="50" t="s">
        <v>3908</v>
      </c>
      <c r="D1039" s="49">
        <v>115456</v>
      </c>
      <c r="E1039" s="50" t="s">
        <v>3909</v>
      </c>
      <c r="F1039" s="49" t="s">
        <v>6</v>
      </c>
      <c r="G1039" s="48">
        <v>42965</v>
      </c>
      <c r="H1039" s="48">
        <v>42965</v>
      </c>
      <c r="I1039" s="48">
        <v>42965</v>
      </c>
      <c r="J1039" s="49" t="s">
        <v>3070</v>
      </c>
      <c r="K1039" s="58" t="s">
        <v>7</v>
      </c>
      <c r="L1039" s="49">
        <v>0</v>
      </c>
      <c r="M1039" s="48">
        <v>42969</v>
      </c>
      <c r="N1039" s="49" t="s">
        <v>2917</v>
      </c>
      <c r="O1039" s="49" t="s">
        <v>7</v>
      </c>
      <c r="P1039" s="49">
        <v>0</v>
      </c>
      <c r="Q1039" s="51" t="s">
        <v>5002</v>
      </c>
      <c r="R1039" s="67" t="e" cm="1">
        <f t="array" ref="R1039">_xlfn.CHOOSECOLS(_xlfn.CHOOSEROWS(_xlfn._xlws.FILTER(표2[],표2[DWG No.]=C1039,""),1),6)</f>
        <v>#VALUE!</v>
      </c>
      <c r="S1039" s="67" t="e" cm="1">
        <f t="array" ref="S1039">_xlfn.CHOOSECOLS(_xlfn.CHOOSEROWS(_xlfn._xlws.FILTER(표2[],(표2[DWG No.]=C1039)*(ISNUMBER(표2[Rev.])),""),1),6)</f>
        <v>#VALUE!</v>
      </c>
    </row>
    <row r="1040" spans="1:19" ht="18" customHeight="1" x14ac:dyDescent="0.45">
      <c r="A1040" s="64">
        <v>1035</v>
      </c>
      <c r="B1040" s="49" t="s">
        <v>2912</v>
      </c>
      <c r="C1040" s="50" t="s">
        <v>3910</v>
      </c>
      <c r="D1040" s="49">
        <v>115457</v>
      </c>
      <c r="E1040" s="50" t="s">
        <v>3911</v>
      </c>
      <c r="F1040" s="49" t="s">
        <v>6</v>
      </c>
      <c r="G1040" s="48">
        <v>42965</v>
      </c>
      <c r="H1040" s="48">
        <v>42965</v>
      </c>
      <c r="I1040" s="48">
        <v>42965</v>
      </c>
      <c r="J1040" s="49" t="s">
        <v>3070</v>
      </c>
      <c r="K1040" s="58" t="s">
        <v>7</v>
      </c>
      <c r="L1040" s="49">
        <v>0</v>
      </c>
      <c r="M1040" s="48">
        <v>42969</v>
      </c>
      <c r="N1040" s="49" t="s">
        <v>2917</v>
      </c>
      <c r="O1040" s="49" t="s">
        <v>7</v>
      </c>
      <c r="P1040" s="49">
        <v>0</v>
      </c>
      <c r="Q1040" s="51" t="s">
        <v>5002</v>
      </c>
      <c r="R1040" s="67" t="e" cm="1">
        <f t="array" ref="R1040">_xlfn.CHOOSECOLS(_xlfn.CHOOSEROWS(_xlfn._xlws.FILTER(표2[],표2[DWG No.]=C1040,""),1),6)</f>
        <v>#VALUE!</v>
      </c>
      <c r="S1040" s="67" t="e" cm="1">
        <f t="array" ref="S1040">_xlfn.CHOOSECOLS(_xlfn.CHOOSEROWS(_xlfn._xlws.FILTER(표2[],(표2[DWG No.]=C1040)*(ISNUMBER(표2[Rev.])),""),1),6)</f>
        <v>#VALUE!</v>
      </c>
    </row>
    <row r="1041" spans="1:19" ht="18" customHeight="1" x14ac:dyDescent="0.45">
      <c r="A1041" s="64">
        <v>1036</v>
      </c>
      <c r="B1041" s="49" t="s">
        <v>2912</v>
      </c>
      <c r="C1041" s="50" t="s">
        <v>3912</v>
      </c>
      <c r="D1041" s="49">
        <v>115017</v>
      </c>
      <c r="E1041" s="50" t="s">
        <v>3913</v>
      </c>
      <c r="F1041" s="49" t="s">
        <v>5</v>
      </c>
      <c r="G1041" s="48">
        <v>42895</v>
      </c>
      <c r="H1041" s="48">
        <v>42925</v>
      </c>
      <c r="I1041" s="48">
        <v>42895</v>
      </c>
      <c r="J1041" s="49" t="s">
        <v>3914</v>
      </c>
      <c r="K1041" s="58" t="s">
        <v>5</v>
      </c>
      <c r="L1041" s="49" t="s">
        <v>65</v>
      </c>
      <c r="M1041" s="48">
        <v>42902</v>
      </c>
      <c r="N1041" s="49" t="s">
        <v>3915</v>
      </c>
      <c r="O1041" s="49" t="s">
        <v>5</v>
      </c>
      <c r="P1041" s="49" t="s">
        <v>65</v>
      </c>
      <c r="Q1041" s="49" t="s">
        <v>2702</v>
      </c>
      <c r="R1041" s="67" t="e" cm="1">
        <f t="array" ref="R1041">_xlfn.CHOOSECOLS(_xlfn.CHOOSEROWS(_xlfn._xlws.FILTER(표2[],표2[DWG No.]=C1041,""),1),6)</f>
        <v>#VALUE!</v>
      </c>
      <c r="S1041" s="67" t="e" cm="1">
        <f t="array" ref="S1041">_xlfn.CHOOSECOLS(_xlfn.CHOOSEROWS(_xlfn._xlws.FILTER(표2[],(표2[DWG No.]=C1041)*(ISNUMBER(표2[Rev.])),""),1),6)</f>
        <v>#VALUE!</v>
      </c>
    </row>
    <row r="1042" spans="1:19" ht="18" customHeight="1" x14ac:dyDescent="0.45">
      <c r="A1042" s="64">
        <v>1037</v>
      </c>
      <c r="B1042" s="49" t="s">
        <v>2912</v>
      </c>
      <c r="C1042" s="50" t="s">
        <v>3916</v>
      </c>
      <c r="D1042" s="49">
        <v>115471</v>
      </c>
      <c r="E1042" s="50" t="s">
        <v>3917</v>
      </c>
      <c r="F1042" s="49" t="s">
        <v>5</v>
      </c>
      <c r="G1042" s="48">
        <v>42898</v>
      </c>
      <c r="H1042" s="48">
        <v>42928</v>
      </c>
      <c r="I1042" s="48">
        <v>42895</v>
      </c>
      <c r="J1042" s="49" t="s">
        <v>3914</v>
      </c>
      <c r="K1042" s="58" t="s">
        <v>5</v>
      </c>
      <c r="L1042" s="49" t="s">
        <v>65</v>
      </c>
      <c r="M1042" s="48">
        <v>42902</v>
      </c>
      <c r="N1042" s="49" t="s">
        <v>3915</v>
      </c>
      <c r="O1042" s="49" t="s">
        <v>5</v>
      </c>
      <c r="P1042" s="49" t="s">
        <v>65</v>
      </c>
      <c r="Q1042" s="49" t="s">
        <v>2702</v>
      </c>
      <c r="R1042" s="67" t="e" cm="1">
        <f t="array" ref="R1042">_xlfn.CHOOSECOLS(_xlfn.CHOOSEROWS(_xlfn._xlws.FILTER(표2[],표2[DWG No.]=C1042,""),1),6)</f>
        <v>#VALUE!</v>
      </c>
      <c r="S1042" s="67" t="e" cm="1">
        <f t="array" ref="S1042">_xlfn.CHOOSECOLS(_xlfn.CHOOSEROWS(_xlfn._xlws.FILTER(표2[],(표2[DWG No.]=C1042)*(ISNUMBER(표2[Rev.])),""),1),6)</f>
        <v>#VALUE!</v>
      </c>
    </row>
    <row r="1043" spans="1:19" ht="18" customHeight="1" x14ac:dyDescent="0.45">
      <c r="A1043" s="64">
        <v>1038</v>
      </c>
      <c r="B1043" s="49" t="s">
        <v>2912</v>
      </c>
      <c r="C1043" s="50" t="s">
        <v>3918</v>
      </c>
      <c r="D1043" s="49">
        <v>125913</v>
      </c>
      <c r="E1043" s="50" t="s">
        <v>3919</v>
      </c>
      <c r="F1043" s="49" t="s">
        <v>5</v>
      </c>
      <c r="G1043" s="48">
        <v>42992</v>
      </c>
      <c r="H1043" s="48">
        <v>43022</v>
      </c>
      <c r="I1043" s="48">
        <v>42992</v>
      </c>
      <c r="J1043" s="49" t="s">
        <v>3920</v>
      </c>
      <c r="K1043" s="58" t="s">
        <v>5</v>
      </c>
      <c r="L1043" s="49" t="s">
        <v>160</v>
      </c>
      <c r="M1043" s="48">
        <v>42998</v>
      </c>
      <c r="N1043" s="49" t="s">
        <v>3921</v>
      </c>
      <c r="O1043" s="49" t="s">
        <v>5</v>
      </c>
      <c r="P1043" s="49" t="s">
        <v>160</v>
      </c>
      <c r="Q1043" s="51" t="s">
        <v>65</v>
      </c>
      <c r="R1043" s="67" t="e" cm="1">
        <f t="array" ref="R1043">_xlfn.CHOOSECOLS(_xlfn.CHOOSEROWS(_xlfn._xlws.FILTER(표2[],표2[DWG No.]=C1043,""),1),6)</f>
        <v>#VALUE!</v>
      </c>
      <c r="S1043" s="67" t="e" cm="1">
        <f t="array" ref="S1043">_xlfn.CHOOSECOLS(_xlfn.CHOOSEROWS(_xlfn._xlws.FILTER(표2[],(표2[DWG No.]=C1043)*(ISNUMBER(표2[Rev.])),""),1),6)</f>
        <v>#VALUE!</v>
      </c>
    </row>
    <row r="1044" spans="1:19" ht="18" customHeight="1" x14ac:dyDescent="0.45">
      <c r="A1044" s="64">
        <v>1039</v>
      </c>
      <c r="B1044" s="49" t="s">
        <v>2912</v>
      </c>
      <c r="C1044" s="50" t="s">
        <v>3922</v>
      </c>
      <c r="D1044" s="49">
        <v>125914</v>
      </c>
      <c r="E1044" s="50" t="s">
        <v>3923</v>
      </c>
      <c r="F1044" s="49" t="s">
        <v>5</v>
      </c>
      <c r="G1044" s="48">
        <v>42992</v>
      </c>
      <c r="H1044" s="48">
        <v>43022</v>
      </c>
      <c r="I1044" s="48">
        <v>42992</v>
      </c>
      <c r="J1044" s="49" t="s">
        <v>3920</v>
      </c>
      <c r="K1044" s="58" t="s">
        <v>5</v>
      </c>
      <c r="L1044" s="49" t="s">
        <v>160</v>
      </c>
      <c r="M1044" s="48">
        <v>42998</v>
      </c>
      <c r="N1044" s="49" t="s">
        <v>3921</v>
      </c>
      <c r="O1044" s="49" t="s">
        <v>5</v>
      </c>
      <c r="P1044" s="49" t="s">
        <v>160</v>
      </c>
      <c r="Q1044" s="51" t="s">
        <v>65</v>
      </c>
      <c r="R1044" s="67" t="e" cm="1">
        <f t="array" ref="R1044">_xlfn.CHOOSECOLS(_xlfn.CHOOSEROWS(_xlfn._xlws.FILTER(표2[],표2[DWG No.]=C1044,""),1),6)</f>
        <v>#VALUE!</v>
      </c>
      <c r="S1044" s="67" t="e" cm="1">
        <f t="array" ref="S1044">_xlfn.CHOOSECOLS(_xlfn.CHOOSEROWS(_xlfn._xlws.FILTER(표2[],(표2[DWG No.]=C1044)*(ISNUMBER(표2[Rev.])),""),1),6)</f>
        <v>#VALUE!</v>
      </c>
    </row>
    <row r="1045" spans="1:19" ht="18" customHeight="1" x14ac:dyDescent="0.45">
      <c r="A1045" s="64">
        <v>1040</v>
      </c>
      <c r="B1045" s="49" t="s">
        <v>2912</v>
      </c>
      <c r="C1045" s="50" t="s">
        <v>3924</v>
      </c>
      <c r="D1045" s="49">
        <v>125915</v>
      </c>
      <c r="E1045" s="50" t="s">
        <v>3925</v>
      </c>
      <c r="F1045" s="49" t="s">
        <v>5</v>
      </c>
      <c r="G1045" s="48">
        <v>42992</v>
      </c>
      <c r="H1045" s="48">
        <v>43022</v>
      </c>
      <c r="I1045" s="48">
        <v>42992</v>
      </c>
      <c r="J1045" s="49" t="s">
        <v>3920</v>
      </c>
      <c r="K1045" s="58" t="s">
        <v>5</v>
      </c>
      <c r="L1045" s="49" t="s">
        <v>160</v>
      </c>
      <c r="M1045" s="48">
        <v>42998</v>
      </c>
      <c r="N1045" s="49" t="s">
        <v>3921</v>
      </c>
      <c r="O1045" s="49" t="s">
        <v>5</v>
      </c>
      <c r="P1045" s="49" t="s">
        <v>160</v>
      </c>
      <c r="Q1045" s="51" t="s">
        <v>65</v>
      </c>
      <c r="R1045" s="67" t="e" cm="1">
        <f t="array" ref="R1045">_xlfn.CHOOSECOLS(_xlfn.CHOOSEROWS(_xlfn._xlws.FILTER(표2[],표2[DWG No.]=C1045,""),1),6)</f>
        <v>#VALUE!</v>
      </c>
      <c r="S1045" s="67" t="e" cm="1">
        <f t="array" ref="S1045">_xlfn.CHOOSECOLS(_xlfn.CHOOSEROWS(_xlfn._xlws.FILTER(표2[],(표2[DWG No.]=C1045)*(ISNUMBER(표2[Rev.])),""),1),6)</f>
        <v>#VALUE!</v>
      </c>
    </row>
    <row r="1046" spans="1:19" ht="18" customHeight="1" x14ac:dyDescent="0.45">
      <c r="A1046" s="64">
        <v>1041</v>
      </c>
      <c r="B1046" s="49" t="s">
        <v>2912</v>
      </c>
      <c r="C1046" s="50" t="s">
        <v>3926</v>
      </c>
      <c r="D1046" s="49">
        <v>125916</v>
      </c>
      <c r="E1046" s="50" t="s">
        <v>3927</v>
      </c>
      <c r="F1046" s="49" t="s">
        <v>5</v>
      </c>
      <c r="G1046" s="48">
        <v>42992</v>
      </c>
      <c r="H1046" s="48">
        <v>43022</v>
      </c>
      <c r="I1046" s="48">
        <v>42992</v>
      </c>
      <c r="J1046" s="49" t="s">
        <v>3920</v>
      </c>
      <c r="K1046" s="58" t="s">
        <v>5</v>
      </c>
      <c r="L1046" s="49" t="s">
        <v>160</v>
      </c>
      <c r="M1046" s="48">
        <v>42998</v>
      </c>
      <c r="N1046" s="49" t="s">
        <v>3921</v>
      </c>
      <c r="O1046" s="49" t="s">
        <v>5</v>
      </c>
      <c r="P1046" s="49" t="s">
        <v>160</v>
      </c>
      <c r="Q1046" s="51" t="s">
        <v>65</v>
      </c>
      <c r="R1046" s="67" t="e" cm="1">
        <f t="array" ref="R1046">_xlfn.CHOOSECOLS(_xlfn.CHOOSEROWS(_xlfn._xlws.FILTER(표2[],표2[DWG No.]=C1046,""),1),6)</f>
        <v>#VALUE!</v>
      </c>
      <c r="S1046" s="67" t="e" cm="1">
        <f t="array" ref="S1046">_xlfn.CHOOSECOLS(_xlfn.CHOOSEROWS(_xlfn._xlws.FILTER(표2[],(표2[DWG No.]=C1046)*(ISNUMBER(표2[Rev.])),""),1),6)</f>
        <v>#VALUE!</v>
      </c>
    </row>
    <row r="1047" spans="1:19" ht="18" customHeight="1" x14ac:dyDescent="0.45">
      <c r="A1047" s="64">
        <v>1042</v>
      </c>
      <c r="B1047" s="49" t="s">
        <v>2912</v>
      </c>
      <c r="C1047" s="50" t="s">
        <v>3928</v>
      </c>
      <c r="D1047" s="49">
        <v>125917</v>
      </c>
      <c r="E1047" s="50" t="s">
        <v>3929</v>
      </c>
      <c r="F1047" s="49" t="s">
        <v>5</v>
      </c>
      <c r="G1047" s="48">
        <v>42992</v>
      </c>
      <c r="H1047" s="48">
        <v>43022</v>
      </c>
      <c r="I1047" s="48">
        <v>42992</v>
      </c>
      <c r="J1047" s="49" t="s">
        <v>3920</v>
      </c>
      <c r="K1047" s="58" t="s">
        <v>5</v>
      </c>
      <c r="L1047" s="49" t="s">
        <v>160</v>
      </c>
      <c r="M1047" s="48">
        <v>42998</v>
      </c>
      <c r="N1047" s="49" t="s">
        <v>3921</v>
      </c>
      <c r="O1047" s="49" t="s">
        <v>5</v>
      </c>
      <c r="P1047" s="49" t="s">
        <v>160</v>
      </c>
      <c r="Q1047" s="51" t="s">
        <v>65</v>
      </c>
      <c r="R1047" s="67" t="e" cm="1">
        <f t="array" ref="R1047">_xlfn.CHOOSECOLS(_xlfn.CHOOSEROWS(_xlfn._xlws.FILTER(표2[],표2[DWG No.]=C1047,""),1),6)</f>
        <v>#VALUE!</v>
      </c>
      <c r="S1047" s="67" t="e" cm="1">
        <f t="array" ref="S1047">_xlfn.CHOOSECOLS(_xlfn.CHOOSEROWS(_xlfn._xlws.FILTER(표2[],(표2[DWG No.]=C1047)*(ISNUMBER(표2[Rev.])),""),1),6)</f>
        <v>#VALUE!</v>
      </c>
    </row>
    <row r="1048" spans="1:19" ht="18" customHeight="1" x14ac:dyDescent="0.45">
      <c r="A1048" s="64">
        <v>1043</v>
      </c>
      <c r="B1048" s="49" t="s">
        <v>2912</v>
      </c>
      <c r="C1048" s="50" t="s">
        <v>3930</v>
      </c>
      <c r="D1048" s="49">
        <v>125918</v>
      </c>
      <c r="E1048" s="50" t="s">
        <v>3931</v>
      </c>
      <c r="F1048" s="49" t="s">
        <v>5</v>
      </c>
      <c r="G1048" s="48">
        <v>42992</v>
      </c>
      <c r="H1048" s="48">
        <v>43022</v>
      </c>
      <c r="I1048" s="48">
        <v>42992</v>
      </c>
      <c r="J1048" s="49" t="s">
        <v>3920</v>
      </c>
      <c r="K1048" s="58" t="s">
        <v>5</v>
      </c>
      <c r="L1048" s="49" t="s">
        <v>160</v>
      </c>
      <c r="M1048" s="48">
        <v>42998</v>
      </c>
      <c r="N1048" s="49" t="s">
        <v>3921</v>
      </c>
      <c r="O1048" s="49" t="s">
        <v>5</v>
      </c>
      <c r="P1048" s="49" t="s">
        <v>160</v>
      </c>
      <c r="Q1048" s="51" t="s">
        <v>65</v>
      </c>
      <c r="R1048" s="67" t="e" cm="1">
        <f t="array" ref="R1048">_xlfn.CHOOSECOLS(_xlfn.CHOOSEROWS(_xlfn._xlws.FILTER(표2[],표2[DWG No.]=C1048,""),1),6)</f>
        <v>#VALUE!</v>
      </c>
      <c r="S1048" s="67" t="e" cm="1">
        <f t="array" ref="S1048">_xlfn.CHOOSECOLS(_xlfn.CHOOSEROWS(_xlfn._xlws.FILTER(표2[],(표2[DWG No.]=C1048)*(ISNUMBER(표2[Rev.])),""),1),6)</f>
        <v>#VALUE!</v>
      </c>
    </row>
    <row r="1049" spans="1:19" ht="18" customHeight="1" x14ac:dyDescent="0.45">
      <c r="A1049" s="64">
        <v>1044</v>
      </c>
      <c r="B1049" s="49" t="s">
        <v>2912</v>
      </c>
      <c r="C1049" s="50" t="s">
        <v>3932</v>
      </c>
      <c r="D1049" s="49">
        <v>125919</v>
      </c>
      <c r="E1049" s="50" t="s">
        <v>3933</v>
      </c>
      <c r="F1049" s="49" t="s">
        <v>5</v>
      </c>
      <c r="G1049" s="48">
        <v>42992</v>
      </c>
      <c r="H1049" s="48">
        <v>43022</v>
      </c>
      <c r="I1049" s="48">
        <v>42992</v>
      </c>
      <c r="J1049" s="49" t="s">
        <v>3920</v>
      </c>
      <c r="K1049" s="58" t="s">
        <v>5</v>
      </c>
      <c r="L1049" s="49" t="s">
        <v>160</v>
      </c>
      <c r="M1049" s="48">
        <v>42998</v>
      </c>
      <c r="N1049" s="49" t="s">
        <v>3921</v>
      </c>
      <c r="O1049" s="49" t="s">
        <v>5</v>
      </c>
      <c r="P1049" s="49" t="s">
        <v>160</v>
      </c>
      <c r="Q1049" s="51" t="s">
        <v>65</v>
      </c>
      <c r="R1049" s="67" t="e" cm="1">
        <f t="array" ref="R1049">_xlfn.CHOOSECOLS(_xlfn.CHOOSEROWS(_xlfn._xlws.FILTER(표2[],표2[DWG No.]=C1049,""),1),6)</f>
        <v>#VALUE!</v>
      </c>
      <c r="S1049" s="67" t="e" cm="1">
        <f t="array" ref="S1049">_xlfn.CHOOSECOLS(_xlfn.CHOOSEROWS(_xlfn._xlws.FILTER(표2[],(표2[DWG No.]=C1049)*(ISNUMBER(표2[Rev.])),""),1),6)</f>
        <v>#VALUE!</v>
      </c>
    </row>
    <row r="1050" spans="1:19" ht="18" customHeight="1" x14ac:dyDescent="0.45">
      <c r="A1050" s="64">
        <v>1045</v>
      </c>
      <c r="B1050" s="49" t="s">
        <v>2912</v>
      </c>
      <c r="C1050" s="50" t="s">
        <v>3934</v>
      </c>
      <c r="D1050" s="49">
        <v>165921</v>
      </c>
      <c r="E1050" s="50" t="s">
        <v>3935</v>
      </c>
      <c r="F1050" s="49" t="s">
        <v>5</v>
      </c>
      <c r="G1050" s="48">
        <v>42937</v>
      </c>
      <c r="H1050" s="48">
        <v>42967</v>
      </c>
      <c r="I1050" s="48">
        <v>42937</v>
      </c>
      <c r="J1050" s="49" t="s">
        <v>3936</v>
      </c>
      <c r="K1050" s="58" t="s">
        <v>5</v>
      </c>
      <c r="L1050" s="49" t="s">
        <v>65</v>
      </c>
      <c r="M1050" s="48">
        <v>42971</v>
      </c>
      <c r="N1050" s="49" t="s">
        <v>3937</v>
      </c>
      <c r="O1050" s="49" t="s">
        <v>5</v>
      </c>
      <c r="P1050" s="49" t="s">
        <v>65</v>
      </c>
      <c r="Q1050" s="51" t="s">
        <v>65</v>
      </c>
      <c r="R1050" s="67" t="e" cm="1">
        <f t="array" ref="R1050">_xlfn.CHOOSECOLS(_xlfn.CHOOSEROWS(_xlfn._xlws.FILTER(표2[],표2[DWG No.]=C1050,""),1),6)</f>
        <v>#VALUE!</v>
      </c>
      <c r="S1050" s="67" t="e" cm="1">
        <f t="array" ref="S1050">_xlfn.CHOOSECOLS(_xlfn.CHOOSEROWS(_xlfn._xlws.FILTER(표2[],(표2[DWG No.]=C1050)*(ISNUMBER(표2[Rev.])),""),1),6)</f>
        <v>#VALUE!</v>
      </c>
    </row>
    <row r="1051" spans="1:19" ht="18" customHeight="1" x14ac:dyDescent="0.45">
      <c r="A1051" s="64">
        <v>1046</v>
      </c>
      <c r="B1051" s="49" t="s">
        <v>2912</v>
      </c>
      <c r="C1051" s="50" t="s">
        <v>3938</v>
      </c>
      <c r="D1051" s="49">
        <v>165922</v>
      </c>
      <c r="E1051" s="50" t="s">
        <v>3939</v>
      </c>
      <c r="F1051" s="49" t="s">
        <v>5</v>
      </c>
      <c r="G1051" s="48">
        <v>42937</v>
      </c>
      <c r="H1051" s="48">
        <v>42967</v>
      </c>
      <c r="I1051" s="48">
        <v>42937</v>
      </c>
      <c r="J1051" s="49" t="s">
        <v>3936</v>
      </c>
      <c r="K1051" s="58" t="s">
        <v>5</v>
      </c>
      <c r="L1051" s="49" t="s">
        <v>65</v>
      </c>
      <c r="M1051" s="48">
        <v>42971</v>
      </c>
      <c r="N1051" s="49" t="s">
        <v>3937</v>
      </c>
      <c r="O1051" s="49" t="s">
        <v>5</v>
      </c>
      <c r="P1051" s="49" t="s">
        <v>65</v>
      </c>
      <c r="Q1051" s="51" t="s">
        <v>65</v>
      </c>
      <c r="R1051" s="67" t="e" cm="1">
        <f t="array" ref="R1051">_xlfn.CHOOSECOLS(_xlfn.CHOOSEROWS(_xlfn._xlws.FILTER(표2[],표2[DWG No.]=C1051,""),1),6)</f>
        <v>#VALUE!</v>
      </c>
      <c r="S1051" s="67" t="e" cm="1">
        <f t="array" ref="S1051">_xlfn.CHOOSECOLS(_xlfn.CHOOSEROWS(_xlfn._xlws.FILTER(표2[],(표2[DWG No.]=C1051)*(ISNUMBER(표2[Rev.])),""),1),6)</f>
        <v>#VALUE!</v>
      </c>
    </row>
    <row r="1052" spans="1:19" ht="18" customHeight="1" x14ac:dyDescent="0.45">
      <c r="A1052" s="64">
        <v>1047</v>
      </c>
      <c r="B1052" s="49" t="s">
        <v>2912</v>
      </c>
      <c r="C1052" s="50" t="s">
        <v>3940</v>
      </c>
      <c r="D1052" s="49">
        <v>165923</v>
      </c>
      <c r="E1052" s="50" t="s">
        <v>3941</v>
      </c>
      <c r="F1052" s="49" t="s">
        <v>5</v>
      </c>
      <c r="G1052" s="48">
        <v>42937</v>
      </c>
      <c r="H1052" s="48">
        <v>42967</v>
      </c>
      <c r="I1052" s="48">
        <v>42937</v>
      </c>
      <c r="J1052" s="49" t="s">
        <v>3936</v>
      </c>
      <c r="K1052" s="58" t="s">
        <v>5</v>
      </c>
      <c r="L1052" s="49" t="s">
        <v>65</v>
      </c>
      <c r="M1052" s="48">
        <v>42971</v>
      </c>
      <c r="N1052" s="49" t="s">
        <v>3937</v>
      </c>
      <c r="O1052" s="49" t="s">
        <v>5</v>
      </c>
      <c r="P1052" s="49" t="s">
        <v>65</v>
      </c>
      <c r="Q1052" s="51" t="s">
        <v>65</v>
      </c>
      <c r="R1052" s="67" t="e" cm="1">
        <f t="array" ref="R1052">_xlfn.CHOOSECOLS(_xlfn.CHOOSEROWS(_xlfn._xlws.FILTER(표2[],표2[DWG No.]=C1052,""),1),6)</f>
        <v>#VALUE!</v>
      </c>
      <c r="S1052" s="67" t="e" cm="1">
        <f t="array" ref="S1052">_xlfn.CHOOSECOLS(_xlfn.CHOOSEROWS(_xlfn._xlws.FILTER(표2[],(표2[DWG No.]=C1052)*(ISNUMBER(표2[Rev.])),""),1),6)</f>
        <v>#VALUE!</v>
      </c>
    </row>
    <row r="1053" spans="1:19" ht="18" customHeight="1" x14ac:dyDescent="0.45">
      <c r="A1053" s="64">
        <v>1048</v>
      </c>
      <c r="B1053" s="49" t="s">
        <v>2912</v>
      </c>
      <c r="C1053" s="50" t="s">
        <v>3942</v>
      </c>
      <c r="D1053" s="49">
        <v>165924</v>
      </c>
      <c r="E1053" s="50" t="s">
        <v>3943</v>
      </c>
      <c r="F1053" s="49" t="s">
        <v>5</v>
      </c>
      <c r="G1053" s="48">
        <v>42937</v>
      </c>
      <c r="H1053" s="48">
        <v>42967</v>
      </c>
      <c r="I1053" s="48">
        <v>42937</v>
      </c>
      <c r="J1053" s="49" t="s">
        <v>3936</v>
      </c>
      <c r="K1053" s="58" t="s">
        <v>5</v>
      </c>
      <c r="L1053" s="49" t="s">
        <v>65</v>
      </c>
      <c r="M1053" s="48">
        <v>42971</v>
      </c>
      <c r="N1053" s="49" t="s">
        <v>3937</v>
      </c>
      <c r="O1053" s="49" t="s">
        <v>5</v>
      </c>
      <c r="P1053" s="49" t="s">
        <v>65</v>
      </c>
      <c r="Q1053" s="51" t="s">
        <v>65</v>
      </c>
      <c r="R1053" s="67" t="e" cm="1">
        <f t="array" ref="R1053">_xlfn.CHOOSECOLS(_xlfn.CHOOSEROWS(_xlfn._xlws.FILTER(표2[],표2[DWG No.]=C1053,""),1),6)</f>
        <v>#VALUE!</v>
      </c>
      <c r="S1053" s="67" t="e" cm="1">
        <f t="array" ref="S1053">_xlfn.CHOOSECOLS(_xlfn.CHOOSEROWS(_xlfn._xlws.FILTER(표2[],(표2[DWG No.]=C1053)*(ISNUMBER(표2[Rev.])),""),1),6)</f>
        <v>#VALUE!</v>
      </c>
    </row>
    <row r="1054" spans="1:19" ht="18" customHeight="1" x14ac:dyDescent="0.45">
      <c r="A1054" s="64">
        <v>1049</v>
      </c>
      <c r="B1054" s="49" t="s">
        <v>2912</v>
      </c>
      <c r="C1054" s="50" t="s">
        <v>3944</v>
      </c>
      <c r="D1054" s="49">
        <v>165925</v>
      </c>
      <c r="E1054" s="50" t="s">
        <v>3945</v>
      </c>
      <c r="F1054" s="49" t="s">
        <v>5</v>
      </c>
      <c r="G1054" s="48">
        <v>42937</v>
      </c>
      <c r="H1054" s="48">
        <v>42967</v>
      </c>
      <c r="I1054" s="48">
        <v>42937</v>
      </c>
      <c r="J1054" s="49" t="s">
        <v>3936</v>
      </c>
      <c r="K1054" s="58" t="s">
        <v>5</v>
      </c>
      <c r="L1054" s="49" t="s">
        <v>65</v>
      </c>
      <c r="M1054" s="48">
        <v>42971</v>
      </c>
      <c r="N1054" s="49" t="s">
        <v>3937</v>
      </c>
      <c r="O1054" s="49" t="s">
        <v>5</v>
      </c>
      <c r="P1054" s="49" t="s">
        <v>65</v>
      </c>
      <c r="Q1054" s="51" t="s">
        <v>65</v>
      </c>
      <c r="R1054" s="67" t="e" cm="1">
        <f t="array" ref="R1054">_xlfn.CHOOSECOLS(_xlfn.CHOOSEROWS(_xlfn._xlws.FILTER(표2[],표2[DWG No.]=C1054,""),1),6)</f>
        <v>#VALUE!</v>
      </c>
      <c r="S1054" s="67" t="e" cm="1">
        <f t="array" ref="S1054">_xlfn.CHOOSECOLS(_xlfn.CHOOSEROWS(_xlfn._xlws.FILTER(표2[],(표2[DWG No.]=C1054)*(ISNUMBER(표2[Rev.])),""),1),6)</f>
        <v>#VALUE!</v>
      </c>
    </row>
    <row r="1055" spans="1:19" ht="18" customHeight="1" x14ac:dyDescent="0.45">
      <c r="A1055" s="64">
        <v>1050</v>
      </c>
      <c r="B1055" s="49" t="s">
        <v>2912</v>
      </c>
      <c r="C1055" s="50" t="s">
        <v>3946</v>
      </c>
      <c r="D1055" s="49">
        <v>165926</v>
      </c>
      <c r="E1055" s="50" t="s">
        <v>3947</v>
      </c>
      <c r="F1055" s="49" t="s">
        <v>5</v>
      </c>
      <c r="G1055" s="48">
        <v>42937</v>
      </c>
      <c r="H1055" s="48">
        <v>42967</v>
      </c>
      <c r="I1055" s="48">
        <v>42937</v>
      </c>
      <c r="J1055" s="49" t="s">
        <v>3936</v>
      </c>
      <c r="K1055" s="58" t="s">
        <v>5</v>
      </c>
      <c r="L1055" s="49" t="s">
        <v>65</v>
      </c>
      <c r="M1055" s="48">
        <v>42971</v>
      </c>
      <c r="N1055" s="49" t="s">
        <v>3937</v>
      </c>
      <c r="O1055" s="49" t="s">
        <v>5</v>
      </c>
      <c r="P1055" s="49" t="s">
        <v>65</v>
      </c>
      <c r="Q1055" s="51" t="s">
        <v>65</v>
      </c>
      <c r="R1055" s="67" t="e" cm="1">
        <f t="array" ref="R1055">_xlfn.CHOOSECOLS(_xlfn.CHOOSEROWS(_xlfn._xlws.FILTER(표2[],표2[DWG No.]=C1055,""),1),6)</f>
        <v>#VALUE!</v>
      </c>
      <c r="S1055" s="67" t="e" cm="1">
        <f t="array" ref="S1055">_xlfn.CHOOSECOLS(_xlfn.CHOOSEROWS(_xlfn._xlws.FILTER(표2[],(표2[DWG No.]=C1055)*(ISNUMBER(표2[Rev.])),""),1),6)</f>
        <v>#VALUE!</v>
      </c>
    </row>
    <row r="1056" spans="1:19" ht="18" customHeight="1" x14ac:dyDescent="0.45">
      <c r="A1056" s="64">
        <v>1051</v>
      </c>
      <c r="B1056" s="49" t="s">
        <v>2912</v>
      </c>
      <c r="C1056" s="50" t="s">
        <v>3948</v>
      </c>
      <c r="D1056" s="49">
        <v>165927</v>
      </c>
      <c r="E1056" s="50" t="s">
        <v>3949</v>
      </c>
      <c r="F1056" s="49" t="s">
        <v>5</v>
      </c>
      <c r="G1056" s="48">
        <v>42937</v>
      </c>
      <c r="H1056" s="48">
        <v>42967</v>
      </c>
      <c r="I1056" s="48">
        <v>42937</v>
      </c>
      <c r="J1056" s="49" t="s">
        <v>3936</v>
      </c>
      <c r="K1056" s="58" t="s">
        <v>5</v>
      </c>
      <c r="L1056" s="49" t="s">
        <v>65</v>
      </c>
      <c r="M1056" s="48">
        <v>42971</v>
      </c>
      <c r="N1056" s="49" t="s">
        <v>3937</v>
      </c>
      <c r="O1056" s="49" t="s">
        <v>5</v>
      </c>
      <c r="P1056" s="49" t="s">
        <v>65</v>
      </c>
      <c r="Q1056" s="51" t="s">
        <v>65</v>
      </c>
      <c r="R1056" s="67" t="e" cm="1">
        <f t="array" ref="R1056">_xlfn.CHOOSECOLS(_xlfn.CHOOSEROWS(_xlfn._xlws.FILTER(표2[],표2[DWG No.]=C1056,""),1),6)</f>
        <v>#VALUE!</v>
      </c>
      <c r="S1056" s="67" t="e" cm="1">
        <f t="array" ref="S1056">_xlfn.CHOOSECOLS(_xlfn.CHOOSEROWS(_xlfn._xlws.FILTER(표2[],(표2[DWG No.]=C1056)*(ISNUMBER(표2[Rev.])),""),1),6)</f>
        <v>#VALUE!</v>
      </c>
    </row>
    <row r="1057" spans="1:19" ht="18" customHeight="1" x14ac:dyDescent="0.45">
      <c r="A1057" s="64">
        <v>1052</v>
      </c>
      <c r="B1057" s="49" t="s">
        <v>2912</v>
      </c>
      <c r="C1057" s="50" t="s">
        <v>3950</v>
      </c>
      <c r="D1057" s="49">
        <v>165928</v>
      </c>
      <c r="E1057" s="50" t="s">
        <v>3951</v>
      </c>
      <c r="F1057" s="49" t="s">
        <v>5</v>
      </c>
      <c r="G1057" s="48">
        <v>42993</v>
      </c>
      <c r="H1057" s="48">
        <v>43023</v>
      </c>
      <c r="I1057" s="48">
        <v>42993</v>
      </c>
      <c r="J1057" s="49" t="s">
        <v>3952</v>
      </c>
      <c r="K1057" s="58" t="s">
        <v>5</v>
      </c>
      <c r="L1057" s="49" t="s">
        <v>160</v>
      </c>
      <c r="M1057" s="48">
        <v>43011</v>
      </c>
      <c r="N1057" s="49" t="s">
        <v>3953</v>
      </c>
      <c r="O1057" s="49" t="s">
        <v>5</v>
      </c>
      <c r="P1057" s="49" t="s">
        <v>160</v>
      </c>
      <c r="Q1057" s="51" t="s">
        <v>65</v>
      </c>
      <c r="R1057" s="67" t="e" cm="1">
        <f t="array" ref="R1057">_xlfn.CHOOSECOLS(_xlfn.CHOOSEROWS(_xlfn._xlws.FILTER(표2[],표2[DWG No.]=C1057,""),1),6)</f>
        <v>#VALUE!</v>
      </c>
      <c r="S1057" s="67" t="e" cm="1">
        <f t="array" ref="S1057">_xlfn.CHOOSECOLS(_xlfn.CHOOSEROWS(_xlfn._xlws.FILTER(표2[],(표2[DWG No.]=C1057)*(ISNUMBER(표2[Rev.])),""),1),6)</f>
        <v>#VALUE!</v>
      </c>
    </row>
    <row r="1058" spans="1:19" ht="18" customHeight="1" x14ac:dyDescent="0.45">
      <c r="A1058" s="64">
        <v>1053</v>
      </c>
      <c r="B1058" s="49" t="s">
        <v>2912</v>
      </c>
      <c r="C1058" s="50" t="s">
        <v>3954</v>
      </c>
      <c r="D1058" s="49">
        <v>165929</v>
      </c>
      <c r="E1058" s="50" t="s">
        <v>3955</v>
      </c>
      <c r="F1058" s="49" t="s">
        <v>5</v>
      </c>
      <c r="G1058" s="48">
        <v>42937</v>
      </c>
      <c r="H1058" s="48">
        <v>42967</v>
      </c>
      <c r="I1058" s="48">
        <v>42937</v>
      </c>
      <c r="J1058" s="49" t="s">
        <v>3936</v>
      </c>
      <c r="K1058" s="58" t="s">
        <v>5</v>
      </c>
      <c r="L1058" s="49" t="s">
        <v>65</v>
      </c>
      <c r="M1058" s="48">
        <v>42971</v>
      </c>
      <c r="N1058" s="49" t="s">
        <v>3937</v>
      </c>
      <c r="O1058" s="49" t="s">
        <v>5</v>
      </c>
      <c r="P1058" s="49" t="s">
        <v>65</v>
      </c>
      <c r="Q1058" s="51" t="s">
        <v>65</v>
      </c>
      <c r="R1058" s="67" t="e" cm="1">
        <f t="array" ref="R1058">_xlfn.CHOOSECOLS(_xlfn.CHOOSEROWS(_xlfn._xlws.FILTER(표2[],표2[DWG No.]=C1058,""),1),6)</f>
        <v>#VALUE!</v>
      </c>
      <c r="S1058" s="67" t="e" cm="1">
        <f t="array" ref="S1058">_xlfn.CHOOSECOLS(_xlfn.CHOOSEROWS(_xlfn._xlws.FILTER(표2[],(표2[DWG No.]=C1058)*(ISNUMBER(표2[Rev.])),""),1),6)</f>
        <v>#VALUE!</v>
      </c>
    </row>
    <row r="1059" spans="1:19" ht="18" customHeight="1" x14ac:dyDescent="0.45">
      <c r="A1059" s="64">
        <v>1054</v>
      </c>
      <c r="B1059" s="49" t="s">
        <v>2912</v>
      </c>
      <c r="C1059" s="50" t="s">
        <v>3956</v>
      </c>
      <c r="D1059" s="49">
        <v>135930</v>
      </c>
      <c r="E1059" s="50" t="s">
        <v>3957</v>
      </c>
      <c r="F1059" s="49" t="s">
        <v>5</v>
      </c>
      <c r="G1059" s="48">
        <v>42992</v>
      </c>
      <c r="H1059" s="48">
        <v>43022</v>
      </c>
      <c r="I1059" s="48">
        <v>43580</v>
      </c>
      <c r="J1059" s="49" t="s">
        <v>3958</v>
      </c>
      <c r="K1059" s="58" t="s">
        <v>5</v>
      </c>
      <c r="L1059" s="49">
        <v>0</v>
      </c>
      <c r="M1059" s="48">
        <v>43594</v>
      </c>
      <c r="N1059" s="49" t="s">
        <v>3959</v>
      </c>
      <c r="O1059" s="49" t="s">
        <v>5</v>
      </c>
      <c r="P1059" s="49">
        <v>0</v>
      </c>
      <c r="Q1059" s="51" t="s">
        <v>5002</v>
      </c>
      <c r="R1059" s="67" t="e" cm="1">
        <f t="array" ref="R1059">_xlfn.CHOOSECOLS(_xlfn.CHOOSEROWS(_xlfn._xlws.FILTER(표2[],표2[DWG No.]=C1059,""),1),6)</f>
        <v>#VALUE!</v>
      </c>
      <c r="S1059" s="67" t="e" cm="1">
        <f t="array" ref="S1059">_xlfn.CHOOSECOLS(_xlfn.CHOOSEROWS(_xlfn._xlws.FILTER(표2[],(표2[DWG No.]=C1059)*(ISNUMBER(표2[Rev.])),""),1),6)</f>
        <v>#VALUE!</v>
      </c>
    </row>
    <row r="1060" spans="1:19" ht="18" customHeight="1" x14ac:dyDescent="0.45">
      <c r="A1060" s="64">
        <v>1055</v>
      </c>
      <c r="B1060" s="49" t="s">
        <v>2912</v>
      </c>
      <c r="C1060" s="50" t="s">
        <v>3960</v>
      </c>
      <c r="D1060" s="49">
        <v>135931</v>
      </c>
      <c r="E1060" s="50" t="s">
        <v>3961</v>
      </c>
      <c r="F1060" s="49" t="s">
        <v>5</v>
      </c>
      <c r="G1060" s="48">
        <v>42937</v>
      </c>
      <c r="H1060" s="48">
        <v>42967</v>
      </c>
      <c r="I1060" s="48">
        <v>43342</v>
      </c>
      <c r="J1060" s="49" t="s">
        <v>3962</v>
      </c>
      <c r="K1060" s="58" t="s">
        <v>7</v>
      </c>
      <c r="L1060" s="49">
        <v>1</v>
      </c>
      <c r="M1060" s="48">
        <v>43357</v>
      </c>
      <c r="N1060" s="49" t="s">
        <v>3963</v>
      </c>
      <c r="O1060" s="49"/>
      <c r="P1060" s="49">
        <v>1</v>
      </c>
      <c r="Q1060" s="51" t="s">
        <v>5002</v>
      </c>
      <c r="R1060" s="67" t="e" cm="1">
        <f t="array" ref="R1060">_xlfn.CHOOSECOLS(_xlfn.CHOOSEROWS(_xlfn._xlws.FILTER(표2[],표2[DWG No.]=C1060,""),1),6)</f>
        <v>#VALUE!</v>
      </c>
      <c r="S1060" s="67" t="e" cm="1">
        <f t="array" ref="S1060">_xlfn.CHOOSECOLS(_xlfn.CHOOSEROWS(_xlfn._xlws.FILTER(표2[],(표2[DWG No.]=C1060)*(ISNUMBER(표2[Rev.])),""),1),6)</f>
        <v>#VALUE!</v>
      </c>
    </row>
    <row r="1061" spans="1:19" ht="18" customHeight="1" x14ac:dyDescent="0.45">
      <c r="A1061" s="64">
        <v>1056</v>
      </c>
      <c r="B1061" s="49" t="s">
        <v>2912</v>
      </c>
      <c r="C1061" s="50" t="s">
        <v>3964</v>
      </c>
      <c r="D1061" s="49">
        <v>135936</v>
      </c>
      <c r="E1061" s="50" t="s">
        <v>3965</v>
      </c>
      <c r="F1061" s="49" t="s">
        <v>5</v>
      </c>
      <c r="G1061" s="48">
        <v>42937</v>
      </c>
      <c r="H1061" s="48">
        <v>42967</v>
      </c>
      <c r="I1061" s="48">
        <v>43798</v>
      </c>
      <c r="J1061" s="51" t="s">
        <v>3325</v>
      </c>
      <c r="K1061" s="58" t="s">
        <v>7</v>
      </c>
      <c r="L1061" s="49">
        <v>0</v>
      </c>
      <c r="M1061" s="61">
        <v>43798</v>
      </c>
      <c r="N1061" s="51" t="s">
        <v>3191</v>
      </c>
      <c r="O1061" s="49" t="s">
        <v>7</v>
      </c>
      <c r="P1061" s="51">
        <v>0</v>
      </c>
      <c r="Q1061" s="51" t="s">
        <v>5002</v>
      </c>
      <c r="R1061" s="67" t="e" cm="1">
        <f t="array" ref="R1061">_xlfn.CHOOSECOLS(_xlfn.CHOOSEROWS(_xlfn._xlws.FILTER(표2[],표2[DWG No.]=C1061,""),1),6)</f>
        <v>#VALUE!</v>
      </c>
      <c r="S1061" s="67" t="e" cm="1">
        <f t="array" ref="S1061">_xlfn.CHOOSECOLS(_xlfn.CHOOSEROWS(_xlfn._xlws.FILTER(표2[],(표2[DWG No.]=C1061)*(ISNUMBER(표2[Rev.])),""),1),6)</f>
        <v>#VALUE!</v>
      </c>
    </row>
    <row r="1062" spans="1:19" ht="18" customHeight="1" x14ac:dyDescent="0.45">
      <c r="A1062" s="64">
        <v>1057</v>
      </c>
      <c r="B1062" s="49" t="s">
        <v>2912</v>
      </c>
      <c r="C1062" s="50" t="s">
        <v>3966</v>
      </c>
      <c r="D1062" s="49">
        <v>135937</v>
      </c>
      <c r="E1062" s="50" t="s">
        <v>3967</v>
      </c>
      <c r="F1062" s="49" t="s">
        <v>5</v>
      </c>
      <c r="G1062" s="48">
        <v>43021</v>
      </c>
      <c r="H1062" s="48">
        <v>43051</v>
      </c>
      <c r="I1062" s="48">
        <v>43539</v>
      </c>
      <c r="J1062" s="49" t="s">
        <v>3968</v>
      </c>
      <c r="K1062" s="58" t="s">
        <v>7</v>
      </c>
      <c r="L1062" s="49">
        <v>0</v>
      </c>
      <c r="M1062" s="48">
        <v>43539</v>
      </c>
      <c r="N1062" s="49" t="s">
        <v>3275</v>
      </c>
      <c r="O1062" s="49" t="s">
        <v>7</v>
      </c>
      <c r="P1062" s="49">
        <v>0</v>
      </c>
      <c r="Q1062" s="51" t="s">
        <v>5002</v>
      </c>
      <c r="R1062" s="67" t="e" cm="1">
        <f t="array" ref="R1062">_xlfn.CHOOSECOLS(_xlfn.CHOOSEROWS(_xlfn._xlws.FILTER(표2[],표2[DWG No.]=C1062,""),1),6)</f>
        <v>#VALUE!</v>
      </c>
      <c r="S1062" s="67" t="e" cm="1">
        <f t="array" ref="S1062">_xlfn.CHOOSECOLS(_xlfn.CHOOSEROWS(_xlfn._xlws.FILTER(표2[],(표2[DWG No.]=C1062)*(ISNUMBER(표2[Rev.])),""),1),6)</f>
        <v>#VALUE!</v>
      </c>
    </row>
    <row r="1063" spans="1:19" ht="18" customHeight="1" x14ac:dyDescent="0.45">
      <c r="A1063" s="64">
        <v>1058</v>
      </c>
      <c r="B1063" s="49" t="s">
        <v>2912</v>
      </c>
      <c r="C1063" s="50" t="s">
        <v>3969</v>
      </c>
      <c r="D1063" s="49">
        <v>125815</v>
      </c>
      <c r="E1063" s="50" t="s">
        <v>3970</v>
      </c>
      <c r="F1063" s="49" t="s">
        <v>5</v>
      </c>
      <c r="G1063" s="48">
        <v>43026</v>
      </c>
      <c r="H1063" s="48">
        <v>43056</v>
      </c>
      <c r="I1063" s="48">
        <v>43026</v>
      </c>
      <c r="J1063" s="49" t="s">
        <v>3971</v>
      </c>
      <c r="K1063" s="58" t="s">
        <v>7</v>
      </c>
      <c r="L1063" s="49">
        <v>0</v>
      </c>
      <c r="M1063" s="48">
        <v>43031</v>
      </c>
      <c r="N1063" s="49" t="s">
        <v>2917</v>
      </c>
      <c r="O1063" s="49" t="s">
        <v>5</v>
      </c>
      <c r="P1063" s="49">
        <v>0</v>
      </c>
      <c r="Q1063" s="51" t="s">
        <v>5002</v>
      </c>
      <c r="R1063" s="67" t="e" cm="1">
        <f t="array" ref="R1063">_xlfn.CHOOSECOLS(_xlfn.CHOOSEROWS(_xlfn._xlws.FILTER(표2[],표2[DWG No.]=C1063,""),1),6)</f>
        <v>#VALUE!</v>
      </c>
      <c r="S1063" s="67" t="e" cm="1">
        <f t="array" ref="S1063">_xlfn.CHOOSECOLS(_xlfn.CHOOSEROWS(_xlfn._xlws.FILTER(표2[],(표2[DWG No.]=C1063)*(ISNUMBER(표2[Rev.])),""),1),6)</f>
        <v>#VALUE!</v>
      </c>
    </row>
    <row r="1064" spans="1:19" ht="18" customHeight="1" x14ac:dyDescent="0.45">
      <c r="A1064" s="64">
        <v>1059</v>
      </c>
      <c r="B1064" s="49" t="s">
        <v>2912</v>
      </c>
      <c r="C1064" s="50" t="s">
        <v>3972</v>
      </c>
      <c r="D1064" s="49">
        <v>125816</v>
      </c>
      <c r="E1064" s="50" t="s">
        <v>3973</v>
      </c>
      <c r="F1064" s="49" t="s">
        <v>5</v>
      </c>
      <c r="G1064" s="48">
        <v>43026</v>
      </c>
      <c r="H1064" s="48">
        <v>43056</v>
      </c>
      <c r="I1064" s="48">
        <v>43026</v>
      </c>
      <c r="J1064" s="49" t="s">
        <v>3971</v>
      </c>
      <c r="K1064" s="58" t="s">
        <v>7</v>
      </c>
      <c r="L1064" s="49">
        <v>0</v>
      </c>
      <c r="M1064" s="48">
        <v>43031</v>
      </c>
      <c r="N1064" s="49" t="s">
        <v>2917</v>
      </c>
      <c r="O1064" s="49" t="s">
        <v>5</v>
      </c>
      <c r="P1064" s="49">
        <v>0</v>
      </c>
      <c r="Q1064" s="51" t="s">
        <v>5002</v>
      </c>
      <c r="R1064" s="67" t="e" cm="1">
        <f t="array" ref="R1064">_xlfn.CHOOSECOLS(_xlfn.CHOOSEROWS(_xlfn._xlws.FILTER(표2[],표2[DWG No.]=C1064,""),1),6)</f>
        <v>#VALUE!</v>
      </c>
      <c r="S1064" s="67" t="e" cm="1">
        <f t="array" ref="S1064">_xlfn.CHOOSECOLS(_xlfn.CHOOSEROWS(_xlfn._xlws.FILTER(표2[],(표2[DWG No.]=C1064)*(ISNUMBER(표2[Rev.])),""),1),6)</f>
        <v>#VALUE!</v>
      </c>
    </row>
    <row r="1065" spans="1:19" ht="18" customHeight="1" x14ac:dyDescent="0.45">
      <c r="A1065" s="64">
        <v>1060</v>
      </c>
      <c r="B1065" s="49" t="s">
        <v>2912</v>
      </c>
      <c r="C1065" s="50" t="s">
        <v>3974</v>
      </c>
      <c r="D1065" s="49">
        <v>125817</v>
      </c>
      <c r="E1065" s="50" t="s">
        <v>3975</v>
      </c>
      <c r="F1065" s="49" t="s">
        <v>5</v>
      </c>
      <c r="G1065" s="48">
        <v>43026</v>
      </c>
      <c r="H1065" s="48">
        <v>43056</v>
      </c>
      <c r="I1065" s="48">
        <v>43026</v>
      </c>
      <c r="J1065" s="49" t="s">
        <v>3971</v>
      </c>
      <c r="K1065" s="58" t="s">
        <v>7</v>
      </c>
      <c r="L1065" s="49">
        <v>0</v>
      </c>
      <c r="M1065" s="48">
        <v>43031</v>
      </c>
      <c r="N1065" s="49" t="s">
        <v>2917</v>
      </c>
      <c r="O1065" s="49" t="s">
        <v>5</v>
      </c>
      <c r="P1065" s="49">
        <v>0</v>
      </c>
      <c r="Q1065" s="51" t="s">
        <v>5002</v>
      </c>
      <c r="R1065" s="67" t="e" cm="1">
        <f t="array" ref="R1065">_xlfn.CHOOSECOLS(_xlfn.CHOOSEROWS(_xlfn._xlws.FILTER(표2[],표2[DWG No.]=C1065,""),1),6)</f>
        <v>#VALUE!</v>
      </c>
      <c r="S1065" s="67" t="e" cm="1">
        <f t="array" ref="S1065">_xlfn.CHOOSECOLS(_xlfn.CHOOSEROWS(_xlfn._xlws.FILTER(표2[],(표2[DWG No.]=C1065)*(ISNUMBER(표2[Rev.])),""),1),6)</f>
        <v>#VALUE!</v>
      </c>
    </row>
    <row r="1066" spans="1:19" ht="18" customHeight="1" x14ac:dyDescent="0.45">
      <c r="A1066" s="64">
        <v>1061</v>
      </c>
      <c r="B1066" s="49" t="s">
        <v>2912</v>
      </c>
      <c r="C1066" s="50" t="s">
        <v>3976</v>
      </c>
      <c r="D1066" s="49">
        <v>125818</v>
      </c>
      <c r="E1066" s="50" t="s">
        <v>3977</v>
      </c>
      <c r="F1066" s="49" t="s">
        <v>5</v>
      </c>
      <c r="G1066" s="48">
        <v>43021</v>
      </c>
      <c r="H1066" s="48">
        <v>43051</v>
      </c>
      <c r="I1066" s="48">
        <v>43021</v>
      </c>
      <c r="J1066" s="49" t="s">
        <v>3978</v>
      </c>
      <c r="K1066" s="58" t="s">
        <v>5</v>
      </c>
      <c r="L1066" s="49" t="s">
        <v>3979</v>
      </c>
      <c r="M1066" s="48">
        <v>43027</v>
      </c>
      <c r="N1066" s="49" t="s">
        <v>3980</v>
      </c>
      <c r="O1066" s="49" t="s">
        <v>5</v>
      </c>
      <c r="P1066" s="49" t="s">
        <v>3979</v>
      </c>
      <c r="Q1066" s="51" t="s">
        <v>65</v>
      </c>
      <c r="R1066" s="67" t="e" cm="1">
        <f t="array" ref="R1066">_xlfn.CHOOSECOLS(_xlfn.CHOOSEROWS(_xlfn._xlws.FILTER(표2[],표2[DWG No.]=C1066,""),1),6)</f>
        <v>#VALUE!</v>
      </c>
      <c r="S1066" s="67" t="e" cm="1">
        <f t="array" ref="S1066">_xlfn.CHOOSECOLS(_xlfn.CHOOSEROWS(_xlfn._xlws.FILTER(표2[],(표2[DWG No.]=C1066)*(ISNUMBER(표2[Rev.])),""),1),6)</f>
        <v>#VALUE!</v>
      </c>
    </row>
    <row r="1067" spans="1:19" ht="18" customHeight="1" x14ac:dyDescent="0.45">
      <c r="A1067" s="64">
        <v>1062</v>
      </c>
      <c r="B1067" s="49" t="s">
        <v>2912</v>
      </c>
      <c r="C1067" s="50" t="s">
        <v>3981</v>
      </c>
      <c r="D1067" s="49">
        <v>125819</v>
      </c>
      <c r="E1067" s="50" t="s">
        <v>3982</v>
      </c>
      <c r="F1067" s="49" t="s">
        <v>5</v>
      </c>
      <c r="G1067" s="48">
        <v>43021</v>
      </c>
      <c r="H1067" s="48">
        <v>43051</v>
      </c>
      <c r="I1067" s="48">
        <v>43021</v>
      </c>
      <c r="J1067" s="49" t="s">
        <v>3978</v>
      </c>
      <c r="K1067" s="58" t="s">
        <v>5</v>
      </c>
      <c r="L1067" s="49" t="s">
        <v>3979</v>
      </c>
      <c r="M1067" s="48">
        <v>43027</v>
      </c>
      <c r="N1067" s="49" t="s">
        <v>3980</v>
      </c>
      <c r="O1067" s="49" t="s">
        <v>5</v>
      </c>
      <c r="P1067" s="49" t="s">
        <v>3979</v>
      </c>
      <c r="Q1067" s="51" t="s">
        <v>65</v>
      </c>
      <c r="R1067" s="67" t="e" cm="1">
        <f t="array" ref="R1067">_xlfn.CHOOSECOLS(_xlfn.CHOOSEROWS(_xlfn._xlws.FILTER(표2[],표2[DWG No.]=C1067,""),1),6)</f>
        <v>#VALUE!</v>
      </c>
      <c r="S1067" s="67" t="e" cm="1">
        <f t="array" ref="S1067">_xlfn.CHOOSECOLS(_xlfn.CHOOSEROWS(_xlfn._xlws.FILTER(표2[],(표2[DWG No.]=C1067)*(ISNUMBER(표2[Rev.])),""),1),6)</f>
        <v>#VALUE!</v>
      </c>
    </row>
    <row r="1068" spans="1:19" ht="18" customHeight="1" x14ac:dyDescent="0.45">
      <c r="A1068" s="64">
        <v>1063</v>
      </c>
      <c r="B1068" s="49" t="s">
        <v>2912</v>
      </c>
      <c r="C1068" s="50" t="s">
        <v>3983</v>
      </c>
      <c r="D1068" s="49">
        <v>125820</v>
      </c>
      <c r="E1068" s="50" t="s">
        <v>3984</v>
      </c>
      <c r="F1068" s="49" t="s">
        <v>5</v>
      </c>
      <c r="G1068" s="48">
        <v>43026</v>
      </c>
      <c r="H1068" s="48">
        <v>43056</v>
      </c>
      <c r="I1068" s="48">
        <v>43026</v>
      </c>
      <c r="J1068" s="49" t="s">
        <v>3971</v>
      </c>
      <c r="K1068" s="58" t="s">
        <v>7</v>
      </c>
      <c r="L1068" s="49">
        <v>0</v>
      </c>
      <c r="M1068" s="48">
        <v>43031</v>
      </c>
      <c r="N1068" s="49" t="s">
        <v>2917</v>
      </c>
      <c r="O1068" s="49" t="s">
        <v>5</v>
      </c>
      <c r="P1068" s="49">
        <v>0</v>
      </c>
      <c r="Q1068" s="51" t="s">
        <v>5002</v>
      </c>
      <c r="R1068" s="67" t="e" cm="1">
        <f t="array" ref="R1068">_xlfn.CHOOSECOLS(_xlfn.CHOOSEROWS(_xlfn._xlws.FILTER(표2[],표2[DWG No.]=C1068,""),1),6)</f>
        <v>#VALUE!</v>
      </c>
      <c r="S1068" s="67" t="e" cm="1">
        <f t="array" ref="S1068">_xlfn.CHOOSECOLS(_xlfn.CHOOSEROWS(_xlfn._xlws.FILTER(표2[],(표2[DWG No.]=C1068)*(ISNUMBER(표2[Rev.])),""),1),6)</f>
        <v>#VALUE!</v>
      </c>
    </row>
    <row r="1069" spans="1:19" ht="18" customHeight="1" x14ac:dyDescent="0.45">
      <c r="A1069" s="64">
        <v>1064</v>
      </c>
      <c r="B1069" s="49" t="s">
        <v>2912</v>
      </c>
      <c r="C1069" s="50" t="s">
        <v>3985</v>
      </c>
      <c r="D1069" s="49">
        <v>165822</v>
      </c>
      <c r="E1069" s="50" t="s">
        <v>3986</v>
      </c>
      <c r="F1069" s="49" t="s">
        <v>5</v>
      </c>
      <c r="G1069" s="48">
        <v>43026</v>
      </c>
      <c r="H1069" s="48">
        <v>43056</v>
      </c>
      <c r="I1069" s="48">
        <v>43026</v>
      </c>
      <c r="J1069" s="49" t="s">
        <v>3971</v>
      </c>
      <c r="K1069" s="58" t="s">
        <v>7</v>
      </c>
      <c r="L1069" s="49">
        <v>0</v>
      </c>
      <c r="M1069" s="48">
        <v>43031</v>
      </c>
      <c r="N1069" s="49" t="s">
        <v>2917</v>
      </c>
      <c r="O1069" s="49" t="s">
        <v>5</v>
      </c>
      <c r="P1069" s="49">
        <v>0</v>
      </c>
      <c r="Q1069" s="51" t="s">
        <v>5002</v>
      </c>
      <c r="R1069" s="67" t="e" cm="1">
        <f t="array" ref="R1069">_xlfn.CHOOSECOLS(_xlfn.CHOOSEROWS(_xlfn._xlws.FILTER(표2[],표2[DWG No.]=C1069,""),1),6)</f>
        <v>#VALUE!</v>
      </c>
      <c r="S1069" s="67" t="e" cm="1">
        <f t="array" ref="S1069">_xlfn.CHOOSECOLS(_xlfn.CHOOSEROWS(_xlfn._xlws.FILTER(표2[],(표2[DWG No.]=C1069)*(ISNUMBER(표2[Rev.])),""),1),6)</f>
        <v>#VALUE!</v>
      </c>
    </row>
    <row r="1070" spans="1:19" ht="18" customHeight="1" x14ac:dyDescent="0.45">
      <c r="A1070" s="64">
        <v>1065</v>
      </c>
      <c r="B1070" s="49" t="s">
        <v>2912</v>
      </c>
      <c r="C1070" s="50" t="s">
        <v>3987</v>
      </c>
      <c r="D1070" s="49">
        <v>165823</v>
      </c>
      <c r="E1070" s="50" t="s">
        <v>3988</v>
      </c>
      <c r="F1070" s="49" t="s">
        <v>5</v>
      </c>
      <c r="G1070" s="48">
        <v>43026</v>
      </c>
      <c r="H1070" s="48">
        <v>43056</v>
      </c>
      <c r="I1070" s="48">
        <v>43026</v>
      </c>
      <c r="J1070" s="49" t="s">
        <v>3971</v>
      </c>
      <c r="K1070" s="58" t="s">
        <v>7</v>
      </c>
      <c r="L1070" s="49">
        <v>0</v>
      </c>
      <c r="M1070" s="48">
        <v>43031</v>
      </c>
      <c r="N1070" s="49" t="s">
        <v>2917</v>
      </c>
      <c r="O1070" s="49" t="s">
        <v>5</v>
      </c>
      <c r="P1070" s="49">
        <v>0</v>
      </c>
      <c r="Q1070" s="51" t="s">
        <v>5002</v>
      </c>
      <c r="R1070" s="67" t="e" cm="1">
        <f t="array" ref="R1070">_xlfn.CHOOSECOLS(_xlfn.CHOOSEROWS(_xlfn._xlws.FILTER(표2[],표2[DWG No.]=C1070,""),1),6)</f>
        <v>#VALUE!</v>
      </c>
      <c r="S1070" s="67" t="e" cm="1">
        <f t="array" ref="S1070">_xlfn.CHOOSECOLS(_xlfn.CHOOSEROWS(_xlfn._xlws.FILTER(표2[],(표2[DWG No.]=C1070)*(ISNUMBER(표2[Rev.])),""),1),6)</f>
        <v>#VALUE!</v>
      </c>
    </row>
    <row r="1071" spans="1:19" ht="18" customHeight="1" x14ac:dyDescent="0.45">
      <c r="A1071" s="64">
        <v>1066</v>
      </c>
      <c r="B1071" s="49" t="s">
        <v>2912</v>
      </c>
      <c r="C1071" s="50" t="s">
        <v>3989</v>
      </c>
      <c r="D1071" s="49">
        <v>165824</v>
      </c>
      <c r="E1071" s="50" t="s">
        <v>3990</v>
      </c>
      <c r="F1071" s="49" t="s">
        <v>5</v>
      </c>
      <c r="G1071" s="48">
        <v>43026</v>
      </c>
      <c r="H1071" s="48">
        <v>43056</v>
      </c>
      <c r="I1071" s="48">
        <v>43026</v>
      </c>
      <c r="J1071" s="49" t="s">
        <v>3971</v>
      </c>
      <c r="K1071" s="58" t="s">
        <v>7</v>
      </c>
      <c r="L1071" s="49">
        <v>0</v>
      </c>
      <c r="M1071" s="48">
        <v>43031</v>
      </c>
      <c r="N1071" s="49" t="s">
        <v>2917</v>
      </c>
      <c r="O1071" s="49" t="s">
        <v>5</v>
      </c>
      <c r="P1071" s="49">
        <v>0</v>
      </c>
      <c r="Q1071" s="51" t="s">
        <v>5002</v>
      </c>
      <c r="R1071" s="67" t="e" cm="1">
        <f t="array" ref="R1071">_xlfn.CHOOSECOLS(_xlfn.CHOOSEROWS(_xlfn._xlws.FILTER(표2[],표2[DWG No.]=C1071,""),1),6)</f>
        <v>#VALUE!</v>
      </c>
      <c r="S1071" s="67" t="e" cm="1">
        <f t="array" ref="S1071">_xlfn.CHOOSECOLS(_xlfn.CHOOSEROWS(_xlfn._xlws.FILTER(표2[],(표2[DWG No.]=C1071)*(ISNUMBER(표2[Rev.])),""),1),6)</f>
        <v>#VALUE!</v>
      </c>
    </row>
    <row r="1072" spans="1:19" ht="18" customHeight="1" x14ac:dyDescent="0.45">
      <c r="A1072" s="64">
        <v>1067</v>
      </c>
      <c r="B1072" s="49" t="s">
        <v>2912</v>
      </c>
      <c r="C1072" s="50" t="s">
        <v>3991</v>
      </c>
      <c r="D1072" s="49">
        <v>165825</v>
      </c>
      <c r="E1072" s="50" t="s">
        <v>3992</v>
      </c>
      <c r="F1072" s="49" t="s">
        <v>5</v>
      </c>
      <c r="G1072" s="48">
        <v>43026</v>
      </c>
      <c r="H1072" s="48">
        <v>43056</v>
      </c>
      <c r="I1072" s="48">
        <v>43026</v>
      </c>
      <c r="J1072" s="49" t="s">
        <v>3971</v>
      </c>
      <c r="K1072" s="58" t="s">
        <v>7</v>
      </c>
      <c r="L1072" s="49">
        <v>0</v>
      </c>
      <c r="M1072" s="48">
        <v>43031</v>
      </c>
      <c r="N1072" s="49" t="s">
        <v>2917</v>
      </c>
      <c r="O1072" s="49" t="s">
        <v>5</v>
      </c>
      <c r="P1072" s="49">
        <v>0</v>
      </c>
      <c r="Q1072" s="51" t="s">
        <v>5002</v>
      </c>
      <c r="R1072" s="67" t="e" cm="1">
        <f t="array" ref="R1072">_xlfn.CHOOSECOLS(_xlfn.CHOOSEROWS(_xlfn._xlws.FILTER(표2[],표2[DWG No.]=C1072,""),1),6)</f>
        <v>#VALUE!</v>
      </c>
      <c r="S1072" s="67" t="e" cm="1">
        <f t="array" ref="S1072">_xlfn.CHOOSECOLS(_xlfn.CHOOSEROWS(_xlfn._xlws.FILTER(표2[],(표2[DWG No.]=C1072)*(ISNUMBER(표2[Rev.])),""),1),6)</f>
        <v>#VALUE!</v>
      </c>
    </row>
    <row r="1073" spans="1:19" ht="18" customHeight="1" x14ac:dyDescent="0.45">
      <c r="A1073" s="64">
        <v>1068</v>
      </c>
      <c r="B1073" s="49" t="s">
        <v>2912</v>
      </c>
      <c r="C1073" s="50" t="s">
        <v>3993</v>
      </c>
      <c r="D1073" s="49">
        <v>165826</v>
      </c>
      <c r="E1073" s="50" t="s">
        <v>3994</v>
      </c>
      <c r="F1073" s="49" t="s">
        <v>5</v>
      </c>
      <c r="G1073" s="48">
        <v>43026</v>
      </c>
      <c r="H1073" s="48">
        <v>43056</v>
      </c>
      <c r="I1073" s="48">
        <v>43026</v>
      </c>
      <c r="J1073" s="49" t="s">
        <v>3971</v>
      </c>
      <c r="K1073" s="58" t="s">
        <v>7</v>
      </c>
      <c r="L1073" s="49">
        <v>0</v>
      </c>
      <c r="M1073" s="48">
        <v>43031</v>
      </c>
      <c r="N1073" s="49" t="s">
        <v>2917</v>
      </c>
      <c r="O1073" s="49" t="s">
        <v>5</v>
      </c>
      <c r="P1073" s="49">
        <v>0</v>
      </c>
      <c r="Q1073" s="51" t="s">
        <v>5002</v>
      </c>
      <c r="R1073" s="67" t="e" cm="1">
        <f t="array" ref="R1073">_xlfn.CHOOSECOLS(_xlfn.CHOOSEROWS(_xlfn._xlws.FILTER(표2[],표2[DWG No.]=C1073,""),1),6)</f>
        <v>#VALUE!</v>
      </c>
      <c r="S1073" s="67" t="e" cm="1">
        <f t="array" ref="S1073">_xlfn.CHOOSECOLS(_xlfn.CHOOSEROWS(_xlfn._xlws.FILTER(표2[],(표2[DWG No.]=C1073)*(ISNUMBER(표2[Rev.])),""),1),6)</f>
        <v>#VALUE!</v>
      </c>
    </row>
    <row r="1074" spans="1:19" ht="18" customHeight="1" x14ac:dyDescent="0.45">
      <c r="A1074" s="64">
        <v>1069</v>
      </c>
      <c r="B1074" s="49" t="s">
        <v>2912</v>
      </c>
      <c r="C1074" s="50" t="s">
        <v>3995</v>
      </c>
      <c r="D1074" s="49">
        <v>165827</v>
      </c>
      <c r="E1074" s="50" t="s">
        <v>3996</v>
      </c>
      <c r="F1074" s="49" t="s">
        <v>5</v>
      </c>
      <c r="G1074" s="48">
        <v>43026</v>
      </c>
      <c r="H1074" s="48">
        <v>43056</v>
      </c>
      <c r="I1074" s="48">
        <v>43026</v>
      </c>
      <c r="J1074" s="49" t="s">
        <v>3971</v>
      </c>
      <c r="K1074" s="58" t="s">
        <v>7</v>
      </c>
      <c r="L1074" s="49">
        <v>0</v>
      </c>
      <c r="M1074" s="48">
        <v>43031</v>
      </c>
      <c r="N1074" s="49" t="s">
        <v>2917</v>
      </c>
      <c r="O1074" s="49" t="s">
        <v>5</v>
      </c>
      <c r="P1074" s="49">
        <v>0</v>
      </c>
      <c r="Q1074" s="51" t="s">
        <v>5002</v>
      </c>
      <c r="R1074" s="67" t="e" cm="1">
        <f t="array" ref="R1074">_xlfn.CHOOSECOLS(_xlfn.CHOOSEROWS(_xlfn._xlws.FILTER(표2[],표2[DWG No.]=C1074,""),1),6)</f>
        <v>#VALUE!</v>
      </c>
      <c r="S1074" s="67" t="e" cm="1">
        <f t="array" ref="S1074">_xlfn.CHOOSECOLS(_xlfn.CHOOSEROWS(_xlfn._xlws.FILTER(표2[],(표2[DWG No.]=C1074)*(ISNUMBER(표2[Rev.])),""),1),6)</f>
        <v>#VALUE!</v>
      </c>
    </row>
    <row r="1075" spans="1:19" ht="18" customHeight="1" x14ac:dyDescent="0.45">
      <c r="A1075" s="64">
        <v>1070</v>
      </c>
      <c r="B1075" s="49" t="s">
        <v>2912</v>
      </c>
      <c r="C1075" s="50" t="s">
        <v>3997</v>
      </c>
      <c r="D1075" s="49">
        <v>165828</v>
      </c>
      <c r="E1075" s="50" t="s">
        <v>3998</v>
      </c>
      <c r="F1075" s="49" t="s">
        <v>5</v>
      </c>
      <c r="G1075" s="48">
        <v>43026</v>
      </c>
      <c r="H1075" s="48">
        <v>43056</v>
      </c>
      <c r="I1075" s="48">
        <v>43026</v>
      </c>
      <c r="J1075" s="49" t="s">
        <v>3971</v>
      </c>
      <c r="K1075" s="58" t="s">
        <v>7</v>
      </c>
      <c r="L1075" s="49">
        <v>0</v>
      </c>
      <c r="M1075" s="48">
        <v>43031</v>
      </c>
      <c r="N1075" s="49" t="s">
        <v>2917</v>
      </c>
      <c r="O1075" s="49" t="s">
        <v>5</v>
      </c>
      <c r="P1075" s="49">
        <v>0</v>
      </c>
      <c r="Q1075" s="51" t="s">
        <v>5002</v>
      </c>
      <c r="R1075" s="67" t="e" cm="1">
        <f t="array" ref="R1075">_xlfn.CHOOSECOLS(_xlfn.CHOOSEROWS(_xlfn._xlws.FILTER(표2[],표2[DWG No.]=C1075,""),1),6)</f>
        <v>#VALUE!</v>
      </c>
      <c r="S1075" s="67" t="e" cm="1">
        <f t="array" ref="S1075">_xlfn.CHOOSECOLS(_xlfn.CHOOSEROWS(_xlfn._xlws.FILTER(표2[],(표2[DWG No.]=C1075)*(ISNUMBER(표2[Rev.])),""),1),6)</f>
        <v>#VALUE!</v>
      </c>
    </row>
    <row r="1076" spans="1:19" ht="18" customHeight="1" x14ac:dyDescent="0.45">
      <c r="A1076" s="64">
        <v>1071</v>
      </c>
      <c r="B1076" s="49" t="s">
        <v>2912</v>
      </c>
      <c r="C1076" s="50" t="s">
        <v>3999</v>
      </c>
      <c r="D1076" s="49">
        <v>165829</v>
      </c>
      <c r="E1076" s="50" t="s">
        <v>4000</v>
      </c>
      <c r="F1076" s="49" t="s">
        <v>5</v>
      </c>
      <c r="G1076" s="48">
        <v>43026</v>
      </c>
      <c r="H1076" s="48">
        <v>43056</v>
      </c>
      <c r="I1076" s="48">
        <v>43026</v>
      </c>
      <c r="J1076" s="49" t="s">
        <v>3971</v>
      </c>
      <c r="K1076" s="58" t="s">
        <v>7</v>
      </c>
      <c r="L1076" s="49">
        <v>0</v>
      </c>
      <c r="M1076" s="48">
        <v>43031</v>
      </c>
      <c r="N1076" s="49" t="s">
        <v>2917</v>
      </c>
      <c r="O1076" s="49" t="s">
        <v>5</v>
      </c>
      <c r="P1076" s="49">
        <v>0</v>
      </c>
      <c r="Q1076" s="51" t="s">
        <v>5002</v>
      </c>
      <c r="R1076" s="67" t="e" cm="1">
        <f t="array" ref="R1076">_xlfn.CHOOSECOLS(_xlfn.CHOOSEROWS(_xlfn._xlws.FILTER(표2[],표2[DWG No.]=C1076,""),1),6)</f>
        <v>#VALUE!</v>
      </c>
      <c r="S1076" s="67" t="e" cm="1">
        <f t="array" ref="S1076">_xlfn.CHOOSECOLS(_xlfn.CHOOSEROWS(_xlfn._xlws.FILTER(표2[],(표2[DWG No.]=C1076)*(ISNUMBER(표2[Rev.])),""),1),6)</f>
        <v>#VALUE!</v>
      </c>
    </row>
    <row r="1077" spans="1:19" ht="18" customHeight="1" x14ac:dyDescent="0.45">
      <c r="A1077" s="64">
        <v>1072</v>
      </c>
      <c r="B1077" s="49" t="s">
        <v>2912</v>
      </c>
      <c r="C1077" s="50" t="s">
        <v>4001</v>
      </c>
      <c r="D1077" s="49">
        <v>125830</v>
      </c>
      <c r="E1077" s="50" t="s">
        <v>4002</v>
      </c>
      <c r="F1077" s="49" t="s">
        <v>5</v>
      </c>
      <c r="G1077" s="48">
        <v>42992</v>
      </c>
      <c r="H1077" s="48">
        <v>43022</v>
      </c>
      <c r="I1077" s="48">
        <v>42992</v>
      </c>
      <c r="J1077" s="49" t="s">
        <v>3920</v>
      </c>
      <c r="K1077" s="58" t="s">
        <v>5</v>
      </c>
      <c r="L1077" s="49" t="s">
        <v>160</v>
      </c>
      <c r="M1077" s="48">
        <v>42998</v>
      </c>
      <c r="N1077" s="49" t="s">
        <v>3921</v>
      </c>
      <c r="O1077" s="49" t="s">
        <v>5</v>
      </c>
      <c r="P1077" s="49" t="s">
        <v>160</v>
      </c>
      <c r="Q1077" s="51" t="s">
        <v>65</v>
      </c>
      <c r="R1077" s="67" t="e" cm="1">
        <f t="array" ref="R1077">_xlfn.CHOOSECOLS(_xlfn.CHOOSEROWS(_xlfn._xlws.FILTER(표2[],표2[DWG No.]=C1077,""),1),6)</f>
        <v>#VALUE!</v>
      </c>
      <c r="S1077" s="67" t="e" cm="1">
        <f t="array" ref="S1077">_xlfn.CHOOSECOLS(_xlfn.CHOOSEROWS(_xlfn._xlws.FILTER(표2[],(표2[DWG No.]=C1077)*(ISNUMBER(표2[Rev.])),""),1),6)</f>
        <v>#VALUE!</v>
      </c>
    </row>
    <row r="1078" spans="1:19" ht="18" customHeight="1" x14ac:dyDescent="0.45">
      <c r="A1078" s="64">
        <v>1073</v>
      </c>
      <c r="B1078" s="49" t="s">
        <v>2912</v>
      </c>
      <c r="C1078" s="50" t="s">
        <v>4003</v>
      </c>
      <c r="D1078" s="49">
        <v>125840</v>
      </c>
      <c r="E1078" s="50" t="s">
        <v>4004</v>
      </c>
      <c r="F1078" s="49" t="s">
        <v>5</v>
      </c>
      <c r="G1078" s="48">
        <v>42992</v>
      </c>
      <c r="H1078" s="48">
        <v>43022</v>
      </c>
      <c r="I1078" s="48">
        <v>42992</v>
      </c>
      <c r="J1078" s="49" t="s">
        <v>3920</v>
      </c>
      <c r="K1078" s="58" t="s">
        <v>5</v>
      </c>
      <c r="L1078" s="49" t="s">
        <v>160</v>
      </c>
      <c r="M1078" s="48">
        <v>42998</v>
      </c>
      <c r="N1078" s="49" t="s">
        <v>3921</v>
      </c>
      <c r="O1078" s="49" t="s">
        <v>5</v>
      </c>
      <c r="P1078" s="49" t="s">
        <v>160</v>
      </c>
      <c r="Q1078" s="51" t="s">
        <v>65</v>
      </c>
      <c r="R1078" s="67" t="e" cm="1">
        <f t="array" ref="R1078">_xlfn.CHOOSECOLS(_xlfn.CHOOSEROWS(_xlfn._xlws.FILTER(표2[],표2[DWG No.]=C1078,""),1),6)</f>
        <v>#VALUE!</v>
      </c>
      <c r="S1078" s="67" t="e" cm="1">
        <f t="array" ref="S1078">_xlfn.CHOOSECOLS(_xlfn.CHOOSEROWS(_xlfn._xlws.FILTER(표2[],(표2[DWG No.]=C1078)*(ISNUMBER(표2[Rev.])),""),1),6)</f>
        <v>#VALUE!</v>
      </c>
    </row>
    <row r="1079" spans="1:19" ht="18" customHeight="1" x14ac:dyDescent="0.45">
      <c r="A1079" s="64">
        <v>1074</v>
      </c>
      <c r="B1079" s="49" t="s">
        <v>2912</v>
      </c>
      <c r="C1079" s="50" t="s">
        <v>4005</v>
      </c>
      <c r="D1079" s="49">
        <v>135834</v>
      </c>
      <c r="E1079" s="50" t="s">
        <v>4006</v>
      </c>
      <c r="F1079" s="49" t="s">
        <v>5</v>
      </c>
      <c r="G1079" s="48">
        <v>43026</v>
      </c>
      <c r="H1079" s="48">
        <v>43056</v>
      </c>
      <c r="I1079" s="48">
        <v>43026</v>
      </c>
      <c r="J1079" s="49" t="s">
        <v>3971</v>
      </c>
      <c r="K1079" s="58" t="s">
        <v>7</v>
      </c>
      <c r="L1079" s="49">
        <v>0</v>
      </c>
      <c r="M1079" s="48">
        <v>43031</v>
      </c>
      <c r="N1079" s="49" t="s">
        <v>2917</v>
      </c>
      <c r="O1079" s="49" t="s">
        <v>5</v>
      </c>
      <c r="P1079" s="49">
        <v>0</v>
      </c>
      <c r="Q1079" s="51" t="s">
        <v>5002</v>
      </c>
      <c r="R1079" s="67" t="e" cm="1">
        <f t="array" ref="R1079">_xlfn.CHOOSECOLS(_xlfn.CHOOSEROWS(_xlfn._xlws.FILTER(표2[],표2[DWG No.]=C1079,""),1),6)</f>
        <v>#VALUE!</v>
      </c>
      <c r="S1079" s="67" t="e" cm="1">
        <f t="array" ref="S1079">_xlfn.CHOOSECOLS(_xlfn.CHOOSEROWS(_xlfn._xlws.FILTER(표2[],(표2[DWG No.]=C1079)*(ISNUMBER(표2[Rev.])),""),1),6)</f>
        <v>#VALUE!</v>
      </c>
    </row>
    <row r="1080" spans="1:19" ht="18" customHeight="1" x14ac:dyDescent="0.45">
      <c r="A1080" s="64">
        <v>1075</v>
      </c>
      <c r="B1080" s="49" t="s">
        <v>2912</v>
      </c>
      <c r="C1080" s="50" t="s">
        <v>4007</v>
      </c>
      <c r="D1080" s="49">
        <v>135835</v>
      </c>
      <c r="E1080" s="50" t="s">
        <v>4008</v>
      </c>
      <c r="F1080" s="49" t="s">
        <v>5</v>
      </c>
      <c r="G1080" s="48">
        <v>42937</v>
      </c>
      <c r="H1080" s="48">
        <v>42967</v>
      </c>
      <c r="I1080" s="48">
        <v>42937</v>
      </c>
      <c r="J1080" s="49" t="s">
        <v>3936</v>
      </c>
      <c r="K1080" s="58" t="s">
        <v>5</v>
      </c>
      <c r="L1080" s="49" t="s">
        <v>65</v>
      </c>
      <c r="M1080" s="48">
        <v>42950</v>
      </c>
      <c r="N1080" s="49" t="s">
        <v>4009</v>
      </c>
      <c r="O1080" s="49" t="s">
        <v>5</v>
      </c>
      <c r="P1080" s="49" t="s">
        <v>65</v>
      </c>
      <c r="Q1080" s="49" t="s">
        <v>2702</v>
      </c>
      <c r="R1080" s="67" t="e" cm="1">
        <f t="array" ref="R1080">_xlfn.CHOOSECOLS(_xlfn.CHOOSEROWS(_xlfn._xlws.FILTER(표2[],표2[DWG No.]=C1080,""),1),6)</f>
        <v>#VALUE!</v>
      </c>
      <c r="S1080" s="67" t="e" cm="1">
        <f t="array" ref="S1080">_xlfn.CHOOSECOLS(_xlfn.CHOOSEROWS(_xlfn._xlws.FILTER(표2[],(표2[DWG No.]=C1080)*(ISNUMBER(표2[Rev.])),""),1),6)</f>
        <v>#VALUE!</v>
      </c>
    </row>
    <row r="1081" spans="1:19" ht="18" customHeight="1" x14ac:dyDescent="0.45">
      <c r="A1081" s="64">
        <v>1076</v>
      </c>
      <c r="B1081" s="49" t="s">
        <v>2912</v>
      </c>
      <c r="C1081" s="50" t="s">
        <v>4010</v>
      </c>
      <c r="D1081" s="49">
        <v>135841</v>
      </c>
      <c r="E1081" s="50" t="s">
        <v>4011</v>
      </c>
      <c r="F1081" s="49" t="s">
        <v>5</v>
      </c>
      <c r="G1081" s="48">
        <v>43027</v>
      </c>
      <c r="H1081" s="48">
        <v>43057</v>
      </c>
      <c r="I1081" s="48">
        <v>43528</v>
      </c>
      <c r="J1081" s="49" t="s">
        <v>4012</v>
      </c>
      <c r="K1081" s="58" t="s">
        <v>7</v>
      </c>
      <c r="L1081" s="49">
        <v>1</v>
      </c>
      <c r="M1081" s="48">
        <v>43537</v>
      </c>
      <c r="N1081" s="49" t="s">
        <v>3096</v>
      </c>
      <c r="O1081" s="49" t="s">
        <v>7</v>
      </c>
      <c r="P1081" s="49">
        <v>1</v>
      </c>
      <c r="Q1081" s="49" t="s">
        <v>160</v>
      </c>
      <c r="R1081" s="67" t="e" cm="1">
        <f t="array" ref="R1081">_xlfn.CHOOSECOLS(_xlfn.CHOOSEROWS(_xlfn._xlws.FILTER(표2[],표2[DWG No.]=C1081,""),1),6)</f>
        <v>#VALUE!</v>
      </c>
      <c r="S1081" s="67" t="e" cm="1">
        <f t="array" ref="S1081">_xlfn.CHOOSECOLS(_xlfn.CHOOSEROWS(_xlfn._xlws.FILTER(표2[],(표2[DWG No.]=C1081)*(ISNUMBER(표2[Rev.])),""),1),6)</f>
        <v>#VALUE!</v>
      </c>
    </row>
    <row r="1082" spans="1:19" ht="18" customHeight="1" x14ac:dyDescent="0.45">
      <c r="A1082" s="64">
        <v>1077</v>
      </c>
      <c r="B1082" s="49" t="s">
        <v>2912</v>
      </c>
      <c r="C1082" s="50" t="s">
        <v>4013</v>
      </c>
      <c r="D1082" s="49">
        <v>135842</v>
      </c>
      <c r="E1082" s="50" t="s">
        <v>4014</v>
      </c>
      <c r="F1082" s="49" t="s">
        <v>5</v>
      </c>
      <c r="G1082" s="48">
        <v>43026</v>
      </c>
      <c r="H1082" s="48">
        <v>43056</v>
      </c>
      <c r="I1082" s="48">
        <v>43026</v>
      </c>
      <c r="J1082" s="49" t="s">
        <v>3971</v>
      </c>
      <c r="K1082" s="58" t="s">
        <v>7</v>
      </c>
      <c r="L1082" s="49">
        <v>0</v>
      </c>
      <c r="M1082" s="48">
        <v>43031</v>
      </c>
      <c r="N1082" s="49" t="s">
        <v>2917</v>
      </c>
      <c r="O1082" s="49" t="s">
        <v>5</v>
      </c>
      <c r="P1082" s="49">
        <v>0</v>
      </c>
      <c r="Q1082" s="51" t="s">
        <v>5002</v>
      </c>
      <c r="R1082" s="67" t="e" cm="1">
        <f t="array" ref="R1082">_xlfn.CHOOSECOLS(_xlfn.CHOOSEROWS(_xlfn._xlws.FILTER(표2[],표2[DWG No.]=C1082,""),1),6)</f>
        <v>#VALUE!</v>
      </c>
      <c r="S1082" s="67" t="e" cm="1">
        <f t="array" ref="S1082">_xlfn.CHOOSECOLS(_xlfn.CHOOSEROWS(_xlfn._xlws.FILTER(표2[],(표2[DWG No.]=C1082)*(ISNUMBER(표2[Rev.])),""),1),6)</f>
        <v>#VALUE!</v>
      </c>
    </row>
    <row r="1083" spans="1:19" ht="18" customHeight="1" x14ac:dyDescent="0.45">
      <c r="A1083" s="64">
        <v>1078</v>
      </c>
      <c r="B1083" s="49" t="s">
        <v>2912</v>
      </c>
      <c r="C1083" s="50" t="s">
        <v>4015</v>
      </c>
      <c r="D1083" s="49">
        <v>165852</v>
      </c>
      <c r="E1083" s="50" t="s">
        <v>4016</v>
      </c>
      <c r="F1083" s="49" t="s">
        <v>5</v>
      </c>
      <c r="G1083" s="48">
        <v>43026</v>
      </c>
      <c r="H1083" s="48">
        <v>43056</v>
      </c>
      <c r="I1083" s="48">
        <v>43026</v>
      </c>
      <c r="J1083" s="49" t="s">
        <v>3971</v>
      </c>
      <c r="K1083" s="58" t="s">
        <v>7</v>
      </c>
      <c r="L1083" s="49">
        <v>0</v>
      </c>
      <c r="M1083" s="48">
        <v>43031</v>
      </c>
      <c r="N1083" s="49" t="s">
        <v>2917</v>
      </c>
      <c r="O1083" s="49" t="s">
        <v>5</v>
      </c>
      <c r="P1083" s="49">
        <v>0</v>
      </c>
      <c r="Q1083" s="51" t="s">
        <v>5002</v>
      </c>
      <c r="R1083" s="67" t="e" cm="1">
        <f t="array" ref="R1083">_xlfn.CHOOSECOLS(_xlfn.CHOOSEROWS(_xlfn._xlws.FILTER(표2[],표2[DWG No.]=C1083,""),1),6)</f>
        <v>#VALUE!</v>
      </c>
      <c r="S1083" s="67" t="e" cm="1">
        <f t="array" ref="S1083">_xlfn.CHOOSECOLS(_xlfn.CHOOSEROWS(_xlfn._xlws.FILTER(표2[],(표2[DWG No.]=C1083)*(ISNUMBER(표2[Rev.])),""),1),6)</f>
        <v>#VALUE!</v>
      </c>
    </row>
    <row r="1084" spans="1:19" ht="18" customHeight="1" x14ac:dyDescent="0.45">
      <c r="A1084" s="64">
        <v>1079</v>
      </c>
      <c r="B1084" s="49" t="s">
        <v>2912</v>
      </c>
      <c r="C1084" s="50" t="s">
        <v>4017</v>
      </c>
      <c r="D1084" s="49">
        <v>195856</v>
      </c>
      <c r="E1084" s="50" t="s">
        <v>4018</v>
      </c>
      <c r="F1084" s="49" t="s">
        <v>6</v>
      </c>
      <c r="G1084" s="48">
        <v>43075</v>
      </c>
      <c r="H1084" s="48">
        <v>43105</v>
      </c>
      <c r="I1084" s="48">
        <v>43222</v>
      </c>
      <c r="J1084" s="49" t="s">
        <v>4019</v>
      </c>
      <c r="K1084" s="58" t="s">
        <v>7</v>
      </c>
      <c r="L1084" s="49">
        <v>4</v>
      </c>
      <c r="M1084" s="48"/>
      <c r="N1084" s="48">
        <v>43238</v>
      </c>
      <c r="O1084" s="49" t="s">
        <v>7</v>
      </c>
      <c r="P1084" s="49">
        <v>4</v>
      </c>
      <c r="Q1084" s="51" t="s">
        <v>5002</v>
      </c>
      <c r="R1084" s="67" t="e" cm="1">
        <f t="array" ref="R1084">_xlfn.CHOOSECOLS(_xlfn.CHOOSEROWS(_xlfn._xlws.FILTER(표2[],표2[DWG No.]=C1084,""),1),6)</f>
        <v>#VALUE!</v>
      </c>
      <c r="S1084" s="67" t="e" cm="1">
        <f t="array" ref="S1084">_xlfn.CHOOSECOLS(_xlfn.CHOOSEROWS(_xlfn._xlws.FILTER(표2[],(표2[DWG No.]=C1084)*(ISNUMBER(표2[Rev.])),""),1),6)</f>
        <v>#VALUE!</v>
      </c>
    </row>
    <row r="1085" spans="1:19" ht="18" customHeight="1" x14ac:dyDescent="0.45">
      <c r="A1085" s="64">
        <v>1080</v>
      </c>
      <c r="B1085" s="49" t="s">
        <v>2912</v>
      </c>
      <c r="C1085" s="50" t="s">
        <v>4020</v>
      </c>
      <c r="D1085" s="49">
        <v>125920</v>
      </c>
      <c r="E1085" s="50" t="s">
        <v>4021</v>
      </c>
      <c r="F1085" s="49" t="s">
        <v>6</v>
      </c>
      <c r="G1085" s="48">
        <v>43066</v>
      </c>
      <c r="H1085" s="48">
        <v>43096</v>
      </c>
      <c r="I1085" s="48">
        <v>43798</v>
      </c>
      <c r="J1085" s="51" t="s">
        <v>3325</v>
      </c>
      <c r="K1085" s="58" t="s">
        <v>7</v>
      </c>
      <c r="L1085" s="51">
        <v>0</v>
      </c>
      <c r="M1085" s="61">
        <v>43798</v>
      </c>
      <c r="N1085" s="51" t="s">
        <v>3191</v>
      </c>
      <c r="O1085" s="49" t="s">
        <v>7</v>
      </c>
      <c r="P1085" s="51">
        <v>0</v>
      </c>
      <c r="Q1085" s="51" t="s">
        <v>5002</v>
      </c>
      <c r="R1085" s="67" t="e" cm="1">
        <f t="array" ref="R1085">_xlfn.CHOOSECOLS(_xlfn.CHOOSEROWS(_xlfn._xlws.FILTER(표2[],표2[DWG No.]=C1085,""),1),6)</f>
        <v>#VALUE!</v>
      </c>
      <c r="S1085" s="67" t="e" cm="1">
        <f t="array" ref="S1085">_xlfn.CHOOSECOLS(_xlfn.CHOOSEROWS(_xlfn._xlws.FILTER(표2[],(표2[DWG No.]=C1085)*(ISNUMBER(표2[Rev.])),""),1),6)</f>
        <v>#VALUE!</v>
      </c>
    </row>
    <row r="1086" spans="1:19" ht="18" customHeight="1" x14ac:dyDescent="0.45">
      <c r="A1086" s="64">
        <v>1081</v>
      </c>
      <c r="B1086" s="49" t="s">
        <v>2912</v>
      </c>
      <c r="C1086" s="50" t="s">
        <v>4022</v>
      </c>
      <c r="D1086" s="49">
        <v>165462</v>
      </c>
      <c r="E1086" s="50" t="s">
        <v>4023</v>
      </c>
      <c r="F1086" s="49" t="s">
        <v>6</v>
      </c>
      <c r="G1086" s="48">
        <v>43028</v>
      </c>
      <c r="H1086" s="48">
        <v>42967</v>
      </c>
      <c r="I1086" s="48">
        <v>43028</v>
      </c>
      <c r="J1086" s="49" t="s">
        <v>3620</v>
      </c>
      <c r="K1086" s="58" t="s">
        <v>7</v>
      </c>
      <c r="L1086" s="49">
        <v>0</v>
      </c>
      <c r="M1086" s="48">
        <v>43031</v>
      </c>
      <c r="N1086" s="49" t="s">
        <v>2917</v>
      </c>
      <c r="O1086" s="49" t="s">
        <v>7</v>
      </c>
      <c r="P1086" s="49">
        <v>0</v>
      </c>
      <c r="Q1086" s="51" t="s">
        <v>5002</v>
      </c>
      <c r="R1086" s="67" t="e" cm="1">
        <f t="array" ref="R1086">_xlfn.CHOOSECOLS(_xlfn.CHOOSEROWS(_xlfn._xlws.FILTER(표2[],표2[DWG No.]=C1086,""),1),6)</f>
        <v>#VALUE!</v>
      </c>
      <c r="S1086" s="67" t="e" cm="1">
        <f t="array" ref="S1086">_xlfn.CHOOSECOLS(_xlfn.CHOOSEROWS(_xlfn._xlws.FILTER(표2[],(표2[DWG No.]=C1086)*(ISNUMBER(표2[Rev.])),""),1),6)</f>
        <v>#VALUE!</v>
      </c>
    </row>
    <row r="1087" spans="1:19" ht="18" customHeight="1" x14ac:dyDescent="0.45">
      <c r="A1087" s="64">
        <v>1082</v>
      </c>
      <c r="B1087" s="49" t="s">
        <v>2912</v>
      </c>
      <c r="C1087" s="50" t="s">
        <v>4024</v>
      </c>
      <c r="D1087" s="49">
        <v>165463</v>
      </c>
      <c r="E1087" s="50" t="s">
        <v>4025</v>
      </c>
      <c r="F1087" s="49" t="s">
        <v>6</v>
      </c>
      <c r="G1087" s="48">
        <v>43028</v>
      </c>
      <c r="H1087" s="48">
        <v>42967</v>
      </c>
      <c r="I1087" s="48">
        <v>43539</v>
      </c>
      <c r="J1087" s="49" t="s">
        <v>4026</v>
      </c>
      <c r="K1087" s="58" t="s">
        <v>7</v>
      </c>
      <c r="L1087" s="49">
        <v>2</v>
      </c>
      <c r="M1087" s="48">
        <v>43539</v>
      </c>
      <c r="N1087" s="49" t="s">
        <v>3275</v>
      </c>
      <c r="O1087" s="49" t="s">
        <v>7</v>
      </c>
      <c r="P1087" s="49">
        <v>2</v>
      </c>
      <c r="Q1087" s="51" t="s">
        <v>5002</v>
      </c>
      <c r="R1087" s="67" t="e" cm="1">
        <f t="array" ref="R1087">_xlfn.CHOOSECOLS(_xlfn.CHOOSEROWS(_xlfn._xlws.FILTER(표2[],표2[DWG No.]=C1087,""),1),6)</f>
        <v>#VALUE!</v>
      </c>
      <c r="S1087" s="67" t="e" cm="1">
        <f t="array" ref="S1087">_xlfn.CHOOSECOLS(_xlfn.CHOOSEROWS(_xlfn._xlws.FILTER(표2[],(표2[DWG No.]=C1087)*(ISNUMBER(표2[Rev.])),""),1),6)</f>
        <v>#VALUE!</v>
      </c>
    </row>
    <row r="1088" spans="1:19" ht="18" customHeight="1" x14ac:dyDescent="0.45">
      <c r="A1088" s="64">
        <v>1083</v>
      </c>
      <c r="B1088" s="49" t="s">
        <v>2912</v>
      </c>
      <c r="C1088" s="50" t="s">
        <v>4027</v>
      </c>
      <c r="D1088" s="49">
        <v>165203</v>
      </c>
      <c r="E1088" s="50" t="s">
        <v>4028</v>
      </c>
      <c r="F1088" s="49" t="s">
        <v>6</v>
      </c>
      <c r="G1088" s="48">
        <v>43060</v>
      </c>
      <c r="H1088" s="48">
        <v>43060</v>
      </c>
      <c r="I1088" s="48">
        <v>43060</v>
      </c>
      <c r="J1088" s="49" t="s">
        <v>4029</v>
      </c>
      <c r="K1088" s="58" t="s">
        <v>7</v>
      </c>
      <c r="L1088" s="49">
        <v>0</v>
      </c>
      <c r="M1088" s="48">
        <v>43060</v>
      </c>
      <c r="N1088" s="49" t="s">
        <v>2917</v>
      </c>
      <c r="O1088" s="49" t="s">
        <v>7</v>
      </c>
      <c r="P1088" s="49">
        <v>0</v>
      </c>
      <c r="Q1088" s="51" t="s">
        <v>5002</v>
      </c>
      <c r="R1088" s="67" t="e" cm="1">
        <f t="array" ref="R1088">_xlfn.CHOOSECOLS(_xlfn.CHOOSEROWS(_xlfn._xlws.FILTER(표2[],표2[DWG No.]=C1088,""),1),6)</f>
        <v>#VALUE!</v>
      </c>
      <c r="S1088" s="67" t="e" cm="1">
        <f t="array" ref="S1088">_xlfn.CHOOSECOLS(_xlfn.CHOOSEROWS(_xlfn._xlws.FILTER(표2[],(표2[DWG No.]=C1088)*(ISNUMBER(표2[Rev.])),""),1),6)</f>
        <v>#VALUE!</v>
      </c>
    </row>
    <row r="1089" spans="1:19" ht="18" customHeight="1" x14ac:dyDescent="0.45">
      <c r="A1089" s="64">
        <v>1084</v>
      </c>
      <c r="B1089" s="49" t="s">
        <v>2912</v>
      </c>
      <c r="C1089" s="50" t="s">
        <v>4030</v>
      </c>
      <c r="D1089" s="49">
        <v>165559</v>
      </c>
      <c r="E1089" s="50" t="s">
        <v>4031</v>
      </c>
      <c r="F1089" s="49" t="s">
        <v>6</v>
      </c>
      <c r="G1089" s="48">
        <v>42954</v>
      </c>
      <c r="H1089" s="48">
        <v>42954</v>
      </c>
      <c r="I1089" s="48">
        <v>42954</v>
      </c>
      <c r="J1089" s="49" t="s">
        <v>2981</v>
      </c>
      <c r="K1089" s="58" t="s">
        <v>7</v>
      </c>
      <c r="L1089" s="49">
        <v>0</v>
      </c>
      <c r="M1089" s="48">
        <v>42954</v>
      </c>
      <c r="N1089" s="49" t="s">
        <v>2917</v>
      </c>
      <c r="O1089" s="49" t="s">
        <v>7</v>
      </c>
      <c r="P1089" s="49">
        <v>0</v>
      </c>
      <c r="Q1089" s="51" t="s">
        <v>5002</v>
      </c>
      <c r="R1089" s="67" t="e" cm="1">
        <f t="array" ref="R1089">_xlfn.CHOOSECOLS(_xlfn.CHOOSEROWS(_xlfn._xlws.FILTER(표2[],표2[DWG No.]=C1089,""),1),6)</f>
        <v>#VALUE!</v>
      </c>
      <c r="S1089" s="67" t="e" cm="1">
        <f t="array" ref="S1089">_xlfn.CHOOSECOLS(_xlfn.CHOOSEROWS(_xlfn._xlws.FILTER(표2[],(표2[DWG No.]=C1089)*(ISNUMBER(표2[Rev.])),""),1),6)</f>
        <v>#VALUE!</v>
      </c>
    </row>
    <row r="1090" spans="1:19" ht="18" customHeight="1" x14ac:dyDescent="0.45">
      <c r="A1090" s="64">
        <v>1085</v>
      </c>
      <c r="B1090" s="49" t="s">
        <v>2912</v>
      </c>
      <c r="C1090" s="50" t="s">
        <v>4032</v>
      </c>
      <c r="D1090" s="49">
        <v>165558</v>
      </c>
      <c r="E1090" s="50" t="s">
        <v>4033</v>
      </c>
      <c r="F1090" s="49" t="s">
        <v>6</v>
      </c>
      <c r="G1090" s="48">
        <v>42986</v>
      </c>
      <c r="H1090" s="48">
        <v>42986</v>
      </c>
      <c r="I1090" s="48">
        <v>42986</v>
      </c>
      <c r="J1090" s="49" t="s">
        <v>3067</v>
      </c>
      <c r="K1090" s="58" t="s">
        <v>7</v>
      </c>
      <c r="L1090" s="49">
        <v>0</v>
      </c>
      <c r="M1090" s="48">
        <v>42986</v>
      </c>
      <c r="N1090" s="49" t="s">
        <v>2917</v>
      </c>
      <c r="O1090" s="49" t="s">
        <v>7</v>
      </c>
      <c r="P1090" s="49">
        <v>0</v>
      </c>
      <c r="Q1090" s="51" t="s">
        <v>5002</v>
      </c>
      <c r="R1090" s="67" t="e" cm="1">
        <f t="array" ref="R1090">_xlfn.CHOOSECOLS(_xlfn.CHOOSEROWS(_xlfn._xlws.FILTER(표2[],표2[DWG No.]=C1090,""),1),6)</f>
        <v>#VALUE!</v>
      </c>
      <c r="S1090" s="67" t="e" cm="1">
        <f t="array" ref="S1090">_xlfn.CHOOSECOLS(_xlfn.CHOOSEROWS(_xlfn._xlws.FILTER(표2[],(표2[DWG No.]=C1090)*(ISNUMBER(표2[Rev.])),""),1),6)</f>
        <v>#VALUE!</v>
      </c>
    </row>
    <row r="1091" spans="1:19" ht="18" customHeight="1" x14ac:dyDescent="0.45">
      <c r="A1091" s="64">
        <v>1086</v>
      </c>
      <c r="B1091" s="49" t="s">
        <v>2912</v>
      </c>
      <c r="C1091" s="50" t="s">
        <v>4034</v>
      </c>
      <c r="D1091" s="49">
        <v>165560</v>
      </c>
      <c r="E1091" s="50" t="s">
        <v>4035</v>
      </c>
      <c r="F1091" s="49" t="s">
        <v>6</v>
      </c>
      <c r="G1091" s="48">
        <v>43006</v>
      </c>
      <c r="H1091" s="48">
        <v>43006</v>
      </c>
      <c r="I1091" s="48">
        <v>43006</v>
      </c>
      <c r="J1091" s="49" t="s">
        <v>3660</v>
      </c>
      <c r="K1091" s="58" t="s">
        <v>7</v>
      </c>
      <c r="L1091" s="49">
        <v>0</v>
      </c>
      <c r="M1091" s="48">
        <v>43006</v>
      </c>
      <c r="N1091" s="49" t="s">
        <v>2917</v>
      </c>
      <c r="O1091" s="49" t="s">
        <v>7</v>
      </c>
      <c r="P1091" s="49">
        <v>0</v>
      </c>
      <c r="Q1091" s="51" t="s">
        <v>5002</v>
      </c>
      <c r="R1091" s="67" t="e" cm="1">
        <f t="array" ref="R1091">_xlfn.CHOOSECOLS(_xlfn.CHOOSEROWS(_xlfn._xlws.FILTER(표2[],표2[DWG No.]=C1091,""),1),6)</f>
        <v>#VALUE!</v>
      </c>
      <c r="S1091" s="67" t="e" cm="1">
        <f t="array" ref="S1091">_xlfn.CHOOSECOLS(_xlfn.CHOOSEROWS(_xlfn._xlws.FILTER(표2[],(표2[DWG No.]=C1091)*(ISNUMBER(표2[Rev.])),""),1),6)</f>
        <v>#VALUE!</v>
      </c>
    </row>
    <row r="1092" spans="1:19" ht="18" customHeight="1" x14ac:dyDescent="0.45">
      <c r="A1092" s="64">
        <v>1087</v>
      </c>
      <c r="B1092" s="49" t="s">
        <v>2912</v>
      </c>
      <c r="C1092" s="50" t="s">
        <v>4036</v>
      </c>
      <c r="D1092" s="49">
        <v>165568</v>
      </c>
      <c r="E1092" s="50" t="s">
        <v>4037</v>
      </c>
      <c r="F1092" s="49" t="s">
        <v>6</v>
      </c>
      <c r="G1092" s="48">
        <v>42998</v>
      </c>
      <c r="H1092" s="48">
        <v>42998</v>
      </c>
      <c r="I1092" s="48">
        <v>42998</v>
      </c>
      <c r="J1092" s="49" t="s">
        <v>3213</v>
      </c>
      <c r="K1092" s="58" t="s">
        <v>7</v>
      </c>
      <c r="L1092" s="49">
        <v>0</v>
      </c>
      <c r="M1092" s="48">
        <v>42998</v>
      </c>
      <c r="N1092" s="49" t="s">
        <v>2917</v>
      </c>
      <c r="O1092" s="49" t="s">
        <v>7</v>
      </c>
      <c r="P1092" s="49">
        <v>0</v>
      </c>
      <c r="Q1092" s="51" t="s">
        <v>5002</v>
      </c>
      <c r="R1092" s="67" t="e" cm="1">
        <f t="array" ref="R1092">_xlfn.CHOOSECOLS(_xlfn.CHOOSEROWS(_xlfn._xlws.FILTER(표2[],표2[DWG No.]=C1092,""),1),6)</f>
        <v>#VALUE!</v>
      </c>
      <c r="S1092" s="67" t="e" cm="1">
        <f t="array" ref="S1092">_xlfn.CHOOSECOLS(_xlfn.CHOOSEROWS(_xlfn._xlws.FILTER(표2[],(표2[DWG No.]=C1092)*(ISNUMBER(표2[Rev.])),""),1),6)</f>
        <v>#VALUE!</v>
      </c>
    </row>
    <row r="1093" spans="1:19" ht="18" customHeight="1" x14ac:dyDescent="0.45">
      <c r="A1093" s="64">
        <v>1088</v>
      </c>
      <c r="B1093" s="49" t="s">
        <v>2912</v>
      </c>
      <c r="C1093" s="50" t="s">
        <v>4038</v>
      </c>
      <c r="D1093" s="49">
        <v>165568</v>
      </c>
      <c r="E1093" s="50" t="s">
        <v>4039</v>
      </c>
      <c r="F1093" s="49" t="s">
        <v>6</v>
      </c>
      <c r="G1093" s="48">
        <v>42998</v>
      </c>
      <c r="H1093" s="48">
        <v>42998</v>
      </c>
      <c r="I1093" s="48">
        <v>43481</v>
      </c>
      <c r="J1093" s="49" t="s">
        <v>4040</v>
      </c>
      <c r="K1093" s="58" t="s">
        <v>7</v>
      </c>
      <c r="L1093" s="49">
        <v>2</v>
      </c>
      <c r="M1093" s="48">
        <v>43497</v>
      </c>
      <c r="N1093" s="49" t="s">
        <v>4041</v>
      </c>
      <c r="O1093" s="49" t="s">
        <v>7</v>
      </c>
      <c r="P1093" s="49">
        <v>2</v>
      </c>
      <c r="Q1093" s="51" t="s">
        <v>5002</v>
      </c>
      <c r="R1093" s="67" t="e" cm="1">
        <f t="array" ref="R1093">_xlfn.CHOOSECOLS(_xlfn.CHOOSEROWS(_xlfn._xlws.FILTER(표2[],표2[DWG No.]=C1093,""),1),6)</f>
        <v>#VALUE!</v>
      </c>
      <c r="S1093" s="67" t="e" cm="1">
        <f t="array" ref="S1093">_xlfn.CHOOSECOLS(_xlfn.CHOOSEROWS(_xlfn._xlws.FILTER(표2[],(표2[DWG No.]=C1093)*(ISNUMBER(표2[Rev.])),""),1),6)</f>
        <v>#VALUE!</v>
      </c>
    </row>
    <row r="1094" spans="1:19" ht="18" customHeight="1" x14ac:dyDescent="0.45">
      <c r="A1094" s="64">
        <v>1089</v>
      </c>
      <c r="B1094" s="49" t="s">
        <v>2912</v>
      </c>
      <c r="C1094" s="50" t="s">
        <v>4042</v>
      </c>
      <c r="D1094" s="49">
        <v>165569</v>
      </c>
      <c r="E1094" s="50" t="s">
        <v>4043</v>
      </c>
      <c r="F1094" s="49" t="s">
        <v>6</v>
      </c>
      <c r="G1094" s="48">
        <v>43059</v>
      </c>
      <c r="H1094" s="48">
        <v>43059</v>
      </c>
      <c r="I1094" s="48">
        <v>43059</v>
      </c>
      <c r="J1094" s="49" t="s">
        <v>3063</v>
      </c>
      <c r="K1094" s="58" t="s">
        <v>7</v>
      </c>
      <c r="L1094" s="49">
        <v>0</v>
      </c>
      <c r="M1094" s="48">
        <v>43060</v>
      </c>
      <c r="N1094" s="49" t="s">
        <v>2917</v>
      </c>
      <c r="O1094" s="49" t="s">
        <v>7</v>
      </c>
      <c r="P1094" s="49">
        <v>0</v>
      </c>
      <c r="Q1094" s="51" t="s">
        <v>5002</v>
      </c>
      <c r="R1094" s="67" t="e" cm="1">
        <f t="array" ref="R1094">_xlfn.CHOOSECOLS(_xlfn.CHOOSEROWS(_xlfn._xlws.FILTER(표2[],표2[DWG No.]=C1094,""),1),6)</f>
        <v>#VALUE!</v>
      </c>
      <c r="S1094" s="67" t="e" cm="1">
        <f t="array" ref="S1094">_xlfn.CHOOSECOLS(_xlfn.CHOOSEROWS(_xlfn._xlws.FILTER(표2[],(표2[DWG No.]=C1094)*(ISNUMBER(표2[Rev.])),""),1),6)</f>
        <v>#VALUE!</v>
      </c>
    </row>
    <row r="1095" spans="1:19" ht="18" customHeight="1" x14ac:dyDescent="0.45">
      <c r="A1095" s="64">
        <v>1090</v>
      </c>
      <c r="B1095" s="49" t="s">
        <v>2912</v>
      </c>
      <c r="C1095" s="50" t="s">
        <v>4044</v>
      </c>
      <c r="D1095" s="49">
        <v>165570</v>
      </c>
      <c r="E1095" s="50" t="s">
        <v>4045</v>
      </c>
      <c r="F1095" s="49" t="s">
        <v>6</v>
      </c>
      <c r="G1095" s="48">
        <v>43032</v>
      </c>
      <c r="H1095" s="48">
        <v>43032</v>
      </c>
      <c r="I1095" s="48">
        <v>43032</v>
      </c>
      <c r="J1095" s="49" t="s">
        <v>3220</v>
      </c>
      <c r="K1095" s="58" t="s">
        <v>7</v>
      </c>
      <c r="L1095" s="49">
        <v>0</v>
      </c>
      <c r="M1095" s="48">
        <v>43033</v>
      </c>
      <c r="N1095" s="49" t="s">
        <v>2917</v>
      </c>
      <c r="O1095" s="49" t="s">
        <v>7</v>
      </c>
      <c r="P1095" s="49">
        <v>0</v>
      </c>
      <c r="Q1095" s="51" t="s">
        <v>5002</v>
      </c>
      <c r="R1095" s="67" t="e" cm="1">
        <f t="array" ref="R1095">_xlfn.CHOOSECOLS(_xlfn.CHOOSEROWS(_xlfn._xlws.FILTER(표2[],표2[DWG No.]=C1095,""),1),6)</f>
        <v>#VALUE!</v>
      </c>
      <c r="S1095" s="67" t="e" cm="1">
        <f t="array" ref="S1095">_xlfn.CHOOSECOLS(_xlfn.CHOOSEROWS(_xlfn._xlws.FILTER(표2[],(표2[DWG No.]=C1095)*(ISNUMBER(표2[Rev.])),""),1),6)</f>
        <v>#VALUE!</v>
      </c>
    </row>
    <row r="1096" spans="1:19" ht="18" customHeight="1" x14ac:dyDescent="0.45">
      <c r="A1096" s="64">
        <v>1091</v>
      </c>
      <c r="B1096" s="49" t="s">
        <v>2912</v>
      </c>
      <c r="C1096" s="50" t="s">
        <v>4046</v>
      </c>
      <c r="D1096" s="49">
        <v>165571</v>
      </c>
      <c r="E1096" s="50" t="s">
        <v>4047</v>
      </c>
      <c r="F1096" s="49" t="s">
        <v>6</v>
      </c>
      <c r="G1096" s="48">
        <v>43032</v>
      </c>
      <c r="H1096" s="48">
        <v>43032</v>
      </c>
      <c r="I1096" s="48">
        <v>43032</v>
      </c>
      <c r="J1096" s="49" t="s">
        <v>3220</v>
      </c>
      <c r="K1096" s="58" t="s">
        <v>7</v>
      </c>
      <c r="L1096" s="49">
        <v>0</v>
      </c>
      <c r="M1096" s="48">
        <v>43033</v>
      </c>
      <c r="N1096" s="49" t="s">
        <v>2917</v>
      </c>
      <c r="O1096" s="49" t="s">
        <v>7</v>
      </c>
      <c r="P1096" s="49">
        <v>0</v>
      </c>
      <c r="Q1096" s="51" t="s">
        <v>5002</v>
      </c>
      <c r="R1096" s="67" t="e" cm="1">
        <f t="array" ref="R1096">_xlfn.CHOOSECOLS(_xlfn.CHOOSEROWS(_xlfn._xlws.FILTER(표2[],표2[DWG No.]=C1096,""),1),6)</f>
        <v>#VALUE!</v>
      </c>
      <c r="S1096" s="67" t="e" cm="1">
        <f t="array" ref="S1096">_xlfn.CHOOSECOLS(_xlfn.CHOOSEROWS(_xlfn._xlws.FILTER(표2[],(표2[DWG No.]=C1096)*(ISNUMBER(표2[Rev.])),""),1),6)</f>
        <v>#VALUE!</v>
      </c>
    </row>
    <row r="1097" spans="1:19" ht="18" customHeight="1" x14ac:dyDescent="0.45">
      <c r="A1097" s="64">
        <v>1092</v>
      </c>
      <c r="B1097" s="49" t="s">
        <v>2912</v>
      </c>
      <c r="C1097" s="50" t="s">
        <v>4048</v>
      </c>
      <c r="D1097" s="49">
        <v>165572</v>
      </c>
      <c r="E1097" s="50" t="s">
        <v>4049</v>
      </c>
      <c r="F1097" s="49" t="s">
        <v>6</v>
      </c>
      <c r="G1097" s="48">
        <v>43081</v>
      </c>
      <c r="H1097" s="48">
        <v>43081</v>
      </c>
      <c r="I1097" s="48">
        <v>43081</v>
      </c>
      <c r="J1097" s="49" t="s">
        <v>3244</v>
      </c>
      <c r="K1097" s="58" t="s">
        <v>7</v>
      </c>
      <c r="L1097" s="49">
        <v>0</v>
      </c>
      <c r="M1097" s="48">
        <v>43082</v>
      </c>
      <c r="N1097" s="49" t="s">
        <v>2917</v>
      </c>
      <c r="O1097" s="49" t="s">
        <v>7</v>
      </c>
      <c r="P1097" s="49">
        <v>0</v>
      </c>
      <c r="Q1097" s="51" t="s">
        <v>5002</v>
      </c>
      <c r="R1097" s="67" t="e" cm="1">
        <f t="array" ref="R1097">_xlfn.CHOOSECOLS(_xlfn.CHOOSEROWS(_xlfn._xlws.FILTER(표2[],표2[DWG No.]=C1097,""),1),6)</f>
        <v>#VALUE!</v>
      </c>
      <c r="S1097" s="67" t="e" cm="1">
        <f t="array" ref="S1097">_xlfn.CHOOSECOLS(_xlfn.CHOOSEROWS(_xlfn._xlws.FILTER(표2[],(표2[DWG No.]=C1097)*(ISNUMBER(표2[Rev.])),""),1),6)</f>
        <v>#VALUE!</v>
      </c>
    </row>
    <row r="1098" spans="1:19" ht="18" customHeight="1" x14ac:dyDescent="0.45">
      <c r="A1098" s="64">
        <v>1093</v>
      </c>
      <c r="B1098" s="49" t="s">
        <v>2912</v>
      </c>
      <c r="C1098" s="50" t="s">
        <v>4050</v>
      </c>
      <c r="D1098" s="49">
        <v>165573</v>
      </c>
      <c r="E1098" s="50" t="s">
        <v>4051</v>
      </c>
      <c r="F1098" s="49" t="s">
        <v>6</v>
      </c>
      <c r="G1098" s="48">
        <v>43081</v>
      </c>
      <c r="H1098" s="48">
        <v>43081</v>
      </c>
      <c r="I1098" s="48">
        <v>43081</v>
      </c>
      <c r="J1098" s="49" t="s">
        <v>3244</v>
      </c>
      <c r="K1098" s="58" t="s">
        <v>7</v>
      </c>
      <c r="L1098" s="49">
        <v>0</v>
      </c>
      <c r="M1098" s="48">
        <v>43082</v>
      </c>
      <c r="N1098" s="49" t="s">
        <v>2917</v>
      </c>
      <c r="O1098" s="49" t="s">
        <v>7</v>
      </c>
      <c r="P1098" s="49">
        <v>0</v>
      </c>
      <c r="Q1098" s="51" t="s">
        <v>5002</v>
      </c>
      <c r="R1098" s="67" t="e" cm="1">
        <f t="array" ref="R1098">_xlfn.CHOOSECOLS(_xlfn.CHOOSEROWS(_xlfn._xlws.FILTER(표2[],표2[DWG No.]=C1098,""),1),6)</f>
        <v>#VALUE!</v>
      </c>
      <c r="S1098" s="67" t="e" cm="1">
        <f t="array" ref="S1098">_xlfn.CHOOSECOLS(_xlfn.CHOOSEROWS(_xlfn._xlws.FILTER(표2[],(표2[DWG No.]=C1098)*(ISNUMBER(표2[Rev.])),""),1),6)</f>
        <v>#VALUE!</v>
      </c>
    </row>
    <row r="1099" spans="1:19" ht="18" customHeight="1" x14ac:dyDescent="0.45">
      <c r="A1099" s="64">
        <v>1094</v>
      </c>
      <c r="B1099" s="49" t="s">
        <v>2912</v>
      </c>
      <c r="C1099" s="50" t="s">
        <v>4052</v>
      </c>
      <c r="D1099" s="49">
        <v>165574</v>
      </c>
      <c r="E1099" s="73" t="s">
        <v>4053</v>
      </c>
      <c r="F1099" s="49" t="s">
        <v>6</v>
      </c>
      <c r="G1099" s="48">
        <v>43052</v>
      </c>
      <c r="H1099" s="48">
        <v>43082</v>
      </c>
      <c r="I1099" s="48">
        <v>43152</v>
      </c>
      <c r="J1099" s="51" t="s">
        <v>3205</v>
      </c>
      <c r="K1099" s="58" t="s">
        <v>7</v>
      </c>
      <c r="L1099" s="49">
        <v>1</v>
      </c>
      <c r="M1099" s="61">
        <v>43154</v>
      </c>
      <c r="N1099" s="51" t="s">
        <v>3153</v>
      </c>
      <c r="O1099" s="49" t="s">
        <v>7</v>
      </c>
      <c r="P1099" s="51">
        <v>1</v>
      </c>
      <c r="Q1099" s="51" t="s">
        <v>5002</v>
      </c>
      <c r="R1099" s="67" t="e" cm="1">
        <f t="array" ref="R1099">_xlfn.CHOOSECOLS(_xlfn.CHOOSEROWS(_xlfn._xlws.FILTER(표2[],표2[DWG No.]=C1099,""),1),6)</f>
        <v>#VALUE!</v>
      </c>
      <c r="S1099" s="67" t="e" cm="1">
        <f t="array" ref="S1099">_xlfn.CHOOSECOLS(_xlfn.CHOOSEROWS(_xlfn._xlws.FILTER(표2[],(표2[DWG No.]=C1099)*(ISNUMBER(표2[Rev.])),""),1),6)</f>
        <v>#VALUE!</v>
      </c>
    </row>
    <row r="1100" spans="1:19" ht="18" customHeight="1" x14ac:dyDescent="0.45">
      <c r="A1100" s="64">
        <v>1095</v>
      </c>
      <c r="B1100" s="49" t="s">
        <v>2912</v>
      </c>
      <c r="C1100" s="50" t="s">
        <v>4054</v>
      </c>
      <c r="D1100" s="49">
        <v>165575</v>
      </c>
      <c r="E1100" s="50" t="s">
        <v>4055</v>
      </c>
      <c r="F1100" s="49" t="s">
        <v>6</v>
      </c>
      <c r="G1100" s="48">
        <v>43042</v>
      </c>
      <c r="H1100" s="48">
        <v>43072</v>
      </c>
      <c r="I1100" s="48">
        <v>43152</v>
      </c>
      <c r="J1100" s="51" t="s">
        <v>3205</v>
      </c>
      <c r="K1100" s="58" t="s">
        <v>7</v>
      </c>
      <c r="L1100" s="49">
        <v>0</v>
      </c>
      <c r="M1100" s="61">
        <v>43154</v>
      </c>
      <c r="N1100" s="51" t="s">
        <v>3153</v>
      </c>
      <c r="O1100" s="49" t="s">
        <v>7</v>
      </c>
      <c r="P1100" s="51">
        <v>0</v>
      </c>
      <c r="Q1100" s="51" t="s">
        <v>5002</v>
      </c>
      <c r="R1100" s="67" t="e" cm="1">
        <f t="array" ref="R1100">_xlfn.CHOOSECOLS(_xlfn.CHOOSEROWS(_xlfn._xlws.FILTER(표2[],표2[DWG No.]=C1100,""),1),6)</f>
        <v>#VALUE!</v>
      </c>
      <c r="S1100" s="67" t="e" cm="1">
        <f t="array" ref="S1100">_xlfn.CHOOSECOLS(_xlfn.CHOOSEROWS(_xlfn._xlws.FILTER(표2[],(표2[DWG No.]=C1100)*(ISNUMBER(표2[Rev.])),""),1),6)</f>
        <v>#VALUE!</v>
      </c>
    </row>
    <row r="1101" spans="1:19" ht="18" customHeight="1" x14ac:dyDescent="0.45">
      <c r="A1101" s="64">
        <v>1096</v>
      </c>
      <c r="B1101" s="49" t="s">
        <v>2912</v>
      </c>
      <c r="C1101" s="50" t="s">
        <v>4056</v>
      </c>
      <c r="D1101" s="49">
        <v>165576</v>
      </c>
      <c r="E1101" s="50" t="s">
        <v>4057</v>
      </c>
      <c r="F1101" s="49" t="s">
        <v>6</v>
      </c>
      <c r="G1101" s="48">
        <v>43032</v>
      </c>
      <c r="H1101" s="48">
        <v>43032</v>
      </c>
      <c r="I1101" s="48">
        <v>43032</v>
      </c>
      <c r="J1101" s="49" t="s">
        <v>3220</v>
      </c>
      <c r="K1101" s="58" t="s">
        <v>7</v>
      </c>
      <c r="L1101" s="49">
        <v>0</v>
      </c>
      <c r="M1101" s="48">
        <v>43033</v>
      </c>
      <c r="N1101" s="49" t="s">
        <v>2917</v>
      </c>
      <c r="O1101" s="49" t="s">
        <v>7</v>
      </c>
      <c r="P1101" s="49">
        <v>0</v>
      </c>
      <c r="Q1101" s="51" t="s">
        <v>5002</v>
      </c>
      <c r="R1101" s="67" t="e" cm="1">
        <f t="array" ref="R1101">_xlfn.CHOOSECOLS(_xlfn.CHOOSEROWS(_xlfn._xlws.FILTER(표2[],표2[DWG No.]=C1101,""),1),6)</f>
        <v>#VALUE!</v>
      </c>
      <c r="S1101" s="67" t="e" cm="1">
        <f t="array" ref="S1101">_xlfn.CHOOSECOLS(_xlfn.CHOOSEROWS(_xlfn._xlws.FILTER(표2[],(표2[DWG No.]=C1101)*(ISNUMBER(표2[Rev.])),""),1),6)</f>
        <v>#VALUE!</v>
      </c>
    </row>
    <row r="1102" spans="1:19" ht="18" customHeight="1" x14ac:dyDescent="0.45">
      <c r="A1102" s="64">
        <v>1097</v>
      </c>
      <c r="B1102" s="49" t="s">
        <v>2912</v>
      </c>
      <c r="C1102" s="50" t="s">
        <v>4058</v>
      </c>
      <c r="D1102" s="49">
        <v>165577</v>
      </c>
      <c r="E1102" s="50" t="s">
        <v>4057</v>
      </c>
      <c r="F1102" s="49" t="s">
        <v>6</v>
      </c>
      <c r="G1102" s="48">
        <v>43032</v>
      </c>
      <c r="H1102" s="48">
        <v>43032</v>
      </c>
      <c r="I1102" s="48">
        <v>43032</v>
      </c>
      <c r="J1102" s="49" t="s">
        <v>3220</v>
      </c>
      <c r="K1102" s="58" t="s">
        <v>7</v>
      </c>
      <c r="L1102" s="49">
        <v>0</v>
      </c>
      <c r="M1102" s="48">
        <v>43033</v>
      </c>
      <c r="N1102" s="49" t="s">
        <v>2917</v>
      </c>
      <c r="O1102" s="49" t="s">
        <v>7</v>
      </c>
      <c r="P1102" s="49">
        <v>0</v>
      </c>
      <c r="Q1102" s="51" t="s">
        <v>5002</v>
      </c>
      <c r="R1102" s="67" t="e" cm="1">
        <f t="array" ref="R1102">_xlfn.CHOOSECOLS(_xlfn.CHOOSEROWS(_xlfn._xlws.FILTER(표2[],표2[DWG No.]=C1102,""),1),6)</f>
        <v>#VALUE!</v>
      </c>
      <c r="S1102" s="67" t="e" cm="1">
        <f t="array" ref="S1102">_xlfn.CHOOSECOLS(_xlfn.CHOOSEROWS(_xlfn._xlws.FILTER(표2[],(표2[DWG No.]=C1102)*(ISNUMBER(표2[Rev.])),""),1),6)</f>
        <v>#VALUE!</v>
      </c>
    </row>
    <row r="1103" spans="1:19" ht="18" customHeight="1" x14ac:dyDescent="0.45">
      <c r="A1103" s="64">
        <v>1098</v>
      </c>
      <c r="B1103" s="49" t="s">
        <v>2912</v>
      </c>
      <c r="C1103" s="50" t="s">
        <v>4059</v>
      </c>
      <c r="D1103" s="49">
        <v>165578</v>
      </c>
      <c r="E1103" s="50" t="s">
        <v>4060</v>
      </c>
      <c r="F1103" s="49" t="s">
        <v>6</v>
      </c>
      <c r="G1103" s="48">
        <v>43042</v>
      </c>
      <c r="H1103" s="48">
        <v>43042</v>
      </c>
      <c r="I1103" s="48">
        <v>43042</v>
      </c>
      <c r="J1103" s="49" t="s">
        <v>3436</v>
      </c>
      <c r="K1103" s="58" t="s">
        <v>7</v>
      </c>
      <c r="L1103" s="49">
        <v>0</v>
      </c>
      <c r="M1103" s="48">
        <v>43042</v>
      </c>
      <c r="N1103" s="49" t="s">
        <v>2917</v>
      </c>
      <c r="O1103" s="49" t="s">
        <v>7</v>
      </c>
      <c r="P1103" s="49">
        <v>0</v>
      </c>
      <c r="Q1103" s="51" t="s">
        <v>5002</v>
      </c>
      <c r="R1103" s="67" t="e" cm="1">
        <f t="array" ref="R1103">_xlfn.CHOOSECOLS(_xlfn.CHOOSEROWS(_xlfn._xlws.FILTER(표2[],표2[DWG No.]=C1103,""),1),6)</f>
        <v>#VALUE!</v>
      </c>
      <c r="S1103" s="67" t="e" cm="1">
        <f t="array" ref="S1103">_xlfn.CHOOSECOLS(_xlfn.CHOOSEROWS(_xlfn._xlws.FILTER(표2[],(표2[DWG No.]=C1103)*(ISNUMBER(표2[Rev.])),""),1),6)</f>
        <v>#VALUE!</v>
      </c>
    </row>
    <row r="1104" spans="1:19" ht="18" customHeight="1" x14ac:dyDescent="0.45">
      <c r="A1104" s="64">
        <v>1099</v>
      </c>
      <c r="B1104" s="49" t="s">
        <v>2912</v>
      </c>
      <c r="C1104" s="50" t="s">
        <v>4061</v>
      </c>
      <c r="D1104" s="49">
        <v>165579</v>
      </c>
      <c r="E1104" s="50" t="s">
        <v>4062</v>
      </c>
      <c r="F1104" s="49" t="s">
        <v>6</v>
      </c>
      <c r="G1104" s="48">
        <v>43042</v>
      </c>
      <c r="H1104" s="48">
        <v>43042</v>
      </c>
      <c r="I1104" s="48">
        <v>43962</v>
      </c>
      <c r="J1104" s="49" t="s">
        <v>5000</v>
      </c>
      <c r="K1104" s="58" t="s">
        <v>7</v>
      </c>
      <c r="L1104" s="49">
        <v>1</v>
      </c>
      <c r="M1104" s="48"/>
      <c r="N1104" s="49"/>
      <c r="O1104" s="49" t="s">
        <v>7</v>
      </c>
      <c r="P1104" s="49">
        <v>0</v>
      </c>
      <c r="Q1104" s="51" t="s">
        <v>5002</v>
      </c>
      <c r="R1104" s="67" t="e" cm="1">
        <f t="array" ref="R1104">_xlfn.CHOOSECOLS(_xlfn.CHOOSEROWS(_xlfn._xlws.FILTER(표2[],표2[DWG No.]=C1104,""),1),6)</f>
        <v>#VALUE!</v>
      </c>
      <c r="S1104" s="67" t="e" cm="1">
        <f t="array" ref="S1104">_xlfn.CHOOSECOLS(_xlfn.CHOOSEROWS(_xlfn._xlws.FILTER(표2[],(표2[DWG No.]=C1104)*(ISNUMBER(표2[Rev.])),""),1),6)</f>
        <v>#VALUE!</v>
      </c>
    </row>
    <row r="1105" spans="1:19" ht="18" customHeight="1" x14ac:dyDescent="0.45">
      <c r="A1105" s="64">
        <v>1100</v>
      </c>
      <c r="B1105" s="49" t="s">
        <v>2912</v>
      </c>
      <c r="C1105" s="50" t="s">
        <v>4063</v>
      </c>
      <c r="D1105" s="49">
        <v>165580</v>
      </c>
      <c r="E1105" s="50" t="s">
        <v>4064</v>
      </c>
      <c r="F1105" s="49" t="s">
        <v>6</v>
      </c>
      <c r="G1105" s="48">
        <v>43081</v>
      </c>
      <c r="H1105" s="48">
        <v>43081</v>
      </c>
      <c r="I1105" s="48">
        <v>43081</v>
      </c>
      <c r="J1105" s="49" t="s">
        <v>3244</v>
      </c>
      <c r="K1105" s="58" t="s">
        <v>7</v>
      </c>
      <c r="L1105" s="49">
        <v>0</v>
      </c>
      <c r="M1105" s="48">
        <v>43082</v>
      </c>
      <c r="N1105" s="49" t="s">
        <v>2917</v>
      </c>
      <c r="O1105" s="49" t="s">
        <v>7</v>
      </c>
      <c r="P1105" s="49">
        <v>0</v>
      </c>
      <c r="Q1105" s="51" t="s">
        <v>5002</v>
      </c>
      <c r="R1105" s="67" t="e" cm="1">
        <f t="array" ref="R1105">_xlfn.CHOOSECOLS(_xlfn.CHOOSEROWS(_xlfn._xlws.FILTER(표2[],표2[DWG No.]=C1105,""),1),6)</f>
        <v>#VALUE!</v>
      </c>
      <c r="S1105" s="67" t="e" cm="1">
        <f t="array" ref="S1105">_xlfn.CHOOSECOLS(_xlfn.CHOOSEROWS(_xlfn._xlws.FILTER(표2[],(표2[DWG No.]=C1105)*(ISNUMBER(표2[Rev.])),""),1),6)</f>
        <v>#VALUE!</v>
      </c>
    </row>
    <row r="1106" spans="1:19" ht="18" customHeight="1" x14ac:dyDescent="0.45">
      <c r="A1106" s="64">
        <v>1101</v>
      </c>
      <c r="B1106" s="49" t="s">
        <v>2912</v>
      </c>
      <c r="C1106" s="50" t="s">
        <v>4065</v>
      </c>
      <c r="D1106" s="49">
        <v>165651</v>
      </c>
      <c r="E1106" s="50" t="s">
        <v>4066</v>
      </c>
      <c r="F1106" s="49" t="s">
        <v>5</v>
      </c>
      <c r="G1106" s="48">
        <v>43034</v>
      </c>
      <c r="H1106" s="48">
        <v>43064</v>
      </c>
      <c r="I1106" s="48">
        <v>43088</v>
      </c>
      <c r="J1106" s="51" t="s">
        <v>3651</v>
      </c>
      <c r="K1106" s="58" t="s">
        <v>7</v>
      </c>
      <c r="L1106" s="51">
        <v>0</v>
      </c>
      <c r="M1106" s="61">
        <v>43103</v>
      </c>
      <c r="N1106" s="51" t="s">
        <v>3153</v>
      </c>
      <c r="O1106" s="49" t="s">
        <v>7</v>
      </c>
      <c r="P1106" s="51">
        <v>0</v>
      </c>
      <c r="Q1106" s="51" t="s">
        <v>160</v>
      </c>
      <c r="R1106" s="67" t="e" cm="1">
        <f t="array" ref="R1106">_xlfn.CHOOSECOLS(_xlfn.CHOOSEROWS(_xlfn._xlws.FILTER(표2[],표2[DWG No.]=C1106,""),1),6)</f>
        <v>#VALUE!</v>
      </c>
      <c r="S1106" s="67" t="e" cm="1">
        <f t="array" ref="S1106">_xlfn.CHOOSECOLS(_xlfn.CHOOSEROWS(_xlfn._xlws.FILTER(표2[],(표2[DWG No.]=C1106)*(ISNUMBER(표2[Rev.])),""),1),6)</f>
        <v>#VALUE!</v>
      </c>
    </row>
    <row r="1107" spans="1:19" ht="18" customHeight="1" x14ac:dyDescent="0.45">
      <c r="A1107" s="64">
        <v>1102</v>
      </c>
      <c r="B1107" s="49" t="s">
        <v>2912</v>
      </c>
      <c r="C1107" s="50" t="s">
        <v>4067</v>
      </c>
      <c r="D1107" s="49">
        <v>165652</v>
      </c>
      <c r="E1107" s="50" t="s">
        <v>4068</v>
      </c>
      <c r="F1107" s="49" t="s">
        <v>5</v>
      </c>
      <c r="G1107" s="48">
        <v>43034</v>
      </c>
      <c r="H1107" s="48">
        <v>43064</v>
      </c>
      <c r="I1107" s="48">
        <v>43088</v>
      </c>
      <c r="J1107" s="51" t="s">
        <v>3651</v>
      </c>
      <c r="K1107" s="58" t="s">
        <v>7</v>
      </c>
      <c r="L1107" s="51">
        <v>0</v>
      </c>
      <c r="M1107" s="61">
        <v>43103</v>
      </c>
      <c r="N1107" s="51" t="s">
        <v>3153</v>
      </c>
      <c r="O1107" s="49" t="s">
        <v>7</v>
      </c>
      <c r="P1107" s="51">
        <v>0</v>
      </c>
      <c r="Q1107" s="51" t="s">
        <v>160</v>
      </c>
      <c r="R1107" s="67" t="e" cm="1">
        <f t="array" ref="R1107">_xlfn.CHOOSECOLS(_xlfn.CHOOSEROWS(_xlfn._xlws.FILTER(표2[],표2[DWG No.]=C1107,""),1),6)</f>
        <v>#VALUE!</v>
      </c>
      <c r="S1107" s="67" t="e" cm="1">
        <f t="array" ref="S1107">_xlfn.CHOOSECOLS(_xlfn.CHOOSEROWS(_xlfn._xlws.FILTER(표2[],(표2[DWG No.]=C1107)*(ISNUMBER(표2[Rev.])),""),1),6)</f>
        <v>#VALUE!</v>
      </c>
    </row>
    <row r="1108" spans="1:19" ht="18" customHeight="1" x14ac:dyDescent="0.45">
      <c r="A1108" s="64">
        <v>1103</v>
      </c>
      <c r="B1108" s="49" t="s">
        <v>2912</v>
      </c>
      <c r="C1108" s="50" t="s">
        <v>4069</v>
      </c>
      <c r="D1108" s="49">
        <v>165653</v>
      </c>
      <c r="E1108" s="50" t="s">
        <v>4070</v>
      </c>
      <c r="F1108" s="49" t="s">
        <v>5</v>
      </c>
      <c r="G1108" s="48">
        <v>43034</v>
      </c>
      <c r="H1108" s="48">
        <v>43064</v>
      </c>
      <c r="I1108" s="48">
        <v>43088</v>
      </c>
      <c r="J1108" s="51" t="s">
        <v>3651</v>
      </c>
      <c r="K1108" s="58" t="s">
        <v>7</v>
      </c>
      <c r="L1108" s="51">
        <v>0</v>
      </c>
      <c r="M1108" s="61">
        <v>43103</v>
      </c>
      <c r="N1108" s="51" t="s">
        <v>3153</v>
      </c>
      <c r="O1108" s="49" t="s">
        <v>7</v>
      </c>
      <c r="P1108" s="51">
        <v>0</v>
      </c>
      <c r="Q1108" s="51" t="s">
        <v>160</v>
      </c>
      <c r="R1108" s="67" t="e" cm="1">
        <f t="array" ref="R1108">_xlfn.CHOOSECOLS(_xlfn.CHOOSEROWS(_xlfn._xlws.FILTER(표2[],표2[DWG No.]=C1108,""),1),6)</f>
        <v>#VALUE!</v>
      </c>
      <c r="S1108" s="67" t="e" cm="1">
        <f t="array" ref="S1108">_xlfn.CHOOSECOLS(_xlfn.CHOOSEROWS(_xlfn._xlws.FILTER(표2[],(표2[DWG No.]=C1108)*(ISNUMBER(표2[Rev.])),""),1),6)</f>
        <v>#VALUE!</v>
      </c>
    </row>
    <row r="1109" spans="1:19" ht="18" customHeight="1" x14ac:dyDescent="0.45">
      <c r="A1109" s="64">
        <v>1104</v>
      </c>
      <c r="B1109" s="49" t="s">
        <v>2912</v>
      </c>
      <c r="C1109" s="50" t="s">
        <v>4071</v>
      </c>
      <c r="D1109" s="49">
        <v>165654</v>
      </c>
      <c r="E1109" s="50" t="s">
        <v>4072</v>
      </c>
      <c r="F1109" s="49" t="s">
        <v>5</v>
      </c>
      <c r="G1109" s="48">
        <v>43034</v>
      </c>
      <c r="H1109" s="48">
        <v>43064</v>
      </c>
      <c r="I1109" s="48">
        <v>43088</v>
      </c>
      <c r="J1109" s="51" t="s">
        <v>3651</v>
      </c>
      <c r="K1109" s="58" t="s">
        <v>7</v>
      </c>
      <c r="L1109" s="51">
        <v>0</v>
      </c>
      <c r="M1109" s="61">
        <v>43103</v>
      </c>
      <c r="N1109" s="51" t="s">
        <v>3153</v>
      </c>
      <c r="O1109" s="49" t="s">
        <v>7</v>
      </c>
      <c r="P1109" s="51">
        <v>0</v>
      </c>
      <c r="Q1109" s="51" t="s">
        <v>160</v>
      </c>
      <c r="R1109" s="67" t="e" cm="1">
        <f t="array" ref="R1109">_xlfn.CHOOSECOLS(_xlfn.CHOOSEROWS(_xlfn._xlws.FILTER(표2[],표2[DWG No.]=C1109,""),1),6)</f>
        <v>#VALUE!</v>
      </c>
      <c r="S1109" s="67" t="e" cm="1">
        <f t="array" ref="S1109">_xlfn.CHOOSECOLS(_xlfn.CHOOSEROWS(_xlfn._xlws.FILTER(표2[],(표2[DWG No.]=C1109)*(ISNUMBER(표2[Rev.])),""),1),6)</f>
        <v>#VALUE!</v>
      </c>
    </row>
    <row r="1110" spans="1:19" ht="18" customHeight="1" x14ac:dyDescent="0.45">
      <c r="A1110" s="64">
        <v>1105</v>
      </c>
      <c r="B1110" s="49" t="s">
        <v>2912</v>
      </c>
      <c r="C1110" s="50" t="s">
        <v>4073</v>
      </c>
      <c r="D1110" s="49">
        <v>165655</v>
      </c>
      <c r="E1110" s="50" t="s">
        <v>4074</v>
      </c>
      <c r="F1110" s="49" t="s">
        <v>5</v>
      </c>
      <c r="G1110" s="48">
        <v>43034</v>
      </c>
      <c r="H1110" s="48">
        <v>43064</v>
      </c>
      <c r="I1110" s="48">
        <v>43088</v>
      </c>
      <c r="J1110" s="51" t="s">
        <v>3651</v>
      </c>
      <c r="K1110" s="58" t="s">
        <v>7</v>
      </c>
      <c r="L1110" s="51">
        <v>0</v>
      </c>
      <c r="M1110" s="61">
        <v>43103</v>
      </c>
      <c r="N1110" s="51" t="s">
        <v>3153</v>
      </c>
      <c r="O1110" s="49" t="s">
        <v>7</v>
      </c>
      <c r="P1110" s="51">
        <v>0</v>
      </c>
      <c r="Q1110" s="51" t="s">
        <v>5002</v>
      </c>
      <c r="R1110" s="67" t="e" cm="1">
        <f t="array" ref="R1110">_xlfn.CHOOSECOLS(_xlfn.CHOOSEROWS(_xlfn._xlws.FILTER(표2[],표2[DWG No.]=C1110,""),1),6)</f>
        <v>#VALUE!</v>
      </c>
      <c r="S1110" s="67" t="e" cm="1">
        <f t="array" ref="S1110">_xlfn.CHOOSECOLS(_xlfn.CHOOSEROWS(_xlfn._xlws.FILTER(표2[],(표2[DWG No.]=C1110)*(ISNUMBER(표2[Rev.])),""),1),6)</f>
        <v>#VALUE!</v>
      </c>
    </row>
    <row r="1111" spans="1:19" ht="18" customHeight="1" x14ac:dyDescent="0.45">
      <c r="A1111" s="64">
        <v>1106</v>
      </c>
      <c r="B1111" s="49" t="s">
        <v>2912</v>
      </c>
      <c r="C1111" s="50" t="s">
        <v>4075</v>
      </c>
      <c r="D1111" s="49">
        <v>165671</v>
      </c>
      <c r="E1111" s="50" t="s">
        <v>4076</v>
      </c>
      <c r="F1111" s="49" t="s">
        <v>5</v>
      </c>
      <c r="G1111" s="48">
        <v>43034</v>
      </c>
      <c r="H1111" s="48">
        <v>43064</v>
      </c>
      <c r="I1111" s="48">
        <v>43088</v>
      </c>
      <c r="J1111" s="51" t="s">
        <v>3651</v>
      </c>
      <c r="K1111" s="58" t="s">
        <v>7</v>
      </c>
      <c r="L1111" s="51">
        <v>0</v>
      </c>
      <c r="M1111" s="61">
        <v>43103</v>
      </c>
      <c r="N1111" s="51" t="s">
        <v>3153</v>
      </c>
      <c r="O1111" s="49" t="s">
        <v>7</v>
      </c>
      <c r="P1111" s="51">
        <v>0</v>
      </c>
      <c r="Q1111" s="51" t="s">
        <v>5002</v>
      </c>
      <c r="R1111" s="67" t="e" cm="1">
        <f t="array" ref="R1111">_xlfn.CHOOSECOLS(_xlfn.CHOOSEROWS(_xlfn._xlws.FILTER(표2[],표2[DWG No.]=C1111,""),1),6)</f>
        <v>#VALUE!</v>
      </c>
      <c r="S1111" s="67" t="e" cm="1">
        <f t="array" ref="S1111">_xlfn.CHOOSECOLS(_xlfn.CHOOSEROWS(_xlfn._xlws.FILTER(표2[],(표2[DWG No.]=C1111)*(ISNUMBER(표2[Rev.])),""),1),6)</f>
        <v>#VALUE!</v>
      </c>
    </row>
    <row r="1112" spans="1:19" ht="18" customHeight="1" x14ac:dyDescent="0.45">
      <c r="A1112" s="64">
        <v>1107</v>
      </c>
      <c r="B1112" s="49" t="s">
        <v>2912</v>
      </c>
      <c r="C1112" s="50" t="s">
        <v>4077</v>
      </c>
      <c r="D1112" s="49">
        <v>165643</v>
      </c>
      <c r="E1112" s="50" t="s">
        <v>4078</v>
      </c>
      <c r="F1112" s="49" t="s">
        <v>5</v>
      </c>
      <c r="G1112" s="48">
        <v>43039</v>
      </c>
      <c r="H1112" s="48">
        <v>43069</v>
      </c>
      <c r="I1112" s="61">
        <v>43088</v>
      </c>
      <c r="J1112" s="51" t="s">
        <v>3651</v>
      </c>
      <c r="K1112" s="58" t="s">
        <v>7</v>
      </c>
      <c r="L1112" s="49">
        <v>0</v>
      </c>
      <c r="M1112" s="61">
        <v>43103</v>
      </c>
      <c r="N1112" s="51" t="s">
        <v>3153</v>
      </c>
      <c r="O1112" s="49" t="s">
        <v>7</v>
      </c>
      <c r="P1112" s="51">
        <v>0</v>
      </c>
      <c r="Q1112" s="51" t="s">
        <v>160</v>
      </c>
      <c r="R1112" s="67" t="e" cm="1">
        <f t="array" ref="R1112">_xlfn.CHOOSECOLS(_xlfn.CHOOSEROWS(_xlfn._xlws.FILTER(표2[],표2[DWG No.]=C1112,""),1),6)</f>
        <v>#VALUE!</v>
      </c>
      <c r="S1112" s="67" t="e" cm="1">
        <f t="array" ref="S1112">_xlfn.CHOOSECOLS(_xlfn.CHOOSEROWS(_xlfn._xlws.FILTER(표2[],(표2[DWG No.]=C1112)*(ISNUMBER(표2[Rev.])),""),1),6)</f>
        <v>#VALUE!</v>
      </c>
    </row>
    <row r="1113" spans="1:19" ht="18" customHeight="1" x14ac:dyDescent="0.45">
      <c r="A1113" s="64">
        <v>1108</v>
      </c>
      <c r="B1113" s="49" t="s">
        <v>2912</v>
      </c>
      <c r="C1113" s="50" t="s">
        <v>4079</v>
      </c>
      <c r="D1113" s="49">
        <v>165644</v>
      </c>
      <c r="E1113" s="50" t="s">
        <v>4080</v>
      </c>
      <c r="F1113" s="49" t="s">
        <v>5</v>
      </c>
      <c r="G1113" s="48">
        <v>43056</v>
      </c>
      <c r="H1113" s="48">
        <v>43088</v>
      </c>
      <c r="I1113" s="61">
        <v>43088</v>
      </c>
      <c r="J1113" s="51" t="s">
        <v>3651</v>
      </c>
      <c r="K1113" s="58" t="s">
        <v>7</v>
      </c>
      <c r="L1113" s="49">
        <v>0</v>
      </c>
      <c r="M1113" s="48">
        <v>43054</v>
      </c>
      <c r="N1113" s="49" t="s">
        <v>3241</v>
      </c>
      <c r="O1113" s="49" t="s">
        <v>7</v>
      </c>
      <c r="P1113" s="49">
        <v>0</v>
      </c>
      <c r="Q1113" s="51" t="s">
        <v>5002</v>
      </c>
      <c r="R1113" s="67" t="e" cm="1">
        <f t="array" ref="R1113">_xlfn.CHOOSECOLS(_xlfn.CHOOSEROWS(_xlfn._xlws.FILTER(표2[],표2[DWG No.]=C1113,""),1),6)</f>
        <v>#VALUE!</v>
      </c>
      <c r="S1113" s="67" t="e" cm="1">
        <f t="array" ref="S1113">_xlfn.CHOOSECOLS(_xlfn.CHOOSEROWS(_xlfn._xlws.FILTER(표2[],(표2[DWG No.]=C1113)*(ISNUMBER(표2[Rev.])),""),1),6)</f>
        <v>#VALUE!</v>
      </c>
    </row>
    <row r="1114" spans="1:19" ht="18" customHeight="1" x14ac:dyDescent="0.45">
      <c r="A1114" s="64">
        <v>1109</v>
      </c>
      <c r="B1114" s="49" t="s">
        <v>2912</v>
      </c>
      <c r="C1114" s="50" t="s">
        <v>4081</v>
      </c>
      <c r="D1114" s="49">
        <v>165645</v>
      </c>
      <c r="E1114" s="50" t="s">
        <v>4082</v>
      </c>
      <c r="F1114" s="49" t="s">
        <v>5</v>
      </c>
      <c r="G1114" s="48">
        <v>43039</v>
      </c>
      <c r="H1114" s="48">
        <v>43069</v>
      </c>
      <c r="I1114" s="48">
        <v>43039</v>
      </c>
      <c r="J1114" s="49" t="s">
        <v>3083</v>
      </c>
      <c r="K1114" s="58" t="s">
        <v>5</v>
      </c>
      <c r="L1114" s="49" t="s">
        <v>65</v>
      </c>
      <c r="M1114" s="48">
        <v>43054</v>
      </c>
      <c r="N1114" s="49" t="s">
        <v>3241</v>
      </c>
      <c r="O1114" s="49" t="s">
        <v>5</v>
      </c>
      <c r="P1114" s="49" t="s">
        <v>65</v>
      </c>
      <c r="Q1114" s="49" t="s">
        <v>160</v>
      </c>
      <c r="R1114" s="67" t="e" cm="1">
        <f t="array" ref="R1114">_xlfn.CHOOSECOLS(_xlfn.CHOOSEROWS(_xlfn._xlws.FILTER(표2[],표2[DWG No.]=C1114,""),1),6)</f>
        <v>#VALUE!</v>
      </c>
      <c r="S1114" s="67" t="e" cm="1">
        <f t="array" ref="S1114">_xlfn.CHOOSECOLS(_xlfn.CHOOSEROWS(_xlfn._xlws.FILTER(표2[],(표2[DWG No.]=C1114)*(ISNUMBER(표2[Rev.])),""),1),6)</f>
        <v>#VALUE!</v>
      </c>
    </row>
    <row r="1115" spans="1:19" ht="18" customHeight="1" x14ac:dyDescent="0.45">
      <c r="A1115" s="64">
        <v>1110</v>
      </c>
      <c r="B1115" s="49" t="s">
        <v>2912</v>
      </c>
      <c r="C1115" s="50" t="s">
        <v>4083</v>
      </c>
      <c r="D1115" s="49">
        <v>165646</v>
      </c>
      <c r="E1115" s="50" t="s">
        <v>4084</v>
      </c>
      <c r="F1115" s="49" t="s">
        <v>5</v>
      </c>
      <c r="G1115" s="48">
        <v>43039</v>
      </c>
      <c r="H1115" s="48">
        <v>43069</v>
      </c>
      <c r="I1115" s="48">
        <v>43039</v>
      </c>
      <c r="J1115" s="49" t="s">
        <v>3083</v>
      </c>
      <c r="K1115" s="58" t="s">
        <v>5</v>
      </c>
      <c r="L1115" s="49" t="s">
        <v>65</v>
      </c>
      <c r="M1115" s="48">
        <v>43054</v>
      </c>
      <c r="N1115" s="49" t="s">
        <v>3241</v>
      </c>
      <c r="O1115" s="49" t="s">
        <v>5</v>
      </c>
      <c r="P1115" s="49" t="s">
        <v>65</v>
      </c>
      <c r="Q1115" s="49" t="s">
        <v>160</v>
      </c>
      <c r="R1115" s="67" t="e" cm="1">
        <f t="array" ref="R1115">_xlfn.CHOOSECOLS(_xlfn.CHOOSEROWS(_xlfn._xlws.FILTER(표2[],표2[DWG No.]=C1115,""),1),6)</f>
        <v>#VALUE!</v>
      </c>
      <c r="S1115" s="67" t="e" cm="1">
        <f t="array" ref="S1115">_xlfn.CHOOSECOLS(_xlfn.CHOOSEROWS(_xlfn._xlws.FILTER(표2[],(표2[DWG No.]=C1115)*(ISNUMBER(표2[Rev.])),""),1),6)</f>
        <v>#VALUE!</v>
      </c>
    </row>
    <row r="1116" spans="1:19" ht="18" customHeight="1" x14ac:dyDescent="0.45">
      <c r="A1116" s="64">
        <v>1111</v>
      </c>
      <c r="B1116" s="49" t="s">
        <v>2912</v>
      </c>
      <c r="C1116" s="50" t="s">
        <v>4085</v>
      </c>
      <c r="D1116" s="49">
        <v>165650</v>
      </c>
      <c r="E1116" s="50" t="s">
        <v>4086</v>
      </c>
      <c r="F1116" s="49" t="s">
        <v>5030</v>
      </c>
      <c r="G1116" s="48">
        <v>43039</v>
      </c>
      <c r="H1116" s="48">
        <v>43069</v>
      </c>
      <c r="I1116" s="61">
        <v>43088</v>
      </c>
      <c r="J1116" s="51" t="s">
        <v>3651</v>
      </c>
      <c r="K1116" s="58" t="s">
        <v>7</v>
      </c>
      <c r="L1116" s="49">
        <v>0</v>
      </c>
      <c r="M1116" s="61">
        <v>43103</v>
      </c>
      <c r="N1116" s="51" t="s">
        <v>3153</v>
      </c>
      <c r="O1116" s="49" t="s">
        <v>5</v>
      </c>
      <c r="P1116" s="51">
        <v>0</v>
      </c>
      <c r="Q1116" s="51" t="s">
        <v>5002</v>
      </c>
      <c r="R1116" s="67" t="e" cm="1">
        <f t="array" ref="R1116">_xlfn.CHOOSECOLS(_xlfn.CHOOSEROWS(_xlfn._xlws.FILTER(표2[],표2[DWG No.]=C1116,""),1),6)</f>
        <v>#VALUE!</v>
      </c>
      <c r="S1116" s="67" t="e" cm="1">
        <f t="array" ref="S1116">_xlfn.CHOOSECOLS(_xlfn.CHOOSEROWS(_xlfn._xlws.FILTER(표2[],(표2[DWG No.]=C1116)*(ISNUMBER(표2[Rev.])),""),1),6)</f>
        <v>#VALUE!</v>
      </c>
    </row>
    <row r="1117" spans="1:19" ht="18" customHeight="1" x14ac:dyDescent="0.45">
      <c r="A1117" s="64">
        <v>1112</v>
      </c>
      <c r="B1117" s="49" t="s">
        <v>2912</v>
      </c>
      <c r="C1117" s="50" t="s">
        <v>4087</v>
      </c>
      <c r="D1117" s="49">
        <v>165674</v>
      </c>
      <c r="E1117" s="50" t="s">
        <v>4088</v>
      </c>
      <c r="F1117" s="49" t="s">
        <v>5</v>
      </c>
      <c r="G1117" s="48">
        <v>43056</v>
      </c>
      <c r="H1117" s="48">
        <v>43086</v>
      </c>
      <c r="I1117" s="61">
        <v>43088</v>
      </c>
      <c r="J1117" s="51" t="s">
        <v>3473</v>
      </c>
      <c r="K1117" s="58" t="s">
        <v>5</v>
      </c>
      <c r="L1117" s="49" t="s">
        <v>65</v>
      </c>
      <c r="M1117" s="61">
        <v>43068</v>
      </c>
      <c r="N1117" s="49" t="s">
        <v>3153</v>
      </c>
      <c r="O1117" s="49" t="s">
        <v>5</v>
      </c>
      <c r="P1117" s="49" t="s">
        <v>65</v>
      </c>
      <c r="Q1117" s="51" t="s">
        <v>65</v>
      </c>
      <c r="R1117" s="67" t="e" cm="1">
        <f t="array" ref="R1117">_xlfn.CHOOSECOLS(_xlfn.CHOOSEROWS(_xlfn._xlws.FILTER(표2[],표2[DWG No.]=C1117,""),1),6)</f>
        <v>#VALUE!</v>
      </c>
      <c r="S1117" s="67" t="e" cm="1">
        <f t="array" ref="S1117">_xlfn.CHOOSECOLS(_xlfn.CHOOSEROWS(_xlfn._xlws.FILTER(표2[],(표2[DWG No.]=C1117)*(ISNUMBER(표2[Rev.])),""),1),6)</f>
        <v>#VALUE!</v>
      </c>
    </row>
    <row r="1118" spans="1:19" ht="18" customHeight="1" x14ac:dyDescent="0.45">
      <c r="A1118" s="64">
        <v>1113</v>
      </c>
      <c r="B1118" s="49" t="s">
        <v>2912</v>
      </c>
      <c r="C1118" s="50" t="s">
        <v>4089</v>
      </c>
      <c r="D1118" s="49">
        <v>165675</v>
      </c>
      <c r="E1118" s="50" t="s">
        <v>4090</v>
      </c>
      <c r="F1118" s="49" t="s">
        <v>5</v>
      </c>
      <c r="G1118" s="48">
        <v>43056</v>
      </c>
      <c r="H1118" s="48">
        <v>43086</v>
      </c>
      <c r="I1118" s="61">
        <v>43056</v>
      </c>
      <c r="J1118" s="51" t="s">
        <v>3473</v>
      </c>
      <c r="K1118" s="58" t="s">
        <v>5</v>
      </c>
      <c r="L1118" s="49" t="s">
        <v>65</v>
      </c>
      <c r="M1118" s="61">
        <v>43068</v>
      </c>
      <c r="N1118" s="49" t="s">
        <v>3153</v>
      </c>
      <c r="O1118" s="49" t="s">
        <v>5</v>
      </c>
      <c r="P1118" s="49" t="s">
        <v>65</v>
      </c>
      <c r="Q1118" s="51" t="s">
        <v>65</v>
      </c>
      <c r="R1118" s="67" t="e" cm="1">
        <f t="array" ref="R1118">_xlfn.CHOOSECOLS(_xlfn.CHOOSEROWS(_xlfn._xlws.FILTER(표2[],표2[DWG No.]=C1118,""),1),6)</f>
        <v>#VALUE!</v>
      </c>
      <c r="S1118" s="67" t="e" cm="1">
        <f t="array" ref="S1118">_xlfn.CHOOSECOLS(_xlfn.CHOOSEROWS(_xlfn._xlws.FILTER(표2[],(표2[DWG No.]=C1118)*(ISNUMBER(표2[Rev.])),""),1),6)</f>
        <v>#VALUE!</v>
      </c>
    </row>
    <row r="1119" spans="1:19" ht="18" customHeight="1" x14ac:dyDescent="0.45">
      <c r="A1119" s="64">
        <v>1114</v>
      </c>
      <c r="B1119" s="49" t="s">
        <v>2912</v>
      </c>
      <c r="C1119" s="50" t="s">
        <v>4091</v>
      </c>
      <c r="D1119" s="49">
        <v>165676</v>
      </c>
      <c r="E1119" s="50" t="s">
        <v>4092</v>
      </c>
      <c r="F1119" s="49" t="s">
        <v>5</v>
      </c>
      <c r="G1119" s="48">
        <f>H1119-30</f>
        <v>43056</v>
      </c>
      <c r="H1119" s="48">
        <v>43086</v>
      </c>
      <c r="I1119" s="61">
        <v>43056</v>
      </c>
      <c r="J1119" s="51" t="s">
        <v>3473</v>
      </c>
      <c r="K1119" s="58" t="s">
        <v>5</v>
      </c>
      <c r="L1119" s="49" t="s">
        <v>65</v>
      </c>
      <c r="M1119" s="61">
        <v>43068</v>
      </c>
      <c r="N1119" s="49" t="s">
        <v>3153</v>
      </c>
      <c r="O1119" s="49" t="s">
        <v>5</v>
      </c>
      <c r="P1119" s="49" t="s">
        <v>65</v>
      </c>
      <c r="Q1119" s="51" t="s">
        <v>65</v>
      </c>
      <c r="R1119" s="67" t="e" cm="1">
        <f t="array" ref="R1119">_xlfn.CHOOSECOLS(_xlfn.CHOOSEROWS(_xlfn._xlws.FILTER(표2[],표2[DWG No.]=C1119,""),1),6)</f>
        <v>#VALUE!</v>
      </c>
      <c r="S1119" s="67" t="e" cm="1">
        <f t="array" ref="S1119">_xlfn.CHOOSECOLS(_xlfn.CHOOSEROWS(_xlfn._xlws.FILTER(표2[],(표2[DWG No.]=C1119)*(ISNUMBER(표2[Rev.])),""),1),6)</f>
        <v>#VALUE!</v>
      </c>
    </row>
    <row r="1120" spans="1:19" ht="18" customHeight="1" x14ac:dyDescent="0.45">
      <c r="A1120" s="64">
        <v>1115</v>
      </c>
      <c r="B1120" s="49" t="s">
        <v>2912</v>
      </c>
      <c r="C1120" s="50" t="s">
        <v>4093</v>
      </c>
      <c r="D1120" s="49">
        <v>165677</v>
      </c>
      <c r="E1120" s="50" t="s">
        <v>4094</v>
      </c>
      <c r="F1120" s="49" t="s">
        <v>5</v>
      </c>
      <c r="G1120" s="48">
        <v>43056</v>
      </c>
      <c r="H1120" s="48">
        <v>43086</v>
      </c>
      <c r="I1120" s="48">
        <v>43056</v>
      </c>
      <c r="J1120" s="49" t="s">
        <v>3473</v>
      </c>
      <c r="K1120" s="58" t="s">
        <v>5</v>
      </c>
      <c r="L1120" s="49" t="s">
        <v>65</v>
      </c>
      <c r="M1120" s="61">
        <v>43068</v>
      </c>
      <c r="N1120" s="49" t="s">
        <v>3153</v>
      </c>
      <c r="O1120" s="49" t="s">
        <v>5</v>
      </c>
      <c r="P1120" s="49" t="s">
        <v>65</v>
      </c>
      <c r="Q1120" s="51" t="s">
        <v>65</v>
      </c>
      <c r="R1120" s="67" t="e" cm="1">
        <f t="array" ref="R1120">_xlfn.CHOOSECOLS(_xlfn.CHOOSEROWS(_xlfn._xlws.FILTER(표2[],표2[DWG No.]=C1120,""),1),6)</f>
        <v>#VALUE!</v>
      </c>
      <c r="S1120" s="67" t="e" cm="1">
        <f t="array" ref="S1120">_xlfn.CHOOSECOLS(_xlfn.CHOOSEROWS(_xlfn._xlws.FILTER(표2[],(표2[DWG No.]=C1120)*(ISNUMBER(표2[Rev.])),""),1),6)</f>
        <v>#VALUE!</v>
      </c>
    </row>
    <row r="1121" spans="1:19" ht="18" customHeight="1" x14ac:dyDescent="0.45">
      <c r="A1121" s="64">
        <v>1116</v>
      </c>
      <c r="B1121" s="49" t="s">
        <v>2912</v>
      </c>
      <c r="C1121" s="50" t="s">
        <v>4095</v>
      </c>
      <c r="D1121" s="49">
        <v>165678</v>
      </c>
      <c r="E1121" s="50" t="s">
        <v>4096</v>
      </c>
      <c r="F1121" s="49" t="s">
        <v>5</v>
      </c>
      <c r="G1121" s="48">
        <v>43056</v>
      </c>
      <c r="H1121" s="48">
        <v>43086</v>
      </c>
      <c r="I1121" s="48">
        <v>43056</v>
      </c>
      <c r="J1121" s="49" t="s">
        <v>3473</v>
      </c>
      <c r="K1121" s="58" t="s">
        <v>5</v>
      </c>
      <c r="L1121" s="49" t="s">
        <v>65</v>
      </c>
      <c r="M1121" s="61">
        <v>43068</v>
      </c>
      <c r="N1121" s="49" t="s">
        <v>3153</v>
      </c>
      <c r="O1121" s="49" t="s">
        <v>5</v>
      </c>
      <c r="P1121" s="49" t="s">
        <v>65</v>
      </c>
      <c r="Q1121" s="51" t="s">
        <v>65</v>
      </c>
      <c r="R1121" s="67" t="e" cm="1">
        <f t="array" ref="R1121">_xlfn.CHOOSECOLS(_xlfn.CHOOSEROWS(_xlfn._xlws.FILTER(표2[],표2[DWG No.]=C1121,""),1),6)</f>
        <v>#VALUE!</v>
      </c>
      <c r="S1121" s="67" t="e" cm="1">
        <f t="array" ref="S1121">_xlfn.CHOOSECOLS(_xlfn.CHOOSEROWS(_xlfn._xlws.FILTER(표2[],(표2[DWG No.]=C1121)*(ISNUMBER(표2[Rev.])),""),1),6)</f>
        <v>#VALUE!</v>
      </c>
    </row>
    <row r="1122" spans="1:19" ht="18" customHeight="1" x14ac:dyDescent="0.45">
      <c r="A1122" s="64">
        <v>1117</v>
      </c>
      <c r="B1122" s="49" t="s">
        <v>2912</v>
      </c>
      <c r="C1122" s="50" t="s">
        <v>4097</v>
      </c>
      <c r="D1122" s="49">
        <v>165679</v>
      </c>
      <c r="E1122" s="50" t="s">
        <v>4098</v>
      </c>
      <c r="F1122" s="49" t="s">
        <v>5</v>
      </c>
      <c r="G1122" s="48">
        <v>43056</v>
      </c>
      <c r="H1122" s="48">
        <v>43086</v>
      </c>
      <c r="I1122" s="48">
        <v>43056</v>
      </c>
      <c r="J1122" s="49" t="s">
        <v>3473</v>
      </c>
      <c r="K1122" s="58" t="s">
        <v>5</v>
      </c>
      <c r="L1122" s="49" t="s">
        <v>65</v>
      </c>
      <c r="M1122" s="61">
        <v>43068</v>
      </c>
      <c r="N1122" s="49" t="s">
        <v>3153</v>
      </c>
      <c r="O1122" s="49" t="s">
        <v>5</v>
      </c>
      <c r="P1122" s="49" t="s">
        <v>65</v>
      </c>
      <c r="Q1122" s="51" t="s">
        <v>65</v>
      </c>
      <c r="R1122" s="67" t="e" cm="1">
        <f t="array" ref="R1122">_xlfn.CHOOSECOLS(_xlfn.CHOOSEROWS(_xlfn._xlws.FILTER(표2[],표2[DWG No.]=C1122,""),1),6)</f>
        <v>#VALUE!</v>
      </c>
      <c r="S1122" s="67" t="e" cm="1">
        <f t="array" ref="S1122">_xlfn.CHOOSECOLS(_xlfn.CHOOSEROWS(_xlfn._xlws.FILTER(표2[],(표2[DWG No.]=C1122)*(ISNUMBER(표2[Rev.])),""),1),6)</f>
        <v>#VALUE!</v>
      </c>
    </row>
    <row r="1123" spans="1:19" ht="18" customHeight="1" x14ac:dyDescent="0.45">
      <c r="A1123" s="64">
        <v>1118</v>
      </c>
      <c r="B1123" s="49" t="s">
        <v>2912</v>
      </c>
      <c r="C1123" s="50" t="s">
        <v>4099</v>
      </c>
      <c r="D1123" s="49">
        <v>165647</v>
      </c>
      <c r="E1123" s="50" t="s">
        <v>4100</v>
      </c>
      <c r="F1123" s="49" t="s">
        <v>5030</v>
      </c>
      <c r="G1123" s="48">
        <v>43056</v>
      </c>
      <c r="H1123" s="48">
        <v>43088</v>
      </c>
      <c r="I1123" s="48">
        <v>43088</v>
      </c>
      <c r="J1123" s="49" t="s">
        <v>3651</v>
      </c>
      <c r="K1123" s="58" t="s">
        <v>7</v>
      </c>
      <c r="L1123" s="49">
        <v>0</v>
      </c>
      <c r="M1123" s="61">
        <v>43103</v>
      </c>
      <c r="N1123" s="51" t="s">
        <v>3153</v>
      </c>
      <c r="O1123" s="49" t="s">
        <v>7</v>
      </c>
      <c r="P1123" s="51">
        <v>0</v>
      </c>
      <c r="Q1123" s="51" t="s">
        <v>5002</v>
      </c>
      <c r="R1123" s="67" t="e" cm="1">
        <f t="array" ref="R1123">_xlfn.CHOOSECOLS(_xlfn.CHOOSEROWS(_xlfn._xlws.FILTER(표2[],표2[DWG No.]=C1123,""),1),6)</f>
        <v>#VALUE!</v>
      </c>
      <c r="S1123" s="67" t="e" cm="1">
        <f t="array" ref="S1123">_xlfn.CHOOSECOLS(_xlfn.CHOOSEROWS(_xlfn._xlws.FILTER(표2[],(표2[DWG No.]=C1123)*(ISNUMBER(표2[Rev.])),""),1),6)</f>
        <v>#VALUE!</v>
      </c>
    </row>
    <row r="1124" spans="1:19" ht="18" customHeight="1" x14ac:dyDescent="0.45">
      <c r="A1124" s="64">
        <v>1119</v>
      </c>
      <c r="B1124" s="49" t="s">
        <v>2912</v>
      </c>
      <c r="C1124" s="50" t="s">
        <v>4101</v>
      </c>
      <c r="D1124" s="49">
        <v>165648</v>
      </c>
      <c r="E1124" s="50" t="s">
        <v>4102</v>
      </c>
      <c r="F1124" s="49" t="s">
        <v>5030</v>
      </c>
      <c r="G1124" s="48">
        <v>43056</v>
      </c>
      <c r="H1124" s="48">
        <v>43088</v>
      </c>
      <c r="I1124" s="48">
        <v>43088</v>
      </c>
      <c r="J1124" s="49" t="s">
        <v>3651</v>
      </c>
      <c r="K1124" s="58" t="s">
        <v>7</v>
      </c>
      <c r="L1124" s="49">
        <v>0</v>
      </c>
      <c r="M1124" s="61">
        <v>43103</v>
      </c>
      <c r="N1124" s="51" t="s">
        <v>3153</v>
      </c>
      <c r="O1124" s="49" t="s">
        <v>7</v>
      </c>
      <c r="P1124" s="51">
        <v>0</v>
      </c>
      <c r="Q1124" s="51" t="s">
        <v>5002</v>
      </c>
      <c r="R1124" s="67" t="e" cm="1">
        <f t="array" ref="R1124">_xlfn.CHOOSECOLS(_xlfn.CHOOSEROWS(_xlfn._xlws.FILTER(표2[],표2[DWG No.]=C1124,""),1),6)</f>
        <v>#VALUE!</v>
      </c>
      <c r="S1124" s="67" t="e" cm="1">
        <f t="array" ref="S1124">_xlfn.CHOOSECOLS(_xlfn.CHOOSEROWS(_xlfn._xlws.FILTER(표2[],(표2[DWG No.]=C1124)*(ISNUMBER(표2[Rev.])),""),1),6)</f>
        <v>#VALUE!</v>
      </c>
    </row>
    <row r="1125" spans="1:19" ht="18" customHeight="1" x14ac:dyDescent="0.45">
      <c r="A1125" s="64">
        <v>1120</v>
      </c>
      <c r="B1125" s="49" t="s">
        <v>2912</v>
      </c>
      <c r="C1125" s="50" t="s">
        <v>4103</v>
      </c>
      <c r="D1125" s="49">
        <v>165649</v>
      </c>
      <c r="E1125" s="50" t="s">
        <v>4104</v>
      </c>
      <c r="F1125" s="49" t="s">
        <v>5030</v>
      </c>
      <c r="G1125" s="48">
        <v>43056</v>
      </c>
      <c r="H1125" s="48">
        <v>43088</v>
      </c>
      <c r="I1125" s="48">
        <v>43088</v>
      </c>
      <c r="J1125" s="49" t="s">
        <v>3651</v>
      </c>
      <c r="K1125" s="58" t="s">
        <v>7</v>
      </c>
      <c r="L1125" s="49">
        <v>0</v>
      </c>
      <c r="M1125" s="61">
        <v>43103</v>
      </c>
      <c r="N1125" s="51" t="s">
        <v>3153</v>
      </c>
      <c r="O1125" s="49" t="s">
        <v>7</v>
      </c>
      <c r="P1125" s="51">
        <v>0</v>
      </c>
      <c r="Q1125" s="51" t="s">
        <v>5002</v>
      </c>
      <c r="R1125" s="67" t="e" cm="1">
        <f t="array" ref="R1125">_xlfn.CHOOSECOLS(_xlfn.CHOOSEROWS(_xlfn._xlws.FILTER(표2[],표2[DWG No.]=C1125,""),1),6)</f>
        <v>#VALUE!</v>
      </c>
      <c r="S1125" s="67" t="e" cm="1">
        <f t="array" ref="S1125">_xlfn.CHOOSECOLS(_xlfn.CHOOSEROWS(_xlfn._xlws.FILTER(표2[],(표2[DWG No.]=C1125)*(ISNUMBER(표2[Rev.])),""),1),6)</f>
        <v>#VALUE!</v>
      </c>
    </row>
    <row r="1126" spans="1:19" ht="18" customHeight="1" x14ac:dyDescent="0.45">
      <c r="A1126" s="64">
        <v>1121</v>
      </c>
      <c r="B1126" s="49" t="s">
        <v>2912</v>
      </c>
      <c r="C1126" s="50" t="s">
        <v>4105</v>
      </c>
      <c r="D1126" s="49">
        <v>165656</v>
      </c>
      <c r="E1126" s="50" t="s">
        <v>4106</v>
      </c>
      <c r="F1126" s="49" t="s">
        <v>5030</v>
      </c>
      <c r="G1126" s="48">
        <v>43074</v>
      </c>
      <c r="H1126" s="48">
        <v>43088</v>
      </c>
      <c r="I1126" s="48">
        <v>43088</v>
      </c>
      <c r="J1126" s="49" t="s">
        <v>3651</v>
      </c>
      <c r="K1126" s="58" t="s">
        <v>7</v>
      </c>
      <c r="L1126" s="49">
        <v>0</v>
      </c>
      <c r="M1126" s="61">
        <v>43103</v>
      </c>
      <c r="N1126" s="51" t="s">
        <v>3153</v>
      </c>
      <c r="O1126" s="49" t="s">
        <v>7</v>
      </c>
      <c r="P1126" s="51">
        <v>0</v>
      </c>
      <c r="Q1126" s="51" t="s">
        <v>160</v>
      </c>
      <c r="R1126" s="67" t="e" cm="1">
        <f t="array" ref="R1126">_xlfn.CHOOSECOLS(_xlfn.CHOOSEROWS(_xlfn._xlws.FILTER(표2[],표2[DWG No.]=C1126,""),1),6)</f>
        <v>#VALUE!</v>
      </c>
      <c r="S1126" s="67" t="e" cm="1">
        <f t="array" ref="S1126">_xlfn.CHOOSECOLS(_xlfn.CHOOSEROWS(_xlfn._xlws.FILTER(표2[],(표2[DWG No.]=C1126)*(ISNUMBER(표2[Rev.])),""),1),6)</f>
        <v>#VALUE!</v>
      </c>
    </row>
    <row r="1127" spans="1:19" ht="18" customHeight="1" x14ac:dyDescent="0.45">
      <c r="A1127" s="64">
        <v>1122</v>
      </c>
      <c r="B1127" s="49" t="s">
        <v>2912</v>
      </c>
      <c r="C1127" s="50" t="s">
        <v>4107</v>
      </c>
      <c r="D1127" s="49">
        <v>165657</v>
      </c>
      <c r="E1127" s="50" t="s">
        <v>4108</v>
      </c>
      <c r="F1127" s="49" t="s">
        <v>5030</v>
      </c>
      <c r="G1127" s="48">
        <v>43074</v>
      </c>
      <c r="H1127" s="48">
        <v>43088</v>
      </c>
      <c r="I1127" s="48">
        <v>43088</v>
      </c>
      <c r="J1127" s="49" t="s">
        <v>3651</v>
      </c>
      <c r="K1127" s="58" t="s">
        <v>7</v>
      </c>
      <c r="L1127" s="49">
        <v>0</v>
      </c>
      <c r="M1127" s="61">
        <v>43103</v>
      </c>
      <c r="N1127" s="51" t="s">
        <v>3153</v>
      </c>
      <c r="O1127" s="49" t="s">
        <v>7</v>
      </c>
      <c r="P1127" s="51">
        <v>0</v>
      </c>
      <c r="Q1127" s="51" t="s">
        <v>5002</v>
      </c>
      <c r="R1127" s="67" t="e" cm="1">
        <f t="array" ref="R1127">_xlfn.CHOOSECOLS(_xlfn.CHOOSEROWS(_xlfn._xlws.FILTER(표2[],표2[DWG No.]=C1127,""),1),6)</f>
        <v>#VALUE!</v>
      </c>
      <c r="S1127" s="67" t="e" cm="1">
        <f t="array" ref="S1127">_xlfn.CHOOSECOLS(_xlfn.CHOOSEROWS(_xlfn._xlws.FILTER(표2[],(표2[DWG No.]=C1127)*(ISNUMBER(표2[Rev.])),""),1),6)</f>
        <v>#VALUE!</v>
      </c>
    </row>
    <row r="1128" spans="1:19" ht="18" customHeight="1" x14ac:dyDescent="0.45">
      <c r="A1128" s="64">
        <v>1123</v>
      </c>
      <c r="B1128" s="49" t="s">
        <v>2912</v>
      </c>
      <c r="C1128" s="50" t="s">
        <v>4109</v>
      </c>
      <c r="D1128" s="49">
        <v>165668</v>
      </c>
      <c r="E1128" s="50" t="s">
        <v>4110</v>
      </c>
      <c r="F1128" s="49" t="s">
        <v>5030</v>
      </c>
      <c r="G1128" s="48">
        <v>43074</v>
      </c>
      <c r="H1128" s="48">
        <v>43088</v>
      </c>
      <c r="I1128" s="48">
        <v>43088</v>
      </c>
      <c r="J1128" s="49" t="s">
        <v>3651</v>
      </c>
      <c r="K1128" s="58" t="s">
        <v>7</v>
      </c>
      <c r="L1128" s="49">
        <v>0</v>
      </c>
      <c r="M1128" s="61">
        <v>43103</v>
      </c>
      <c r="N1128" s="51" t="s">
        <v>3153</v>
      </c>
      <c r="O1128" s="49" t="s">
        <v>7</v>
      </c>
      <c r="P1128" s="51">
        <v>0</v>
      </c>
      <c r="Q1128" s="51" t="s">
        <v>5002</v>
      </c>
      <c r="R1128" s="67" t="e" cm="1">
        <f t="array" ref="R1128">_xlfn.CHOOSECOLS(_xlfn.CHOOSEROWS(_xlfn._xlws.FILTER(표2[],표2[DWG No.]=C1128,""),1),6)</f>
        <v>#VALUE!</v>
      </c>
      <c r="S1128" s="67" t="e" cm="1">
        <f t="array" ref="S1128">_xlfn.CHOOSECOLS(_xlfn.CHOOSEROWS(_xlfn._xlws.FILTER(표2[],(표2[DWG No.]=C1128)*(ISNUMBER(표2[Rev.])),""),1),6)</f>
        <v>#VALUE!</v>
      </c>
    </row>
    <row r="1129" spans="1:19" ht="18" customHeight="1" x14ac:dyDescent="0.45">
      <c r="A1129" s="64">
        <v>1124</v>
      </c>
      <c r="B1129" s="49" t="s">
        <v>2912</v>
      </c>
      <c r="C1129" s="50" t="s">
        <v>4111</v>
      </c>
      <c r="D1129" s="49">
        <v>165658</v>
      </c>
      <c r="E1129" s="50" t="s">
        <v>4112</v>
      </c>
      <c r="F1129" s="49" t="s">
        <v>5030</v>
      </c>
      <c r="G1129" s="48">
        <v>43074</v>
      </c>
      <c r="H1129" s="48">
        <v>43088</v>
      </c>
      <c r="I1129" s="48">
        <v>43088</v>
      </c>
      <c r="J1129" s="49" t="s">
        <v>3651</v>
      </c>
      <c r="K1129" s="58" t="s">
        <v>7</v>
      </c>
      <c r="L1129" s="49">
        <v>0</v>
      </c>
      <c r="M1129" s="61">
        <v>43103</v>
      </c>
      <c r="N1129" s="51" t="s">
        <v>3153</v>
      </c>
      <c r="O1129" s="49" t="s">
        <v>7</v>
      </c>
      <c r="P1129" s="51">
        <v>0</v>
      </c>
      <c r="Q1129" s="51" t="s">
        <v>5002</v>
      </c>
      <c r="R1129" s="67" t="e" cm="1">
        <f t="array" ref="R1129">_xlfn.CHOOSECOLS(_xlfn.CHOOSEROWS(_xlfn._xlws.FILTER(표2[],표2[DWG No.]=C1129,""),1),6)</f>
        <v>#VALUE!</v>
      </c>
      <c r="S1129" s="67" t="e" cm="1">
        <f t="array" ref="S1129">_xlfn.CHOOSECOLS(_xlfn.CHOOSEROWS(_xlfn._xlws.FILTER(표2[],(표2[DWG No.]=C1129)*(ISNUMBER(표2[Rev.])),""),1),6)</f>
        <v>#VALUE!</v>
      </c>
    </row>
    <row r="1130" spans="1:19" ht="18" customHeight="1" x14ac:dyDescent="0.45">
      <c r="A1130" s="64">
        <v>1125</v>
      </c>
      <c r="B1130" s="49" t="s">
        <v>2912</v>
      </c>
      <c r="C1130" s="50" t="s">
        <v>4113</v>
      </c>
      <c r="D1130" s="49">
        <v>165659</v>
      </c>
      <c r="E1130" s="50" t="s">
        <v>4114</v>
      </c>
      <c r="F1130" s="49" t="s">
        <v>5030</v>
      </c>
      <c r="G1130" s="48">
        <v>43074</v>
      </c>
      <c r="H1130" s="48">
        <v>43088</v>
      </c>
      <c r="I1130" s="48">
        <v>43088</v>
      </c>
      <c r="J1130" s="49" t="s">
        <v>3651</v>
      </c>
      <c r="K1130" s="58" t="s">
        <v>7</v>
      </c>
      <c r="L1130" s="49">
        <v>0</v>
      </c>
      <c r="M1130" s="61">
        <v>43103</v>
      </c>
      <c r="N1130" s="51" t="s">
        <v>3153</v>
      </c>
      <c r="O1130" s="49" t="s">
        <v>7</v>
      </c>
      <c r="P1130" s="51">
        <v>0</v>
      </c>
      <c r="Q1130" s="51" t="s">
        <v>160</v>
      </c>
      <c r="R1130" s="67" t="e" cm="1">
        <f t="array" ref="R1130">_xlfn.CHOOSECOLS(_xlfn.CHOOSEROWS(_xlfn._xlws.FILTER(표2[],표2[DWG No.]=C1130,""),1),6)</f>
        <v>#VALUE!</v>
      </c>
      <c r="S1130" s="67" t="e" cm="1">
        <f t="array" ref="S1130">_xlfn.CHOOSECOLS(_xlfn.CHOOSEROWS(_xlfn._xlws.FILTER(표2[],(표2[DWG No.]=C1130)*(ISNUMBER(표2[Rev.])),""),1),6)</f>
        <v>#VALUE!</v>
      </c>
    </row>
    <row r="1131" spans="1:19" ht="18" customHeight="1" x14ac:dyDescent="0.45">
      <c r="A1131" s="64">
        <v>1126</v>
      </c>
      <c r="B1131" s="49" t="s">
        <v>2912</v>
      </c>
      <c r="C1131" s="50" t="s">
        <v>4115</v>
      </c>
      <c r="D1131" s="49">
        <v>165673</v>
      </c>
      <c r="E1131" s="50" t="s">
        <v>4116</v>
      </c>
      <c r="F1131" s="49" t="s">
        <v>5030</v>
      </c>
      <c r="G1131" s="48">
        <v>43087</v>
      </c>
      <c r="H1131" s="48">
        <v>43117</v>
      </c>
      <c r="I1131" s="48">
        <v>43539</v>
      </c>
      <c r="J1131" s="51" t="s">
        <v>3274</v>
      </c>
      <c r="K1131" s="58" t="s">
        <v>7</v>
      </c>
      <c r="L1131" s="49">
        <v>1</v>
      </c>
      <c r="M1131" s="48">
        <v>43539</v>
      </c>
      <c r="N1131" s="49" t="s">
        <v>3275</v>
      </c>
      <c r="O1131" s="49" t="s">
        <v>7</v>
      </c>
      <c r="P1131" s="49">
        <v>1</v>
      </c>
      <c r="Q1131" s="51" t="s">
        <v>5002</v>
      </c>
      <c r="R1131" s="67" t="e" cm="1">
        <f t="array" ref="R1131">_xlfn.CHOOSECOLS(_xlfn.CHOOSEROWS(_xlfn._xlws.FILTER(표2[],표2[DWG No.]=C1131,""),1),6)</f>
        <v>#VALUE!</v>
      </c>
      <c r="S1131" s="67" t="e" cm="1">
        <f t="array" ref="S1131">_xlfn.CHOOSECOLS(_xlfn.CHOOSEROWS(_xlfn._xlws.FILTER(표2[],(표2[DWG No.]=C1131)*(ISNUMBER(표2[Rev.])),""),1),6)</f>
        <v>#VALUE!</v>
      </c>
    </row>
    <row r="1132" spans="1:19" ht="18" customHeight="1" x14ac:dyDescent="0.45">
      <c r="A1132" s="64">
        <v>1127</v>
      </c>
      <c r="B1132" s="49" t="s">
        <v>2912</v>
      </c>
      <c r="C1132" s="50" t="s">
        <v>4117</v>
      </c>
      <c r="D1132" s="49">
        <v>156250</v>
      </c>
      <c r="E1132" s="50" t="s">
        <v>4118</v>
      </c>
      <c r="F1132" s="49" t="s">
        <v>5030</v>
      </c>
      <c r="G1132" s="48">
        <v>43013</v>
      </c>
      <c r="H1132" s="48">
        <v>43013</v>
      </c>
      <c r="I1132" s="48">
        <v>43013</v>
      </c>
      <c r="J1132" s="49" t="s">
        <v>3352</v>
      </c>
      <c r="K1132" s="58" t="s">
        <v>7</v>
      </c>
      <c r="L1132" s="49">
        <v>0</v>
      </c>
      <c r="M1132" s="48">
        <v>43013</v>
      </c>
      <c r="N1132" s="49" t="s">
        <v>2917</v>
      </c>
      <c r="O1132" s="49" t="s">
        <v>7</v>
      </c>
      <c r="P1132" s="49">
        <v>0</v>
      </c>
      <c r="Q1132" s="51" t="s">
        <v>5002</v>
      </c>
      <c r="R1132" s="67" t="e" cm="1">
        <f t="array" ref="R1132">_xlfn.CHOOSECOLS(_xlfn.CHOOSEROWS(_xlfn._xlws.FILTER(표2[],표2[DWG No.]=C1132,""),1),6)</f>
        <v>#VALUE!</v>
      </c>
      <c r="S1132" s="67" t="e" cm="1">
        <f t="array" ref="S1132">_xlfn.CHOOSECOLS(_xlfn.CHOOSEROWS(_xlfn._xlws.FILTER(표2[],(표2[DWG No.]=C1132)*(ISNUMBER(표2[Rev.])),""),1),6)</f>
        <v>#VALUE!</v>
      </c>
    </row>
    <row r="1133" spans="1:19" ht="18" customHeight="1" x14ac:dyDescent="0.45">
      <c r="A1133" s="64">
        <v>1128</v>
      </c>
      <c r="B1133" s="49" t="s">
        <v>2912</v>
      </c>
      <c r="C1133" s="50" t="s">
        <v>4119</v>
      </c>
      <c r="D1133" s="49">
        <v>156251</v>
      </c>
      <c r="E1133" s="50" t="s">
        <v>4120</v>
      </c>
      <c r="F1133" s="49" t="s">
        <v>5030</v>
      </c>
      <c r="G1133" s="48">
        <v>43013</v>
      </c>
      <c r="H1133" s="48">
        <v>43013</v>
      </c>
      <c r="I1133" s="48">
        <v>43013</v>
      </c>
      <c r="J1133" s="49" t="s">
        <v>3352</v>
      </c>
      <c r="K1133" s="58" t="s">
        <v>7</v>
      </c>
      <c r="L1133" s="49">
        <v>0</v>
      </c>
      <c r="M1133" s="48">
        <v>43013</v>
      </c>
      <c r="N1133" s="49" t="s">
        <v>2917</v>
      </c>
      <c r="O1133" s="49" t="s">
        <v>7</v>
      </c>
      <c r="P1133" s="49">
        <v>0</v>
      </c>
      <c r="Q1133" s="51" t="s">
        <v>5002</v>
      </c>
      <c r="R1133" s="67" t="e" cm="1">
        <f t="array" ref="R1133">_xlfn.CHOOSECOLS(_xlfn.CHOOSEROWS(_xlfn._xlws.FILTER(표2[],표2[DWG No.]=C1133,""),1),6)</f>
        <v>#VALUE!</v>
      </c>
      <c r="S1133" s="67" t="e" cm="1">
        <f t="array" ref="S1133">_xlfn.CHOOSECOLS(_xlfn.CHOOSEROWS(_xlfn._xlws.FILTER(표2[],(표2[DWG No.]=C1133)*(ISNUMBER(표2[Rev.])),""),1),6)</f>
        <v>#VALUE!</v>
      </c>
    </row>
    <row r="1134" spans="1:19" ht="18" customHeight="1" x14ac:dyDescent="0.45">
      <c r="A1134" s="64">
        <v>1129</v>
      </c>
      <c r="B1134" s="49" t="s">
        <v>2912</v>
      </c>
      <c r="C1134" s="50" t="s">
        <v>4121</v>
      </c>
      <c r="D1134" s="49">
        <v>156252</v>
      </c>
      <c r="E1134" s="50" t="s">
        <v>4122</v>
      </c>
      <c r="F1134" s="49" t="s">
        <v>5030</v>
      </c>
      <c r="G1134" s="48">
        <v>43013</v>
      </c>
      <c r="H1134" s="48">
        <v>43013</v>
      </c>
      <c r="I1134" s="48">
        <v>43013</v>
      </c>
      <c r="J1134" s="49" t="s">
        <v>3352</v>
      </c>
      <c r="K1134" s="58" t="s">
        <v>7</v>
      </c>
      <c r="L1134" s="49">
        <v>0</v>
      </c>
      <c r="M1134" s="48">
        <v>43013</v>
      </c>
      <c r="N1134" s="49" t="s">
        <v>2917</v>
      </c>
      <c r="O1134" s="49" t="s">
        <v>7</v>
      </c>
      <c r="P1134" s="49">
        <v>0</v>
      </c>
      <c r="Q1134" s="51" t="s">
        <v>5002</v>
      </c>
      <c r="R1134" s="67" t="e" cm="1">
        <f t="array" ref="R1134">_xlfn.CHOOSECOLS(_xlfn.CHOOSEROWS(_xlfn._xlws.FILTER(표2[],표2[DWG No.]=C1134,""),1),6)</f>
        <v>#VALUE!</v>
      </c>
      <c r="S1134" s="67" t="e" cm="1">
        <f t="array" ref="S1134">_xlfn.CHOOSECOLS(_xlfn.CHOOSEROWS(_xlfn._xlws.FILTER(표2[],(표2[DWG No.]=C1134)*(ISNUMBER(표2[Rev.])),""),1),6)</f>
        <v>#VALUE!</v>
      </c>
    </row>
    <row r="1135" spans="1:19" ht="18" customHeight="1" x14ac:dyDescent="0.45">
      <c r="A1135" s="64">
        <v>1130</v>
      </c>
      <c r="B1135" s="49" t="s">
        <v>2912</v>
      </c>
      <c r="C1135" s="50" t="s">
        <v>4123</v>
      </c>
      <c r="D1135" s="49">
        <v>156253</v>
      </c>
      <c r="E1135" s="50" t="s">
        <v>4124</v>
      </c>
      <c r="F1135" s="49" t="s">
        <v>5030</v>
      </c>
      <c r="G1135" s="48">
        <v>43013</v>
      </c>
      <c r="H1135" s="48">
        <v>43013</v>
      </c>
      <c r="I1135" s="48">
        <v>43013</v>
      </c>
      <c r="J1135" s="49" t="s">
        <v>3352</v>
      </c>
      <c r="K1135" s="58" t="s">
        <v>7</v>
      </c>
      <c r="L1135" s="49">
        <v>0</v>
      </c>
      <c r="M1135" s="48">
        <v>43013</v>
      </c>
      <c r="N1135" s="49" t="s">
        <v>2917</v>
      </c>
      <c r="O1135" s="49" t="s">
        <v>7</v>
      </c>
      <c r="P1135" s="49">
        <v>0</v>
      </c>
      <c r="Q1135" s="51" t="s">
        <v>5002</v>
      </c>
      <c r="R1135" s="67" t="e" cm="1">
        <f t="array" ref="R1135">_xlfn.CHOOSECOLS(_xlfn.CHOOSEROWS(_xlfn._xlws.FILTER(표2[],표2[DWG No.]=C1135,""),1),6)</f>
        <v>#VALUE!</v>
      </c>
      <c r="S1135" s="67" t="e" cm="1">
        <f t="array" ref="S1135">_xlfn.CHOOSECOLS(_xlfn.CHOOSEROWS(_xlfn._xlws.FILTER(표2[],(표2[DWG No.]=C1135)*(ISNUMBER(표2[Rev.])),""),1),6)</f>
        <v>#VALUE!</v>
      </c>
    </row>
    <row r="1136" spans="1:19" ht="18" customHeight="1" x14ac:dyDescent="0.45">
      <c r="A1136" s="64">
        <v>1131</v>
      </c>
      <c r="B1136" s="49" t="s">
        <v>2912</v>
      </c>
      <c r="C1136" s="50" t="s">
        <v>4125</v>
      </c>
      <c r="D1136" s="49">
        <v>156254</v>
      </c>
      <c r="E1136" s="50" t="s">
        <v>4126</v>
      </c>
      <c r="F1136" s="49" t="s">
        <v>5030</v>
      </c>
      <c r="G1136" s="48">
        <v>43013</v>
      </c>
      <c r="H1136" s="48">
        <v>43013</v>
      </c>
      <c r="I1136" s="48">
        <v>43013</v>
      </c>
      <c r="J1136" s="49" t="s">
        <v>3352</v>
      </c>
      <c r="K1136" s="58" t="s">
        <v>7</v>
      </c>
      <c r="L1136" s="49">
        <v>0</v>
      </c>
      <c r="M1136" s="48">
        <v>43013</v>
      </c>
      <c r="N1136" s="49" t="s">
        <v>2917</v>
      </c>
      <c r="O1136" s="49" t="s">
        <v>7</v>
      </c>
      <c r="P1136" s="49">
        <v>0</v>
      </c>
      <c r="Q1136" s="51" t="s">
        <v>5002</v>
      </c>
      <c r="R1136" s="67" t="e" cm="1">
        <f t="array" ref="R1136">_xlfn.CHOOSECOLS(_xlfn.CHOOSEROWS(_xlfn._xlws.FILTER(표2[],표2[DWG No.]=C1136,""),1),6)</f>
        <v>#VALUE!</v>
      </c>
      <c r="S1136" s="67" t="e" cm="1">
        <f t="array" ref="S1136">_xlfn.CHOOSECOLS(_xlfn.CHOOSEROWS(_xlfn._xlws.FILTER(표2[],(표2[DWG No.]=C1136)*(ISNUMBER(표2[Rev.])),""),1),6)</f>
        <v>#VALUE!</v>
      </c>
    </row>
    <row r="1137" spans="1:19" ht="18" customHeight="1" x14ac:dyDescent="0.45">
      <c r="A1137" s="64">
        <v>1132</v>
      </c>
      <c r="B1137" s="49" t="s">
        <v>2912</v>
      </c>
      <c r="C1137" s="50" t="s">
        <v>4127</v>
      </c>
      <c r="D1137" s="49">
        <v>156255</v>
      </c>
      <c r="E1137" s="50" t="s">
        <v>4128</v>
      </c>
      <c r="F1137" s="49" t="s">
        <v>5030</v>
      </c>
      <c r="G1137" s="48">
        <v>43013</v>
      </c>
      <c r="H1137" s="48">
        <v>43013</v>
      </c>
      <c r="I1137" s="48">
        <v>43013</v>
      </c>
      <c r="J1137" s="49" t="s">
        <v>3352</v>
      </c>
      <c r="K1137" s="58" t="s">
        <v>7</v>
      </c>
      <c r="L1137" s="49">
        <v>0</v>
      </c>
      <c r="M1137" s="48">
        <v>43013</v>
      </c>
      <c r="N1137" s="49" t="s">
        <v>2917</v>
      </c>
      <c r="O1137" s="49" t="s">
        <v>7</v>
      </c>
      <c r="P1137" s="49">
        <v>0</v>
      </c>
      <c r="Q1137" s="51" t="s">
        <v>5002</v>
      </c>
      <c r="R1137" s="67" t="e" cm="1">
        <f t="array" ref="R1137">_xlfn.CHOOSECOLS(_xlfn.CHOOSEROWS(_xlfn._xlws.FILTER(표2[],표2[DWG No.]=C1137,""),1),6)</f>
        <v>#VALUE!</v>
      </c>
      <c r="S1137" s="67" t="e" cm="1">
        <f t="array" ref="S1137">_xlfn.CHOOSECOLS(_xlfn.CHOOSEROWS(_xlfn._xlws.FILTER(표2[],(표2[DWG No.]=C1137)*(ISNUMBER(표2[Rev.])),""),1),6)</f>
        <v>#VALUE!</v>
      </c>
    </row>
    <row r="1138" spans="1:19" ht="18" customHeight="1" x14ac:dyDescent="0.45">
      <c r="A1138" s="64">
        <v>1133</v>
      </c>
      <c r="B1138" s="49" t="s">
        <v>2912</v>
      </c>
      <c r="C1138" s="50" t="s">
        <v>4129</v>
      </c>
      <c r="D1138" s="49">
        <v>156106</v>
      </c>
      <c r="E1138" s="50" t="s">
        <v>4130</v>
      </c>
      <c r="F1138" s="49" t="s">
        <v>5</v>
      </c>
      <c r="G1138" s="48">
        <v>43014</v>
      </c>
      <c r="H1138" s="48">
        <v>43044</v>
      </c>
      <c r="I1138" s="48">
        <v>43014</v>
      </c>
      <c r="J1138" s="49" t="s">
        <v>4131</v>
      </c>
      <c r="K1138" s="58" t="s">
        <v>5</v>
      </c>
      <c r="L1138" s="49" t="s">
        <v>65</v>
      </c>
      <c r="M1138" s="48">
        <v>43017</v>
      </c>
      <c r="N1138" s="49" t="s">
        <v>4132</v>
      </c>
      <c r="O1138" s="49" t="s">
        <v>5</v>
      </c>
      <c r="P1138" s="49" t="s">
        <v>65</v>
      </c>
      <c r="Q1138" s="49" t="s">
        <v>2702</v>
      </c>
      <c r="R1138" s="67" t="e" cm="1">
        <f t="array" ref="R1138">_xlfn.CHOOSECOLS(_xlfn.CHOOSEROWS(_xlfn._xlws.FILTER(표2[],표2[DWG No.]=C1138,""),1),6)</f>
        <v>#VALUE!</v>
      </c>
      <c r="S1138" s="67" t="e" cm="1">
        <f t="array" ref="S1138">_xlfn.CHOOSECOLS(_xlfn.CHOOSEROWS(_xlfn._xlws.FILTER(표2[],(표2[DWG No.]=C1138)*(ISNUMBER(표2[Rev.])),""),1),6)</f>
        <v>#VALUE!</v>
      </c>
    </row>
    <row r="1139" spans="1:19" ht="18" customHeight="1" x14ac:dyDescent="0.45">
      <c r="A1139" s="64">
        <v>1134</v>
      </c>
      <c r="B1139" s="49" t="s">
        <v>2912</v>
      </c>
      <c r="C1139" s="50" t="s">
        <v>4133</v>
      </c>
      <c r="D1139" s="49">
        <v>156117</v>
      </c>
      <c r="E1139" s="50" t="s">
        <v>4134</v>
      </c>
      <c r="F1139" s="49" t="s">
        <v>5</v>
      </c>
      <c r="G1139" s="48">
        <v>43014</v>
      </c>
      <c r="H1139" s="48">
        <v>43044</v>
      </c>
      <c r="I1139" s="48">
        <v>43014</v>
      </c>
      <c r="J1139" s="49" t="s">
        <v>4131</v>
      </c>
      <c r="K1139" s="58" t="s">
        <v>5</v>
      </c>
      <c r="L1139" s="49" t="s">
        <v>65</v>
      </c>
      <c r="M1139" s="48">
        <v>43017</v>
      </c>
      <c r="N1139" s="49" t="s">
        <v>4132</v>
      </c>
      <c r="O1139" s="49" t="s">
        <v>5</v>
      </c>
      <c r="P1139" s="49" t="s">
        <v>65</v>
      </c>
      <c r="Q1139" s="49" t="s">
        <v>2702</v>
      </c>
      <c r="R1139" s="67" t="e" cm="1">
        <f t="array" ref="R1139">_xlfn.CHOOSECOLS(_xlfn.CHOOSEROWS(_xlfn._xlws.FILTER(표2[],표2[DWG No.]=C1139,""),1),6)</f>
        <v>#VALUE!</v>
      </c>
      <c r="S1139" s="67" t="e" cm="1">
        <f t="array" ref="S1139">_xlfn.CHOOSECOLS(_xlfn.CHOOSEROWS(_xlfn._xlws.FILTER(표2[],(표2[DWG No.]=C1139)*(ISNUMBER(표2[Rev.])),""),1),6)</f>
        <v>#VALUE!</v>
      </c>
    </row>
    <row r="1140" spans="1:19" ht="18" customHeight="1" x14ac:dyDescent="0.45">
      <c r="A1140" s="64">
        <v>1135</v>
      </c>
      <c r="B1140" s="49" t="s">
        <v>2912</v>
      </c>
      <c r="C1140" s="50" t="s">
        <v>4135</v>
      </c>
      <c r="D1140" s="49">
        <v>156128</v>
      </c>
      <c r="E1140" s="50" t="s">
        <v>4136</v>
      </c>
      <c r="F1140" s="49" t="s">
        <v>5</v>
      </c>
      <c r="G1140" s="48">
        <v>43014</v>
      </c>
      <c r="H1140" s="48">
        <v>43044</v>
      </c>
      <c r="I1140" s="48">
        <v>43734</v>
      </c>
      <c r="J1140" s="49" t="s">
        <v>4137</v>
      </c>
      <c r="K1140" s="58" t="s">
        <v>7</v>
      </c>
      <c r="L1140" s="49" t="s">
        <v>4138</v>
      </c>
      <c r="M1140" s="48">
        <v>43734</v>
      </c>
      <c r="N1140" s="49" t="s">
        <v>3401</v>
      </c>
      <c r="O1140" s="49" t="s">
        <v>7</v>
      </c>
      <c r="P1140" s="49" t="s">
        <v>4138</v>
      </c>
      <c r="Q1140" s="51" t="s">
        <v>5002</v>
      </c>
      <c r="R1140" s="67" t="e" cm="1">
        <f t="array" ref="R1140">_xlfn.CHOOSECOLS(_xlfn.CHOOSEROWS(_xlfn._xlws.FILTER(표2[],표2[DWG No.]=C1140,""),1),6)</f>
        <v>#VALUE!</v>
      </c>
      <c r="S1140" s="67" t="e" cm="1">
        <f t="array" ref="S1140">_xlfn.CHOOSECOLS(_xlfn.CHOOSEROWS(_xlfn._xlws.FILTER(표2[],(표2[DWG No.]=C1140)*(ISNUMBER(표2[Rev.])),""),1),6)</f>
        <v>#VALUE!</v>
      </c>
    </row>
    <row r="1141" spans="1:19" ht="18" customHeight="1" x14ac:dyDescent="0.45">
      <c r="A1141" s="64">
        <v>1136</v>
      </c>
      <c r="B1141" s="49" t="s">
        <v>2912</v>
      </c>
      <c r="C1141" s="50" t="s">
        <v>4139</v>
      </c>
      <c r="D1141" s="49">
        <v>156129</v>
      </c>
      <c r="E1141" s="50" t="s">
        <v>4140</v>
      </c>
      <c r="F1141" s="49" t="s">
        <v>5</v>
      </c>
      <c r="G1141" s="48">
        <v>43014</v>
      </c>
      <c r="H1141" s="48">
        <v>43044</v>
      </c>
      <c r="I1141" s="48">
        <v>43014</v>
      </c>
      <c r="J1141" s="49" t="s">
        <v>4131</v>
      </c>
      <c r="K1141" s="58" t="s">
        <v>5</v>
      </c>
      <c r="L1141" s="49" t="s">
        <v>65</v>
      </c>
      <c r="M1141" s="48">
        <v>43017</v>
      </c>
      <c r="N1141" s="49" t="s">
        <v>4132</v>
      </c>
      <c r="O1141" s="49" t="s">
        <v>5</v>
      </c>
      <c r="P1141" s="49" t="s">
        <v>65</v>
      </c>
      <c r="Q1141" s="49" t="s">
        <v>2702</v>
      </c>
      <c r="R1141" s="67" t="e" cm="1">
        <f t="array" ref="R1141">_xlfn.CHOOSECOLS(_xlfn.CHOOSEROWS(_xlfn._xlws.FILTER(표2[],표2[DWG No.]=C1141,""),1),6)</f>
        <v>#VALUE!</v>
      </c>
      <c r="S1141" s="67" t="e" cm="1">
        <f t="array" ref="S1141">_xlfn.CHOOSECOLS(_xlfn.CHOOSEROWS(_xlfn._xlws.FILTER(표2[],(표2[DWG No.]=C1141)*(ISNUMBER(표2[Rev.])),""),1),6)</f>
        <v>#VALUE!</v>
      </c>
    </row>
    <row r="1142" spans="1:19" ht="18" customHeight="1" x14ac:dyDescent="0.45">
      <c r="A1142" s="64">
        <v>1137</v>
      </c>
      <c r="B1142" s="49" t="s">
        <v>2912</v>
      </c>
      <c r="C1142" s="50" t="s">
        <v>4141</v>
      </c>
      <c r="D1142" s="49">
        <v>156130</v>
      </c>
      <c r="E1142" s="50" t="s">
        <v>4142</v>
      </c>
      <c r="F1142" s="49" t="s">
        <v>5</v>
      </c>
      <c r="G1142" s="48">
        <v>43014</v>
      </c>
      <c r="H1142" s="48">
        <v>43044</v>
      </c>
      <c r="I1142" s="48">
        <v>43014</v>
      </c>
      <c r="J1142" s="49" t="s">
        <v>4131</v>
      </c>
      <c r="K1142" s="58" t="s">
        <v>5</v>
      </c>
      <c r="L1142" s="49" t="s">
        <v>65</v>
      </c>
      <c r="M1142" s="48">
        <v>43017</v>
      </c>
      <c r="N1142" s="49" t="s">
        <v>4132</v>
      </c>
      <c r="O1142" s="49" t="s">
        <v>5</v>
      </c>
      <c r="P1142" s="49" t="s">
        <v>65</v>
      </c>
      <c r="Q1142" s="49" t="s">
        <v>2702</v>
      </c>
      <c r="R1142" s="67" t="e" cm="1">
        <f t="array" ref="R1142">_xlfn.CHOOSECOLS(_xlfn.CHOOSEROWS(_xlfn._xlws.FILTER(표2[],표2[DWG No.]=C1142,""),1),6)</f>
        <v>#VALUE!</v>
      </c>
      <c r="S1142" s="67" t="e" cm="1">
        <f t="array" ref="S1142">_xlfn.CHOOSECOLS(_xlfn.CHOOSEROWS(_xlfn._xlws.FILTER(표2[],(표2[DWG No.]=C1142)*(ISNUMBER(표2[Rev.])),""),1),6)</f>
        <v>#VALUE!</v>
      </c>
    </row>
    <row r="1143" spans="1:19" ht="18" customHeight="1" x14ac:dyDescent="0.45">
      <c r="A1143" s="64">
        <v>1138</v>
      </c>
      <c r="B1143" s="49" t="s">
        <v>2912</v>
      </c>
      <c r="C1143" s="50" t="s">
        <v>4143</v>
      </c>
      <c r="D1143" s="49">
        <v>156131</v>
      </c>
      <c r="E1143" s="50" t="s">
        <v>4144</v>
      </c>
      <c r="F1143" s="49" t="s">
        <v>5</v>
      </c>
      <c r="G1143" s="48">
        <v>43014</v>
      </c>
      <c r="H1143" s="48">
        <v>43044</v>
      </c>
      <c r="I1143" s="48">
        <v>43014</v>
      </c>
      <c r="J1143" s="49" t="s">
        <v>4131</v>
      </c>
      <c r="K1143" s="58" t="s">
        <v>5</v>
      </c>
      <c r="L1143" s="49" t="s">
        <v>65</v>
      </c>
      <c r="M1143" s="48">
        <v>43017</v>
      </c>
      <c r="N1143" s="49" t="s">
        <v>4132</v>
      </c>
      <c r="O1143" s="49" t="s">
        <v>5</v>
      </c>
      <c r="P1143" s="49" t="s">
        <v>65</v>
      </c>
      <c r="Q1143" s="49" t="s">
        <v>2702</v>
      </c>
      <c r="R1143" s="67" t="e" cm="1">
        <f t="array" ref="R1143">_xlfn.CHOOSECOLS(_xlfn.CHOOSEROWS(_xlfn._xlws.FILTER(표2[],표2[DWG No.]=C1143,""),1),6)</f>
        <v>#VALUE!</v>
      </c>
      <c r="S1143" s="67" t="e" cm="1">
        <f t="array" ref="S1143">_xlfn.CHOOSECOLS(_xlfn.CHOOSEROWS(_xlfn._xlws.FILTER(표2[],(표2[DWG No.]=C1143)*(ISNUMBER(표2[Rev.])),""),1),6)</f>
        <v>#VALUE!</v>
      </c>
    </row>
    <row r="1144" spans="1:19" ht="18" customHeight="1" x14ac:dyDescent="0.45">
      <c r="A1144" s="64">
        <v>1139</v>
      </c>
      <c r="B1144" s="49" t="s">
        <v>2912</v>
      </c>
      <c r="C1144" s="50" t="s">
        <v>4145</v>
      </c>
      <c r="D1144" s="49">
        <v>156132</v>
      </c>
      <c r="E1144" s="50" t="s">
        <v>4146</v>
      </c>
      <c r="F1144" s="49" t="s">
        <v>5</v>
      </c>
      <c r="G1144" s="48">
        <v>43027</v>
      </c>
      <c r="H1144" s="48">
        <v>43057</v>
      </c>
      <c r="I1144" s="48">
        <v>43027</v>
      </c>
      <c r="J1144" s="49" t="s">
        <v>2985</v>
      </c>
      <c r="K1144" s="58" t="s">
        <v>5</v>
      </c>
      <c r="L1144" s="49" t="s">
        <v>65</v>
      </c>
      <c r="M1144" s="48">
        <v>43031</v>
      </c>
      <c r="N1144" s="49" t="s">
        <v>4147</v>
      </c>
      <c r="O1144" s="49" t="s">
        <v>5</v>
      </c>
      <c r="P1144" s="49" t="s">
        <v>65</v>
      </c>
      <c r="Q1144" s="49" t="s">
        <v>2702</v>
      </c>
      <c r="R1144" s="67" t="e" cm="1">
        <f t="array" ref="R1144">_xlfn.CHOOSECOLS(_xlfn.CHOOSEROWS(_xlfn._xlws.FILTER(표2[],표2[DWG No.]=C1144,""),1),6)</f>
        <v>#VALUE!</v>
      </c>
      <c r="S1144" s="67" t="e" cm="1">
        <f t="array" ref="S1144">_xlfn.CHOOSECOLS(_xlfn.CHOOSEROWS(_xlfn._xlws.FILTER(표2[],(표2[DWG No.]=C1144)*(ISNUMBER(표2[Rev.])),""),1),6)</f>
        <v>#VALUE!</v>
      </c>
    </row>
    <row r="1145" spans="1:19" ht="18" customHeight="1" x14ac:dyDescent="0.45">
      <c r="A1145" s="64">
        <v>1140</v>
      </c>
      <c r="B1145" s="49" t="s">
        <v>2912</v>
      </c>
      <c r="C1145" s="50" t="s">
        <v>4148</v>
      </c>
      <c r="D1145" s="49">
        <v>156133</v>
      </c>
      <c r="E1145" s="50" t="s">
        <v>4149</v>
      </c>
      <c r="F1145" s="49" t="s">
        <v>5</v>
      </c>
      <c r="G1145" s="48">
        <v>43014</v>
      </c>
      <c r="H1145" s="48">
        <v>43044</v>
      </c>
      <c r="I1145" s="48">
        <v>43014</v>
      </c>
      <c r="J1145" s="49" t="s">
        <v>4131</v>
      </c>
      <c r="K1145" s="58" t="s">
        <v>5</v>
      </c>
      <c r="L1145" s="49" t="s">
        <v>65</v>
      </c>
      <c r="M1145" s="48">
        <v>43017</v>
      </c>
      <c r="N1145" s="49" t="s">
        <v>4132</v>
      </c>
      <c r="O1145" s="49" t="s">
        <v>5</v>
      </c>
      <c r="P1145" s="49" t="s">
        <v>65</v>
      </c>
      <c r="Q1145" s="49" t="s">
        <v>2702</v>
      </c>
      <c r="R1145" s="67" t="e" cm="1">
        <f t="array" ref="R1145">_xlfn.CHOOSECOLS(_xlfn.CHOOSEROWS(_xlfn._xlws.FILTER(표2[],표2[DWG No.]=C1145,""),1),6)</f>
        <v>#VALUE!</v>
      </c>
      <c r="S1145" s="67" t="e" cm="1">
        <f t="array" ref="S1145">_xlfn.CHOOSECOLS(_xlfn.CHOOSEROWS(_xlfn._xlws.FILTER(표2[],(표2[DWG No.]=C1145)*(ISNUMBER(표2[Rev.])),""),1),6)</f>
        <v>#VALUE!</v>
      </c>
    </row>
    <row r="1146" spans="1:19" ht="18" customHeight="1" x14ac:dyDescent="0.45">
      <c r="A1146" s="64">
        <v>1141</v>
      </c>
      <c r="B1146" s="49" t="s">
        <v>2912</v>
      </c>
      <c r="C1146" s="50" t="s">
        <v>4150</v>
      </c>
      <c r="D1146" s="49">
        <v>156134</v>
      </c>
      <c r="E1146" s="50" t="s">
        <v>4151</v>
      </c>
      <c r="F1146" s="49" t="s">
        <v>5</v>
      </c>
      <c r="G1146" s="48">
        <v>43014</v>
      </c>
      <c r="H1146" s="48">
        <v>43044</v>
      </c>
      <c r="I1146" s="48">
        <v>43014</v>
      </c>
      <c r="J1146" s="49" t="s">
        <v>4131</v>
      </c>
      <c r="K1146" s="58" t="s">
        <v>5</v>
      </c>
      <c r="L1146" s="49" t="s">
        <v>65</v>
      </c>
      <c r="M1146" s="48">
        <v>43017</v>
      </c>
      <c r="N1146" s="49" t="s">
        <v>4132</v>
      </c>
      <c r="O1146" s="49" t="s">
        <v>5</v>
      </c>
      <c r="P1146" s="49" t="s">
        <v>65</v>
      </c>
      <c r="Q1146" s="49" t="s">
        <v>2702</v>
      </c>
      <c r="R1146" s="67" t="e" cm="1">
        <f t="array" ref="R1146">_xlfn.CHOOSECOLS(_xlfn.CHOOSEROWS(_xlfn._xlws.FILTER(표2[],표2[DWG No.]=C1146,""),1),6)</f>
        <v>#VALUE!</v>
      </c>
      <c r="S1146" s="67" t="e" cm="1">
        <f t="array" ref="S1146">_xlfn.CHOOSECOLS(_xlfn.CHOOSEROWS(_xlfn._xlws.FILTER(표2[],(표2[DWG No.]=C1146)*(ISNUMBER(표2[Rev.])),""),1),6)</f>
        <v>#VALUE!</v>
      </c>
    </row>
    <row r="1147" spans="1:19" ht="18" customHeight="1" x14ac:dyDescent="0.45">
      <c r="A1147" s="64">
        <v>1142</v>
      </c>
      <c r="B1147" s="49" t="s">
        <v>2912</v>
      </c>
      <c r="C1147" s="50" t="s">
        <v>4152</v>
      </c>
      <c r="D1147" s="49">
        <v>156135</v>
      </c>
      <c r="E1147" s="50" t="s">
        <v>4153</v>
      </c>
      <c r="F1147" s="49" t="s">
        <v>5</v>
      </c>
      <c r="G1147" s="48">
        <v>43014</v>
      </c>
      <c r="H1147" s="48">
        <v>43044</v>
      </c>
      <c r="I1147" s="48">
        <v>43014</v>
      </c>
      <c r="J1147" s="49" t="s">
        <v>4131</v>
      </c>
      <c r="K1147" s="58" t="s">
        <v>5</v>
      </c>
      <c r="L1147" s="49" t="s">
        <v>65</v>
      </c>
      <c r="M1147" s="48">
        <v>43017</v>
      </c>
      <c r="N1147" s="49" t="s">
        <v>4132</v>
      </c>
      <c r="O1147" s="49" t="s">
        <v>5</v>
      </c>
      <c r="P1147" s="49" t="s">
        <v>65</v>
      </c>
      <c r="Q1147" s="49" t="s">
        <v>2702</v>
      </c>
      <c r="R1147" s="67" t="e" cm="1">
        <f t="array" ref="R1147">_xlfn.CHOOSECOLS(_xlfn.CHOOSEROWS(_xlfn._xlws.FILTER(표2[],표2[DWG No.]=C1147,""),1),6)</f>
        <v>#VALUE!</v>
      </c>
      <c r="S1147" s="67" t="e" cm="1">
        <f t="array" ref="S1147">_xlfn.CHOOSECOLS(_xlfn.CHOOSEROWS(_xlfn._xlws.FILTER(표2[],(표2[DWG No.]=C1147)*(ISNUMBER(표2[Rev.])),""),1),6)</f>
        <v>#VALUE!</v>
      </c>
    </row>
    <row r="1148" spans="1:19" ht="18" customHeight="1" x14ac:dyDescent="0.45">
      <c r="A1148" s="64">
        <v>1143</v>
      </c>
      <c r="B1148" s="49" t="s">
        <v>2912</v>
      </c>
      <c r="C1148" s="50" t="s">
        <v>4154</v>
      </c>
      <c r="D1148" s="49">
        <v>156304</v>
      </c>
      <c r="E1148" s="50" t="s">
        <v>4155</v>
      </c>
      <c r="F1148" s="49" t="s">
        <v>5</v>
      </c>
      <c r="G1148" s="48">
        <v>43017</v>
      </c>
      <c r="H1148" s="48">
        <v>43047</v>
      </c>
      <c r="I1148" s="48">
        <v>43017</v>
      </c>
      <c r="J1148" s="49" t="s">
        <v>4156</v>
      </c>
      <c r="K1148" s="58" t="s">
        <v>5</v>
      </c>
      <c r="L1148" s="49" t="s">
        <v>65</v>
      </c>
      <c r="M1148" s="48">
        <v>43025</v>
      </c>
      <c r="N1148" s="49" t="s">
        <v>4157</v>
      </c>
      <c r="O1148" s="49" t="s">
        <v>5</v>
      </c>
      <c r="P1148" s="49" t="s">
        <v>65</v>
      </c>
      <c r="Q1148" s="49" t="s">
        <v>2702</v>
      </c>
      <c r="R1148" s="67" t="e" cm="1">
        <f t="array" ref="R1148">_xlfn.CHOOSECOLS(_xlfn.CHOOSEROWS(_xlfn._xlws.FILTER(표2[],표2[DWG No.]=C1148,""),1),6)</f>
        <v>#VALUE!</v>
      </c>
      <c r="S1148" s="67" t="e" cm="1">
        <f t="array" ref="S1148">_xlfn.CHOOSECOLS(_xlfn.CHOOSEROWS(_xlfn._xlws.FILTER(표2[],(표2[DWG No.]=C1148)*(ISNUMBER(표2[Rev.])),""),1),6)</f>
        <v>#VALUE!</v>
      </c>
    </row>
    <row r="1149" spans="1:19" ht="18" customHeight="1" x14ac:dyDescent="0.45">
      <c r="A1149" s="64">
        <v>1144</v>
      </c>
      <c r="B1149" s="49" t="s">
        <v>2912</v>
      </c>
      <c r="C1149" s="50" t="s">
        <v>4158</v>
      </c>
      <c r="D1149" s="49">
        <v>156305</v>
      </c>
      <c r="E1149" s="50" t="s">
        <v>4159</v>
      </c>
      <c r="F1149" s="49" t="s">
        <v>5</v>
      </c>
      <c r="G1149" s="48">
        <v>43017</v>
      </c>
      <c r="H1149" s="48">
        <v>43047</v>
      </c>
      <c r="I1149" s="48">
        <v>43017</v>
      </c>
      <c r="J1149" s="49" t="s">
        <v>4156</v>
      </c>
      <c r="K1149" s="58" t="s">
        <v>5</v>
      </c>
      <c r="L1149" s="49" t="s">
        <v>65</v>
      </c>
      <c r="M1149" s="48">
        <v>43025</v>
      </c>
      <c r="N1149" s="49" t="s">
        <v>4157</v>
      </c>
      <c r="O1149" s="49" t="s">
        <v>5</v>
      </c>
      <c r="P1149" s="49" t="s">
        <v>65</v>
      </c>
      <c r="Q1149" s="49" t="s">
        <v>2702</v>
      </c>
      <c r="R1149" s="67" t="e" cm="1">
        <f t="array" ref="R1149">_xlfn.CHOOSECOLS(_xlfn.CHOOSEROWS(_xlfn._xlws.FILTER(표2[],표2[DWG No.]=C1149,""),1),6)</f>
        <v>#VALUE!</v>
      </c>
      <c r="S1149" s="67" t="e" cm="1">
        <f t="array" ref="S1149">_xlfn.CHOOSECOLS(_xlfn.CHOOSEROWS(_xlfn._xlws.FILTER(표2[],(표2[DWG No.]=C1149)*(ISNUMBER(표2[Rev.])),""),1),6)</f>
        <v>#VALUE!</v>
      </c>
    </row>
    <row r="1150" spans="1:19" ht="18" customHeight="1" x14ac:dyDescent="0.45">
      <c r="A1150" s="64">
        <v>1145</v>
      </c>
      <c r="B1150" s="49" t="s">
        <v>2912</v>
      </c>
      <c r="C1150" s="50" t="s">
        <v>4160</v>
      </c>
      <c r="D1150" s="49">
        <v>156306</v>
      </c>
      <c r="E1150" s="50" t="s">
        <v>4161</v>
      </c>
      <c r="F1150" s="49" t="s">
        <v>5</v>
      </c>
      <c r="G1150" s="48">
        <v>43017</v>
      </c>
      <c r="H1150" s="48">
        <v>43047</v>
      </c>
      <c r="I1150" s="48">
        <v>43017</v>
      </c>
      <c r="J1150" s="49" t="s">
        <v>4156</v>
      </c>
      <c r="K1150" s="58" t="s">
        <v>5</v>
      </c>
      <c r="L1150" s="49" t="s">
        <v>65</v>
      </c>
      <c r="M1150" s="48">
        <v>43025</v>
      </c>
      <c r="N1150" s="49" t="s">
        <v>4157</v>
      </c>
      <c r="O1150" s="49" t="s">
        <v>5</v>
      </c>
      <c r="P1150" s="49" t="s">
        <v>65</v>
      </c>
      <c r="Q1150" s="49" t="s">
        <v>2702</v>
      </c>
      <c r="R1150" s="67" t="e" cm="1">
        <f t="array" ref="R1150">_xlfn.CHOOSECOLS(_xlfn.CHOOSEROWS(_xlfn._xlws.FILTER(표2[],표2[DWG No.]=C1150,""),1),6)</f>
        <v>#VALUE!</v>
      </c>
      <c r="S1150" s="67" t="e" cm="1">
        <f t="array" ref="S1150">_xlfn.CHOOSECOLS(_xlfn.CHOOSEROWS(_xlfn._xlws.FILTER(표2[],(표2[DWG No.]=C1150)*(ISNUMBER(표2[Rev.])),""),1),6)</f>
        <v>#VALUE!</v>
      </c>
    </row>
    <row r="1151" spans="1:19" ht="18" customHeight="1" x14ac:dyDescent="0.45">
      <c r="A1151" s="64">
        <v>1146</v>
      </c>
      <c r="B1151" s="49" t="s">
        <v>2912</v>
      </c>
      <c r="C1151" s="50" t="s">
        <v>4162</v>
      </c>
      <c r="D1151" s="49">
        <v>156107</v>
      </c>
      <c r="E1151" s="50" t="s">
        <v>4163</v>
      </c>
      <c r="F1151" s="49" t="s">
        <v>5</v>
      </c>
      <c r="G1151" s="48">
        <v>43026</v>
      </c>
      <c r="H1151" s="48">
        <v>43056</v>
      </c>
      <c r="I1151" s="48">
        <v>43026</v>
      </c>
      <c r="J1151" s="49" t="s">
        <v>3163</v>
      </c>
      <c r="K1151" s="58" t="s">
        <v>5</v>
      </c>
      <c r="L1151" s="49" t="s">
        <v>65</v>
      </c>
      <c r="M1151" s="48">
        <v>43031</v>
      </c>
      <c r="N1151" s="49" t="s">
        <v>3164</v>
      </c>
      <c r="O1151" s="49" t="s">
        <v>5</v>
      </c>
      <c r="P1151" s="49" t="s">
        <v>65</v>
      </c>
      <c r="Q1151" s="49" t="s">
        <v>2702</v>
      </c>
      <c r="R1151" s="67" t="e" cm="1">
        <f t="array" ref="R1151">_xlfn.CHOOSECOLS(_xlfn.CHOOSEROWS(_xlfn._xlws.FILTER(표2[],표2[DWG No.]=C1151,""),1),6)</f>
        <v>#VALUE!</v>
      </c>
      <c r="S1151" s="67" t="e" cm="1">
        <f t="array" ref="S1151">_xlfn.CHOOSECOLS(_xlfn.CHOOSEROWS(_xlfn._xlws.FILTER(표2[],(표2[DWG No.]=C1151)*(ISNUMBER(표2[Rev.])),""),1),6)</f>
        <v>#VALUE!</v>
      </c>
    </row>
    <row r="1152" spans="1:19" ht="18" customHeight="1" x14ac:dyDescent="0.45">
      <c r="A1152" s="64">
        <v>1147</v>
      </c>
      <c r="B1152" s="49" t="s">
        <v>2912</v>
      </c>
      <c r="C1152" s="50" t="s">
        <v>4164</v>
      </c>
      <c r="D1152" s="49">
        <v>156108</v>
      </c>
      <c r="E1152" s="50" t="s">
        <v>4165</v>
      </c>
      <c r="F1152" s="49" t="s">
        <v>5</v>
      </c>
      <c r="G1152" s="48">
        <v>43026</v>
      </c>
      <c r="H1152" s="48">
        <v>43056</v>
      </c>
      <c r="I1152" s="48">
        <v>43026</v>
      </c>
      <c r="J1152" s="49" t="s">
        <v>3163</v>
      </c>
      <c r="K1152" s="58" t="s">
        <v>5</v>
      </c>
      <c r="L1152" s="49" t="s">
        <v>65</v>
      </c>
      <c r="M1152" s="48">
        <v>43031</v>
      </c>
      <c r="N1152" s="49" t="s">
        <v>3164</v>
      </c>
      <c r="O1152" s="49" t="s">
        <v>5</v>
      </c>
      <c r="P1152" s="49" t="s">
        <v>65</v>
      </c>
      <c r="Q1152" s="49" t="s">
        <v>2702</v>
      </c>
      <c r="R1152" s="67" t="e" cm="1">
        <f t="array" ref="R1152">_xlfn.CHOOSECOLS(_xlfn.CHOOSEROWS(_xlfn._xlws.FILTER(표2[],표2[DWG No.]=C1152,""),1),6)</f>
        <v>#VALUE!</v>
      </c>
      <c r="S1152" s="67" t="e" cm="1">
        <f t="array" ref="S1152">_xlfn.CHOOSECOLS(_xlfn.CHOOSEROWS(_xlfn._xlws.FILTER(표2[],(표2[DWG No.]=C1152)*(ISNUMBER(표2[Rev.])),""),1),6)</f>
        <v>#VALUE!</v>
      </c>
    </row>
    <row r="1153" spans="1:19" ht="18" customHeight="1" x14ac:dyDescent="0.45">
      <c r="A1153" s="64">
        <v>1148</v>
      </c>
      <c r="B1153" s="49" t="s">
        <v>2912</v>
      </c>
      <c r="C1153" s="50" t="s">
        <v>4166</v>
      </c>
      <c r="D1153" s="49">
        <v>156110</v>
      </c>
      <c r="E1153" s="50" t="s">
        <v>4167</v>
      </c>
      <c r="F1153" s="49" t="s">
        <v>5</v>
      </c>
      <c r="G1153" s="48">
        <v>43026</v>
      </c>
      <c r="H1153" s="48">
        <v>43056</v>
      </c>
      <c r="I1153" s="48">
        <v>43026</v>
      </c>
      <c r="J1153" s="49" t="s">
        <v>3163</v>
      </c>
      <c r="K1153" s="58" t="s">
        <v>5</v>
      </c>
      <c r="L1153" s="49" t="s">
        <v>65</v>
      </c>
      <c r="M1153" s="48">
        <v>43031</v>
      </c>
      <c r="N1153" s="49" t="s">
        <v>3164</v>
      </c>
      <c r="O1153" s="49" t="s">
        <v>5</v>
      </c>
      <c r="P1153" s="49" t="s">
        <v>65</v>
      </c>
      <c r="Q1153" s="49" t="s">
        <v>2702</v>
      </c>
      <c r="R1153" s="67" t="e" cm="1">
        <f t="array" ref="R1153">_xlfn.CHOOSECOLS(_xlfn.CHOOSEROWS(_xlfn._xlws.FILTER(표2[],표2[DWG No.]=C1153,""),1),6)</f>
        <v>#VALUE!</v>
      </c>
      <c r="S1153" s="67" t="e" cm="1">
        <f t="array" ref="S1153">_xlfn.CHOOSECOLS(_xlfn.CHOOSEROWS(_xlfn._xlws.FILTER(표2[],(표2[DWG No.]=C1153)*(ISNUMBER(표2[Rev.])),""),1),6)</f>
        <v>#VALUE!</v>
      </c>
    </row>
    <row r="1154" spans="1:19" ht="18" customHeight="1" x14ac:dyDescent="0.45">
      <c r="A1154" s="64">
        <v>1149</v>
      </c>
      <c r="B1154" s="49" t="s">
        <v>2912</v>
      </c>
      <c r="C1154" s="50" t="s">
        <v>4168</v>
      </c>
      <c r="D1154" s="49">
        <v>156118</v>
      </c>
      <c r="E1154" s="50" t="s">
        <v>4169</v>
      </c>
      <c r="F1154" s="49" t="s">
        <v>5</v>
      </c>
      <c r="G1154" s="48">
        <v>43026</v>
      </c>
      <c r="H1154" s="48">
        <v>43056</v>
      </c>
      <c r="I1154" s="48">
        <v>43026</v>
      </c>
      <c r="J1154" s="49" t="s">
        <v>3163</v>
      </c>
      <c r="K1154" s="58" t="s">
        <v>5</v>
      </c>
      <c r="L1154" s="49" t="s">
        <v>65</v>
      </c>
      <c r="M1154" s="48">
        <v>43031</v>
      </c>
      <c r="N1154" s="49" t="s">
        <v>3164</v>
      </c>
      <c r="O1154" s="49" t="s">
        <v>5</v>
      </c>
      <c r="P1154" s="49" t="s">
        <v>65</v>
      </c>
      <c r="Q1154" s="49" t="s">
        <v>2702</v>
      </c>
      <c r="R1154" s="67" t="e" cm="1">
        <f t="array" ref="R1154">_xlfn.CHOOSECOLS(_xlfn.CHOOSEROWS(_xlfn._xlws.FILTER(표2[],표2[DWG No.]=C1154,""),1),6)</f>
        <v>#VALUE!</v>
      </c>
      <c r="S1154" s="67" t="e" cm="1">
        <f t="array" ref="S1154">_xlfn.CHOOSECOLS(_xlfn.CHOOSEROWS(_xlfn._xlws.FILTER(표2[],(표2[DWG No.]=C1154)*(ISNUMBER(표2[Rev.])),""),1),6)</f>
        <v>#VALUE!</v>
      </c>
    </row>
    <row r="1155" spans="1:19" ht="18" customHeight="1" x14ac:dyDescent="0.45">
      <c r="A1155" s="64">
        <v>1150</v>
      </c>
      <c r="B1155" s="49" t="s">
        <v>2912</v>
      </c>
      <c r="C1155" s="50" t="s">
        <v>4170</v>
      </c>
      <c r="D1155" s="49">
        <v>156119</v>
      </c>
      <c r="E1155" s="50" t="s">
        <v>4171</v>
      </c>
      <c r="F1155" s="49" t="s">
        <v>5</v>
      </c>
      <c r="G1155" s="48">
        <v>43026</v>
      </c>
      <c r="H1155" s="48">
        <v>43056</v>
      </c>
      <c r="I1155" s="48">
        <v>43026</v>
      </c>
      <c r="J1155" s="49" t="s">
        <v>3163</v>
      </c>
      <c r="K1155" s="58" t="s">
        <v>5</v>
      </c>
      <c r="L1155" s="49" t="s">
        <v>65</v>
      </c>
      <c r="M1155" s="48">
        <v>43031</v>
      </c>
      <c r="N1155" s="49" t="s">
        <v>3164</v>
      </c>
      <c r="O1155" s="49" t="s">
        <v>5</v>
      </c>
      <c r="P1155" s="49" t="s">
        <v>65</v>
      </c>
      <c r="Q1155" s="49" t="s">
        <v>2702</v>
      </c>
      <c r="R1155" s="67" t="e" cm="1">
        <f t="array" ref="R1155">_xlfn.CHOOSECOLS(_xlfn.CHOOSEROWS(_xlfn._xlws.FILTER(표2[],표2[DWG No.]=C1155,""),1),6)</f>
        <v>#VALUE!</v>
      </c>
      <c r="S1155" s="67" t="e" cm="1">
        <f t="array" ref="S1155">_xlfn.CHOOSECOLS(_xlfn.CHOOSEROWS(_xlfn._xlws.FILTER(표2[],(표2[DWG No.]=C1155)*(ISNUMBER(표2[Rev.])),""),1),6)</f>
        <v>#VALUE!</v>
      </c>
    </row>
    <row r="1156" spans="1:19" ht="18" customHeight="1" x14ac:dyDescent="0.45">
      <c r="A1156" s="64">
        <v>1151</v>
      </c>
      <c r="B1156" s="49" t="s">
        <v>2912</v>
      </c>
      <c r="C1156" s="50" t="s">
        <v>4172</v>
      </c>
      <c r="D1156" s="49">
        <v>156121</v>
      </c>
      <c r="E1156" s="50" t="s">
        <v>4173</v>
      </c>
      <c r="F1156" s="49" t="s">
        <v>5</v>
      </c>
      <c r="G1156" s="48">
        <v>43026</v>
      </c>
      <c r="H1156" s="48">
        <v>43056</v>
      </c>
      <c r="I1156" s="48">
        <v>43026</v>
      </c>
      <c r="J1156" s="49" t="s">
        <v>3163</v>
      </c>
      <c r="K1156" s="58" t="s">
        <v>5</v>
      </c>
      <c r="L1156" s="49" t="s">
        <v>65</v>
      </c>
      <c r="M1156" s="48">
        <v>43031</v>
      </c>
      <c r="N1156" s="49" t="s">
        <v>3164</v>
      </c>
      <c r="O1156" s="49" t="s">
        <v>5</v>
      </c>
      <c r="P1156" s="49" t="s">
        <v>65</v>
      </c>
      <c r="Q1156" s="49" t="s">
        <v>2702</v>
      </c>
      <c r="R1156" s="67" t="e" cm="1">
        <f t="array" ref="R1156">_xlfn.CHOOSECOLS(_xlfn.CHOOSEROWS(_xlfn._xlws.FILTER(표2[],표2[DWG No.]=C1156,""),1),6)</f>
        <v>#VALUE!</v>
      </c>
      <c r="S1156" s="67" t="e" cm="1">
        <f t="array" ref="S1156">_xlfn.CHOOSECOLS(_xlfn.CHOOSEROWS(_xlfn._xlws.FILTER(표2[],(표2[DWG No.]=C1156)*(ISNUMBER(표2[Rev.])),""),1),6)</f>
        <v>#VALUE!</v>
      </c>
    </row>
    <row r="1157" spans="1:19" ht="18" customHeight="1" x14ac:dyDescent="0.45">
      <c r="A1157" s="64">
        <v>1152</v>
      </c>
      <c r="B1157" s="49" t="s">
        <v>2912</v>
      </c>
      <c r="C1157" s="50" t="s">
        <v>4174</v>
      </c>
      <c r="D1157" s="49">
        <v>156111</v>
      </c>
      <c r="E1157" s="50" t="s">
        <v>4175</v>
      </c>
      <c r="F1157" s="49" t="s">
        <v>5</v>
      </c>
      <c r="G1157" s="48">
        <v>43026</v>
      </c>
      <c r="H1157" s="48">
        <v>43056</v>
      </c>
      <c r="I1157" s="48">
        <v>43026</v>
      </c>
      <c r="J1157" s="49" t="s">
        <v>3163</v>
      </c>
      <c r="K1157" s="58" t="s">
        <v>5</v>
      </c>
      <c r="L1157" s="49" t="s">
        <v>65</v>
      </c>
      <c r="M1157" s="48">
        <v>43031</v>
      </c>
      <c r="N1157" s="49" t="s">
        <v>3164</v>
      </c>
      <c r="O1157" s="49" t="s">
        <v>5</v>
      </c>
      <c r="P1157" s="49" t="s">
        <v>65</v>
      </c>
      <c r="Q1157" s="49" t="s">
        <v>2702</v>
      </c>
      <c r="R1157" s="67" t="e" cm="1">
        <f t="array" ref="R1157">_xlfn.CHOOSECOLS(_xlfn.CHOOSEROWS(_xlfn._xlws.FILTER(표2[],표2[DWG No.]=C1157,""),1),6)</f>
        <v>#VALUE!</v>
      </c>
      <c r="S1157" s="67" t="e" cm="1">
        <f t="array" ref="S1157">_xlfn.CHOOSECOLS(_xlfn.CHOOSEROWS(_xlfn._xlws.FILTER(표2[],(표2[DWG No.]=C1157)*(ISNUMBER(표2[Rev.])),""),1),6)</f>
        <v>#VALUE!</v>
      </c>
    </row>
    <row r="1158" spans="1:19" ht="18" customHeight="1" x14ac:dyDescent="0.45">
      <c r="A1158" s="64">
        <v>1153</v>
      </c>
      <c r="B1158" s="49" t="s">
        <v>2912</v>
      </c>
      <c r="C1158" s="50" t="s">
        <v>4176</v>
      </c>
      <c r="D1158" s="49">
        <v>156114</v>
      </c>
      <c r="E1158" s="50" t="s">
        <v>4177</v>
      </c>
      <c r="F1158" s="49" t="s">
        <v>5</v>
      </c>
      <c r="G1158" s="48">
        <v>43026</v>
      </c>
      <c r="H1158" s="48">
        <v>43056</v>
      </c>
      <c r="I1158" s="48">
        <v>43545</v>
      </c>
      <c r="J1158" s="49" t="s">
        <v>4178</v>
      </c>
      <c r="K1158" s="58" t="s">
        <v>7</v>
      </c>
      <c r="L1158" s="49">
        <v>0</v>
      </c>
      <c r="M1158" s="48">
        <v>43545</v>
      </c>
      <c r="N1158" s="49" t="s">
        <v>4179</v>
      </c>
      <c r="O1158" s="49" t="s">
        <v>5</v>
      </c>
      <c r="P1158" s="49">
        <v>0</v>
      </c>
      <c r="Q1158" s="51" t="s">
        <v>5002</v>
      </c>
      <c r="R1158" s="67" t="e" cm="1">
        <f t="array" ref="R1158">_xlfn.CHOOSECOLS(_xlfn.CHOOSEROWS(_xlfn._xlws.FILTER(표2[],표2[DWG No.]=C1158,""),1),6)</f>
        <v>#VALUE!</v>
      </c>
      <c r="S1158" s="67" t="e" cm="1">
        <f t="array" ref="S1158">_xlfn.CHOOSECOLS(_xlfn.CHOOSEROWS(_xlfn._xlws.FILTER(표2[],(표2[DWG No.]=C1158)*(ISNUMBER(표2[Rev.])),""),1),6)</f>
        <v>#VALUE!</v>
      </c>
    </row>
    <row r="1159" spans="1:19" ht="18" customHeight="1" x14ac:dyDescent="0.45">
      <c r="A1159" s="64">
        <v>1154</v>
      </c>
      <c r="B1159" s="49" t="s">
        <v>2912</v>
      </c>
      <c r="C1159" s="50" t="s">
        <v>4180</v>
      </c>
      <c r="D1159" s="49">
        <v>156122</v>
      </c>
      <c r="E1159" s="50" t="s">
        <v>4175</v>
      </c>
      <c r="F1159" s="49" t="s">
        <v>5</v>
      </c>
      <c r="G1159" s="48">
        <v>43026</v>
      </c>
      <c r="H1159" s="48">
        <v>43056</v>
      </c>
      <c r="I1159" s="48">
        <v>43026</v>
      </c>
      <c r="J1159" s="49" t="s">
        <v>3163</v>
      </c>
      <c r="K1159" s="58" t="s">
        <v>5</v>
      </c>
      <c r="L1159" s="49" t="s">
        <v>65</v>
      </c>
      <c r="M1159" s="48">
        <v>43031</v>
      </c>
      <c r="N1159" s="49" t="s">
        <v>3164</v>
      </c>
      <c r="O1159" s="49" t="s">
        <v>5</v>
      </c>
      <c r="P1159" s="49" t="s">
        <v>65</v>
      </c>
      <c r="Q1159" s="49" t="s">
        <v>2702</v>
      </c>
      <c r="R1159" s="67" t="e" cm="1">
        <f t="array" ref="R1159">_xlfn.CHOOSECOLS(_xlfn.CHOOSEROWS(_xlfn._xlws.FILTER(표2[],표2[DWG No.]=C1159,""),1),6)</f>
        <v>#VALUE!</v>
      </c>
      <c r="S1159" s="67" t="e" cm="1">
        <f t="array" ref="S1159">_xlfn.CHOOSECOLS(_xlfn.CHOOSEROWS(_xlfn._xlws.FILTER(표2[],(표2[DWG No.]=C1159)*(ISNUMBER(표2[Rev.])),""),1),6)</f>
        <v>#VALUE!</v>
      </c>
    </row>
    <row r="1160" spans="1:19" ht="18" customHeight="1" x14ac:dyDescent="0.45">
      <c r="A1160" s="64">
        <v>1155</v>
      </c>
      <c r="B1160" s="49" t="s">
        <v>2912</v>
      </c>
      <c r="C1160" s="50" t="s">
        <v>4181</v>
      </c>
      <c r="D1160" s="49">
        <v>156125</v>
      </c>
      <c r="E1160" s="50" t="s">
        <v>4177</v>
      </c>
      <c r="F1160" s="49" t="s">
        <v>5</v>
      </c>
      <c r="G1160" s="48">
        <v>43026</v>
      </c>
      <c r="H1160" s="48">
        <v>43056</v>
      </c>
      <c r="I1160" s="48">
        <v>43539</v>
      </c>
      <c r="J1160" s="49" t="s">
        <v>3274</v>
      </c>
      <c r="K1160" s="58" t="s">
        <v>7</v>
      </c>
      <c r="L1160" s="49">
        <v>0</v>
      </c>
      <c r="M1160" s="48">
        <v>43539</v>
      </c>
      <c r="N1160" s="49" t="s">
        <v>3275</v>
      </c>
      <c r="O1160" s="49" t="s">
        <v>5</v>
      </c>
      <c r="P1160" s="49">
        <v>0</v>
      </c>
      <c r="Q1160" s="49" t="s">
        <v>160</v>
      </c>
      <c r="R1160" s="67" t="e" cm="1">
        <f t="array" ref="R1160">_xlfn.CHOOSECOLS(_xlfn.CHOOSEROWS(_xlfn._xlws.FILTER(표2[],표2[DWG No.]=C1160,""),1),6)</f>
        <v>#VALUE!</v>
      </c>
      <c r="S1160" s="67" t="e" cm="1">
        <f t="array" ref="S1160">_xlfn.CHOOSECOLS(_xlfn.CHOOSEROWS(_xlfn._xlws.FILTER(표2[],(표2[DWG No.]=C1160)*(ISNUMBER(표2[Rev.])),""),1),6)</f>
        <v>#VALUE!</v>
      </c>
    </row>
    <row r="1161" spans="1:19" ht="18" customHeight="1" x14ac:dyDescent="0.45">
      <c r="A1161" s="64">
        <v>1156</v>
      </c>
      <c r="B1161" s="49" t="s">
        <v>2912</v>
      </c>
      <c r="C1161" s="50" t="s">
        <v>4182</v>
      </c>
      <c r="D1161" s="49">
        <v>156283</v>
      </c>
      <c r="E1161" s="50" t="s">
        <v>4183</v>
      </c>
      <c r="F1161" s="49" t="s">
        <v>5</v>
      </c>
      <c r="G1161" s="48">
        <v>43027</v>
      </c>
      <c r="H1161" s="48">
        <v>43057</v>
      </c>
      <c r="I1161" s="48">
        <v>43027</v>
      </c>
      <c r="J1161" s="49" t="s">
        <v>2985</v>
      </c>
      <c r="K1161" s="58" t="s">
        <v>5</v>
      </c>
      <c r="L1161" s="49" t="s">
        <v>65</v>
      </c>
      <c r="M1161" s="48">
        <v>43031</v>
      </c>
      <c r="N1161" s="49" t="s">
        <v>4147</v>
      </c>
      <c r="O1161" s="49" t="s">
        <v>5</v>
      </c>
      <c r="P1161" s="49" t="s">
        <v>65</v>
      </c>
      <c r="Q1161" s="49" t="s">
        <v>2702</v>
      </c>
      <c r="R1161" s="67" t="e" cm="1">
        <f t="array" ref="R1161">_xlfn.CHOOSECOLS(_xlfn.CHOOSEROWS(_xlfn._xlws.FILTER(표2[],표2[DWG No.]=C1161,""),1),6)</f>
        <v>#VALUE!</v>
      </c>
      <c r="S1161" s="67" t="e" cm="1">
        <f t="array" ref="S1161">_xlfn.CHOOSECOLS(_xlfn.CHOOSEROWS(_xlfn._xlws.FILTER(표2[],(표2[DWG No.]=C1161)*(ISNUMBER(표2[Rev.])),""),1),6)</f>
        <v>#VALUE!</v>
      </c>
    </row>
    <row r="1162" spans="1:19" ht="18" customHeight="1" x14ac:dyDescent="0.45">
      <c r="A1162" s="64">
        <v>1157</v>
      </c>
      <c r="B1162" s="49" t="s">
        <v>2912</v>
      </c>
      <c r="C1162" s="50" t="s">
        <v>4184</v>
      </c>
      <c r="D1162" s="49">
        <v>156284</v>
      </c>
      <c r="E1162" s="50" t="s">
        <v>4185</v>
      </c>
      <c r="F1162" s="49" t="s">
        <v>5</v>
      </c>
      <c r="G1162" s="48">
        <v>43027</v>
      </c>
      <c r="H1162" s="48">
        <v>43057</v>
      </c>
      <c r="I1162" s="48">
        <v>43027</v>
      </c>
      <c r="J1162" s="49" t="s">
        <v>2985</v>
      </c>
      <c r="K1162" s="58" t="s">
        <v>5</v>
      </c>
      <c r="L1162" s="49" t="s">
        <v>65</v>
      </c>
      <c r="M1162" s="48">
        <v>43031</v>
      </c>
      <c r="N1162" s="49" t="s">
        <v>4147</v>
      </c>
      <c r="O1162" s="49" t="s">
        <v>5</v>
      </c>
      <c r="P1162" s="49" t="s">
        <v>65</v>
      </c>
      <c r="Q1162" s="49" t="s">
        <v>2702</v>
      </c>
      <c r="R1162" s="67" t="e" cm="1">
        <f t="array" ref="R1162">_xlfn.CHOOSECOLS(_xlfn.CHOOSEROWS(_xlfn._xlws.FILTER(표2[],표2[DWG No.]=C1162,""),1),6)</f>
        <v>#VALUE!</v>
      </c>
      <c r="S1162" s="67" t="e" cm="1">
        <f t="array" ref="S1162">_xlfn.CHOOSECOLS(_xlfn.CHOOSEROWS(_xlfn._xlws.FILTER(표2[],(표2[DWG No.]=C1162)*(ISNUMBER(표2[Rev.])),""),1),6)</f>
        <v>#VALUE!</v>
      </c>
    </row>
    <row r="1163" spans="1:19" ht="18" customHeight="1" x14ac:dyDescent="0.45">
      <c r="A1163" s="64">
        <v>1158</v>
      </c>
      <c r="B1163" s="49" t="s">
        <v>2912</v>
      </c>
      <c r="C1163" s="50" t="s">
        <v>4186</v>
      </c>
      <c r="D1163" s="49">
        <v>156003</v>
      </c>
      <c r="E1163" s="50" t="s">
        <v>4187</v>
      </c>
      <c r="F1163" s="49" t="s">
        <v>5</v>
      </c>
      <c r="G1163" s="48">
        <v>43039</v>
      </c>
      <c r="H1163" s="48">
        <v>43069</v>
      </c>
      <c r="I1163" s="48">
        <v>43039</v>
      </c>
      <c r="J1163" s="49" t="s">
        <v>3083</v>
      </c>
      <c r="K1163" s="58" t="s">
        <v>5</v>
      </c>
      <c r="L1163" s="49" t="s">
        <v>65</v>
      </c>
      <c r="M1163" s="48">
        <v>43041</v>
      </c>
      <c r="N1163" s="49" t="s">
        <v>3084</v>
      </c>
      <c r="O1163" s="49" t="s">
        <v>5</v>
      </c>
      <c r="P1163" s="49" t="s">
        <v>65</v>
      </c>
      <c r="Q1163" s="49" t="s">
        <v>2702</v>
      </c>
      <c r="R1163" s="67" t="e" cm="1">
        <f t="array" ref="R1163">_xlfn.CHOOSECOLS(_xlfn.CHOOSEROWS(_xlfn._xlws.FILTER(표2[],표2[DWG No.]=C1163,""),1),6)</f>
        <v>#VALUE!</v>
      </c>
      <c r="S1163" s="67" t="e" cm="1">
        <f t="array" ref="S1163">_xlfn.CHOOSECOLS(_xlfn.CHOOSEROWS(_xlfn._xlws.FILTER(표2[],(표2[DWG No.]=C1163)*(ISNUMBER(표2[Rev.])),""),1),6)</f>
        <v>#VALUE!</v>
      </c>
    </row>
    <row r="1164" spans="1:19" ht="18" customHeight="1" x14ac:dyDescent="0.45">
      <c r="A1164" s="64">
        <v>1159</v>
      </c>
      <c r="B1164" s="49" t="s">
        <v>2912</v>
      </c>
      <c r="C1164" s="50" t="s">
        <v>4188</v>
      </c>
      <c r="D1164" s="49">
        <v>156006</v>
      </c>
      <c r="E1164" s="50" t="s">
        <v>4189</v>
      </c>
      <c r="F1164" s="49" t="s">
        <v>5</v>
      </c>
      <c r="G1164" s="48">
        <v>43039</v>
      </c>
      <c r="H1164" s="48">
        <v>43069</v>
      </c>
      <c r="I1164" s="48">
        <v>43039</v>
      </c>
      <c r="J1164" s="49" t="s">
        <v>3083</v>
      </c>
      <c r="K1164" s="58" t="s">
        <v>5</v>
      </c>
      <c r="L1164" s="49" t="s">
        <v>65</v>
      </c>
      <c r="M1164" s="48">
        <v>43041</v>
      </c>
      <c r="N1164" s="49" t="s">
        <v>3084</v>
      </c>
      <c r="O1164" s="49" t="s">
        <v>5</v>
      </c>
      <c r="P1164" s="49" t="s">
        <v>65</v>
      </c>
      <c r="Q1164" s="49" t="s">
        <v>2702</v>
      </c>
      <c r="R1164" s="67" t="e" cm="1">
        <f t="array" ref="R1164">_xlfn.CHOOSECOLS(_xlfn.CHOOSEROWS(_xlfn._xlws.FILTER(표2[],표2[DWG No.]=C1164,""),1),6)</f>
        <v>#VALUE!</v>
      </c>
      <c r="S1164" s="67" t="e" cm="1">
        <f t="array" ref="S1164">_xlfn.CHOOSECOLS(_xlfn.CHOOSEROWS(_xlfn._xlws.FILTER(표2[],(표2[DWG No.]=C1164)*(ISNUMBER(표2[Rev.])),""),1),6)</f>
        <v>#VALUE!</v>
      </c>
    </row>
    <row r="1165" spans="1:19" ht="18" customHeight="1" x14ac:dyDescent="0.45">
      <c r="A1165" s="64">
        <v>1160</v>
      </c>
      <c r="B1165" s="49" t="s">
        <v>2912</v>
      </c>
      <c r="C1165" s="50" t="s">
        <v>4190</v>
      </c>
      <c r="D1165" s="49">
        <v>156158</v>
      </c>
      <c r="E1165" s="50" t="s">
        <v>4191</v>
      </c>
      <c r="F1165" s="49" t="s">
        <v>5</v>
      </c>
      <c r="G1165" s="48">
        <v>43039</v>
      </c>
      <c r="H1165" s="48">
        <v>43069</v>
      </c>
      <c r="I1165" s="48">
        <v>43480</v>
      </c>
      <c r="J1165" s="51" t="s">
        <v>4192</v>
      </c>
      <c r="K1165" s="58" t="s">
        <v>7</v>
      </c>
      <c r="L1165" s="49">
        <v>3</v>
      </c>
      <c r="M1165" s="61">
        <v>43502</v>
      </c>
      <c r="N1165" s="51" t="s">
        <v>4193</v>
      </c>
      <c r="O1165" s="49" t="s">
        <v>7</v>
      </c>
      <c r="P1165" s="51">
        <v>3</v>
      </c>
      <c r="Q1165" s="51" t="s">
        <v>160</v>
      </c>
      <c r="R1165" s="67" t="e" cm="1">
        <f t="array" ref="R1165">_xlfn.CHOOSECOLS(_xlfn.CHOOSEROWS(_xlfn._xlws.FILTER(표2[],표2[DWG No.]=C1165,""),1),6)</f>
        <v>#VALUE!</v>
      </c>
      <c r="S1165" s="67" t="e" cm="1">
        <f t="array" ref="S1165">_xlfn.CHOOSECOLS(_xlfn.CHOOSEROWS(_xlfn._xlws.FILTER(표2[],(표2[DWG No.]=C1165)*(ISNUMBER(표2[Rev.])),""),1),6)</f>
        <v>#VALUE!</v>
      </c>
    </row>
    <row r="1166" spans="1:19" ht="18" customHeight="1" x14ac:dyDescent="0.45">
      <c r="A1166" s="64">
        <v>1161</v>
      </c>
      <c r="B1166" s="49" t="s">
        <v>2912</v>
      </c>
      <c r="C1166" s="50" t="s">
        <v>4194</v>
      </c>
      <c r="D1166" s="49">
        <v>156154</v>
      </c>
      <c r="E1166" s="50" t="s">
        <v>4195</v>
      </c>
      <c r="F1166" s="49" t="s">
        <v>5</v>
      </c>
      <c r="G1166" s="48">
        <v>43039</v>
      </c>
      <c r="H1166" s="48">
        <v>43069</v>
      </c>
      <c r="I1166" s="48">
        <v>43399</v>
      </c>
      <c r="J1166" s="51" t="s">
        <v>4196</v>
      </c>
      <c r="K1166" s="58" t="s">
        <v>7</v>
      </c>
      <c r="L1166" s="49">
        <v>1</v>
      </c>
      <c r="M1166" s="61">
        <v>43410</v>
      </c>
      <c r="N1166" s="51" t="s">
        <v>3153</v>
      </c>
      <c r="O1166" s="49" t="s">
        <v>7</v>
      </c>
      <c r="P1166" s="51">
        <v>1</v>
      </c>
      <c r="Q1166" s="51" t="s">
        <v>160</v>
      </c>
      <c r="R1166" s="67" t="e" cm="1">
        <f t="array" ref="R1166">_xlfn.CHOOSECOLS(_xlfn.CHOOSEROWS(_xlfn._xlws.FILTER(표2[],표2[DWG No.]=C1166,""),1),6)</f>
        <v>#VALUE!</v>
      </c>
      <c r="S1166" s="67" t="e" cm="1">
        <f t="array" ref="S1166">_xlfn.CHOOSECOLS(_xlfn.CHOOSEROWS(_xlfn._xlws.FILTER(표2[],(표2[DWG No.]=C1166)*(ISNUMBER(표2[Rev.])),""),1),6)</f>
        <v>#VALUE!</v>
      </c>
    </row>
    <row r="1167" spans="1:19" ht="18" customHeight="1" x14ac:dyDescent="0.45">
      <c r="A1167" s="64">
        <v>1162</v>
      </c>
      <c r="B1167" s="49" t="s">
        <v>2912</v>
      </c>
      <c r="C1167" s="50" t="s">
        <v>4197</v>
      </c>
      <c r="D1167" s="49">
        <v>156152</v>
      </c>
      <c r="E1167" s="50" t="s">
        <v>4198</v>
      </c>
      <c r="F1167" s="49" t="s">
        <v>5</v>
      </c>
      <c r="G1167" s="48">
        <v>43039</v>
      </c>
      <c r="H1167" s="48">
        <v>43069</v>
      </c>
      <c r="I1167" s="48">
        <v>43810</v>
      </c>
      <c r="J1167" s="51" t="s">
        <v>4199</v>
      </c>
      <c r="K1167" s="58" t="s">
        <v>7</v>
      </c>
      <c r="L1167" s="49">
        <v>2</v>
      </c>
      <c r="M1167" s="61"/>
      <c r="N1167" s="51"/>
      <c r="O1167" s="49" t="s">
        <v>7</v>
      </c>
      <c r="P1167" s="49">
        <v>2</v>
      </c>
      <c r="Q1167" s="51" t="s">
        <v>65</v>
      </c>
      <c r="R1167" s="67" t="e" cm="1">
        <f t="array" ref="R1167">_xlfn.CHOOSECOLS(_xlfn.CHOOSEROWS(_xlfn._xlws.FILTER(표2[],표2[DWG No.]=C1167,""),1),6)</f>
        <v>#VALUE!</v>
      </c>
      <c r="S1167" s="67" t="e" cm="1">
        <f t="array" ref="S1167">_xlfn.CHOOSECOLS(_xlfn.CHOOSEROWS(_xlfn._xlws.FILTER(표2[],(표2[DWG No.]=C1167)*(ISNUMBER(표2[Rev.])),""),1),6)</f>
        <v>#VALUE!</v>
      </c>
    </row>
    <row r="1168" spans="1:19" ht="18" customHeight="1" x14ac:dyDescent="0.45">
      <c r="A1168" s="64">
        <v>1163</v>
      </c>
      <c r="B1168" s="49" t="s">
        <v>2912</v>
      </c>
      <c r="C1168" s="50" t="s">
        <v>4200</v>
      </c>
      <c r="D1168" s="49">
        <v>156159</v>
      </c>
      <c r="E1168" s="50" t="s">
        <v>4201</v>
      </c>
      <c r="F1168" s="49" t="s">
        <v>5</v>
      </c>
      <c r="G1168" s="48">
        <v>43080</v>
      </c>
      <c r="H1168" s="48">
        <v>43110</v>
      </c>
      <c r="I1168" s="48">
        <v>43187</v>
      </c>
      <c r="J1168" s="51" t="s">
        <v>4202</v>
      </c>
      <c r="K1168" s="58" t="s">
        <v>7</v>
      </c>
      <c r="L1168" s="49">
        <v>1</v>
      </c>
      <c r="M1168" s="61">
        <v>43208</v>
      </c>
      <c r="N1168" s="51" t="s">
        <v>4203</v>
      </c>
      <c r="O1168" s="49" t="s">
        <v>7</v>
      </c>
      <c r="P1168" s="51">
        <v>1</v>
      </c>
      <c r="Q1168" s="51" t="s">
        <v>5002</v>
      </c>
      <c r="R1168" s="67" t="e" cm="1">
        <f t="array" ref="R1168">_xlfn.CHOOSECOLS(_xlfn.CHOOSEROWS(_xlfn._xlws.FILTER(표2[],표2[DWG No.]=C1168,""),1),6)</f>
        <v>#VALUE!</v>
      </c>
      <c r="S1168" s="67" t="e" cm="1">
        <f t="array" ref="S1168">_xlfn.CHOOSECOLS(_xlfn.CHOOSEROWS(_xlfn._xlws.FILTER(표2[],(표2[DWG No.]=C1168)*(ISNUMBER(표2[Rev.])),""),1),6)</f>
        <v>#VALUE!</v>
      </c>
    </row>
    <row r="1169" spans="1:19" ht="18" customHeight="1" x14ac:dyDescent="0.45">
      <c r="A1169" s="64">
        <v>1164</v>
      </c>
      <c r="B1169" s="49" t="s">
        <v>2912</v>
      </c>
      <c r="C1169" s="50" t="s">
        <v>4204</v>
      </c>
      <c r="D1169" s="49">
        <v>156160</v>
      </c>
      <c r="E1169" s="50" t="s">
        <v>4205</v>
      </c>
      <c r="F1169" s="49" t="s">
        <v>5</v>
      </c>
      <c r="G1169" s="48">
        <v>43080</v>
      </c>
      <c r="H1169" s="48">
        <v>43110</v>
      </c>
      <c r="I1169" s="48">
        <v>43187</v>
      </c>
      <c r="J1169" s="51" t="s">
        <v>4202</v>
      </c>
      <c r="K1169" s="58" t="s">
        <v>7</v>
      </c>
      <c r="L1169" s="49">
        <v>1</v>
      </c>
      <c r="M1169" s="61">
        <v>43208</v>
      </c>
      <c r="N1169" s="51" t="s">
        <v>4203</v>
      </c>
      <c r="O1169" s="49" t="s">
        <v>7</v>
      </c>
      <c r="P1169" s="51">
        <v>1</v>
      </c>
      <c r="Q1169" s="51" t="s">
        <v>5002</v>
      </c>
      <c r="R1169" s="67" t="e" cm="1">
        <f t="array" ref="R1169">_xlfn.CHOOSECOLS(_xlfn.CHOOSEROWS(_xlfn._xlws.FILTER(표2[],표2[DWG No.]=C1169,""),1),6)</f>
        <v>#VALUE!</v>
      </c>
      <c r="S1169" s="67" t="e" cm="1">
        <f t="array" ref="S1169">_xlfn.CHOOSECOLS(_xlfn.CHOOSEROWS(_xlfn._xlws.FILTER(표2[],(표2[DWG No.]=C1169)*(ISNUMBER(표2[Rev.])),""),1),6)</f>
        <v>#VALUE!</v>
      </c>
    </row>
    <row r="1170" spans="1:19" ht="18" customHeight="1" x14ac:dyDescent="0.45">
      <c r="A1170" s="64">
        <v>1165</v>
      </c>
      <c r="B1170" s="49" t="s">
        <v>2912</v>
      </c>
      <c r="C1170" s="50" t="s">
        <v>4206</v>
      </c>
      <c r="D1170" s="49">
        <v>156285</v>
      </c>
      <c r="E1170" s="50" t="s">
        <v>4207</v>
      </c>
      <c r="F1170" s="49" t="s">
        <v>5</v>
      </c>
      <c r="G1170" s="48">
        <v>43039</v>
      </c>
      <c r="H1170" s="48">
        <v>43069</v>
      </c>
      <c r="I1170" s="48">
        <v>43039</v>
      </c>
      <c r="J1170" s="49" t="s">
        <v>3083</v>
      </c>
      <c r="K1170" s="58" t="s">
        <v>5</v>
      </c>
      <c r="L1170" s="49" t="s">
        <v>65</v>
      </c>
      <c r="M1170" s="48">
        <v>43041</v>
      </c>
      <c r="N1170" s="49" t="s">
        <v>3084</v>
      </c>
      <c r="O1170" s="49" t="s">
        <v>5</v>
      </c>
      <c r="P1170" s="49" t="s">
        <v>65</v>
      </c>
      <c r="Q1170" s="49" t="s">
        <v>2702</v>
      </c>
      <c r="R1170" s="67" t="e" cm="1">
        <f t="array" ref="R1170">_xlfn.CHOOSECOLS(_xlfn.CHOOSEROWS(_xlfn._xlws.FILTER(표2[],표2[DWG No.]=C1170,""),1),6)</f>
        <v>#VALUE!</v>
      </c>
      <c r="S1170" s="67" t="e" cm="1">
        <f t="array" ref="S1170">_xlfn.CHOOSECOLS(_xlfn.CHOOSEROWS(_xlfn._xlws.FILTER(표2[],(표2[DWG No.]=C1170)*(ISNUMBER(표2[Rev.])),""),1),6)</f>
        <v>#VALUE!</v>
      </c>
    </row>
    <row r="1171" spans="1:19" ht="18" customHeight="1" x14ac:dyDescent="0.45">
      <c r="A1171" s="64">
        <v>1166</v>
      </c>
      <c r="B1171" s="49" t="s">
        <v>2912</v>
      </c>
      <c r="C1171" s="50" t="s">
        <v>4208</v>
      </c>
      <c r="D1171" s="49">
        <v>156286</v>
      </c>
      <c r="E1171" s="50" t="s">
        <v>4207</v>
      </c>
      <c r="F1171" s="49" t="s">
        <v>5</v>
      </c>
      <c r="G1171" s="48">
        <v>43039</v>
      </c>
      <c r="H1171" s="48">
        <v>43069</v>
      </c>
      <c r="I1171" s="48">
        <v>43039</v>
      </c>
      <c r="J1171" s="49" t="s">
        <v>3083</v>
      </c>
      <c r="K1171" s="58" t="s">
        <v>5</v>
      </c>
      <c r="L1171" s="49" t="s">
        <v>65</v>
      </c>
      <c r="M1171" s="48">
        <v>43041</v>
      </c>
      <c r="N1171" s="49" t="s">
        <v>3084</v>
      </c>
      <c r="O1171" s="49" t="s">
        <v>5</v>
      </c>
      <c r="P1171" s="49" t="s">
        <v>65</v>
      </c>
      <c r="Q1171" s="49" t="s">
        <v>2702</v>
      </c>
      <c r="R1171" s="67" t="e" cm="1">
        <f t="array" ref="R1171">_xlfn.CHOOSECOLS(_xlfn.CHOOSEROWS(_xlfn._xlws.FILTER(표2[],표2[DWG No.]=C1171,""),1),6)</f>
        <v>#VALUE!</v>
      </c>
      <c r="S1171" s="67" t="e" cm="1">
        <f t="array" ref="S1171">_xlfn.CHOOSECOLS(_xlfn.CHOOSEROWS(_xlfn._xlws.FILTER(표2[],(표2[DWG No.]=C1171)*(ISNUMBER(표2[Rev.])),""),1),6)</f>
        <v>#VALUE!</v>
      </c>
    </row>
    <row r="1172" spans="1:19" ht="18" customHeight="1" x14ac:dyDescent="0.45">
      <c r="A1172" s="64">
        <v>1167</v>
      </c>
      <c r="B1172" s="49" t="s">
        <v>2912</v>
      </c>
      <c r="C1172" s="50" t="s">
        <v>4209</v>
      </c>
      <c r="D1172" s="49">
        <v>156004</v>
      </c>
      <c r="E1172" s="50" t="s">
        <v>4210</v>
      </c>
      <c r="F1172" s="49" t="s">
        <v>5</v>
      </c>
      <c r="G1172" s="48">
        <v>43039</v>
      </c>
      <c r="H1172" s="48">
        <v>43069</v>
      </c>
      <c r="I1172" s="48">
        <v>43039</v>
      </c>
      <c r="J1172" s="49" t="s">
        <v>3083</v>
      </c>
      <c r="K1172" s="58" t="s">
        <v>5</v>
      </c>
      <c r="L1172" s="49" t="s">
        <v>65</v>
      </c>
      <c r="M1172" s="48">
        <v>43041</v>
      </c>
      <c r="N1172" s="49" t="s">
        <v>3084</v>
      </c>
      <c r="O1172" s="49" t="s">
        <v>5</v>
      </c>
      <c r="P1172" s="49" t="s">
        <v>65</v>
      </c>
      <c r="Q1172" s="49" t="s">
        <v>2702</v>
      </c>
      <c r="R1172" s="67" t="e" cm="1">
        <f t="array" ref="R1172">_xlfn.CHOOSECOLS(_xlfn.CHOOSEROWS(_xlfn._xlws.FILTER(표2[],표2[DWG No.]=C1172,""),1),6)</f>
        <v>#VALUE!</v>
      </c>
      <c r="S1172" s="67" t="e" cm="1">
        <f t="array" ref="S1172">_xlfn.CHOOSECOLS(_xlfn.CHOOSEROWS(_xlfn._xlws.FILTER(표2[],(표2[DWG No.]=C1172)*(ISNUMBER(표2[Rev.])),""),1),6)</f>
        <v>#VALUE!</v>
      </c>
    </row>
    <row r="1173" spans="1:19" ht="18" customHeight="1" x14ac:dyDescent="0.45">
      <c r="A1173" s="64">
        <v>1168</v>
      </c>
      <c r="B1173" s="49" t="s">
        <v>2912</v>
      </c>
      <c r="C1173" s="50" t="s">
        <v>4211</v>
      </c>
      <c r="D1173" s="49">
        <v>156357</v>
      </c>
      <c r="E1173" s="50" t="s">
        <v>4212</v>
      </c>
      <c r="F1173" s="49" t="s">
        <v>5</v>
      </c>
      <c r="G1173" s="48">
        <v>43053</v>
      </c>
      <c r="H1173" s="48">
        <v>43083</v>
      </c>
      <c r="I1173" s="48">
        <v>43053</v>
      </c>
      <c r="J1173" s="49" t="s">
        <v>4213</v>
      </c>
      <c r="K1173" s="58" t="s">
        <v>5</v>
      </c>
      <c r="L1173" s="49" t="s">
        <v>65</v>
      </c>
      <c r="M1173" s="48">
        <v>43060</v>
      </c>
      <c r="N1173" s="49" t="s">
        <v>4214</v>
      </c>
      <c r="O1173" s="49" t="s">
        <v>5</v>
      </c>
      <c r="P1173" s="49" t="s">
        <v>65</v>
      </c>
      <c r="Q1173" s="49" t="s">
        <v>2702</v>
      </c>
      <c r="R1173" s="67" t="e" cm="1">
        <f t="array" ref="R1173">_xlfn.CHOOSECOLS(_xlfn.CHOOSEROWS(_xlfn._xlws.FILTER(표2[],표2[DWG No.]=C1173,""),1),6)</f>
        <v>#VALUE!</v>
      </c>
      <c r="S1173" s="67" t="e" cm="1">
        <f t="array" ref="S1173">_xlfn.CHOOSECOLS(_xlfn.CHOOSEROWS(_xlfn._xlws.FILTER(표2[],(표2[DWG No.]=C1173)*(ISNUMBER(표2[Rev.])),""),1),6)</f>
        <v>#VALUE!</v>
      </c>
    </row>
    <row r="1174" spans="1:19" ht="18" customHeight="1" x14ac:dyDescent="0.45">
      <c r="A1174" s="64">
        <v>1169</v>
      </c>
      <c r="B1174" s="49" t="s">
        <v>2912</v>
      </c>
      <c r="C1174" s="50" t="s">
        <v>4215</v>
      </c>
      <c r="D1174" s="49">
        <v>156358</v>
      </c>
      <c r="E1174" s="50" t="s">
        <v>4216</v>
      </c>
      <c r="F1174" s="49" t="s">
        <v>5</v>
      </c>
      <c r="G1174" s="48">
        <v>43053</v>
      </c>
      <c r="H1174" s="48">
        <v>43083</v>
      </c>
      <c r="I1174" s="48">
        <v>43053</v>
      </c>
      <c r="J1174" s="49" t="s">
        <v>4213</v>
      </c>
      <c r="K1174" s="58" t="s">
        <v>5</v>
      </c>
      <c r="L1174" s="49" t="s">
        <v>65</v>
      </c>
      <c r="M1174" s="48">
        <v>43060</v>
      </c>
      <c r="N1174" s="49" t="s">
        <v>4214</v>
      </c>
      <c r="O1174" s="49" t="s">
        <v>5</v>
      </c>
      <c r="P1174" s="49" t="s">
        <v>65</v>
      </c>
      <c r="Q1174" s="49" t="s">
        <v>2702</v>
      </c>
      <c r="R1174" s="67" t="e" cm="1">
        <f t="array" ref="R1174">_xlfn.CHOOSECOLS(_xlfn.CHOOSEROWS(_xlfn._xlws.FILTER(표2[],표2[DWG No.]=C1174,""),1),6)</f>
        <v>#VALUE!</v>
      </c>
      <c r="S1174" s="67" t="e" cm="1">
        <f t="array" ref="S1174">_xlfn.CHOOSECOLS(_xlfn.CHOOSEROWS(_xlfn._xlws.FILTER(표2[],(표2[DWG No.]=C1174)*(ISNUMBER(표2[Rev.])),""),1),6)</f>
        <v>#VALUE!</v>
      </c>
    </row>
    <row r="1175" spans="1:19" ht="18" customHeight="1" x14ac:dyDescent="0.45">
      <c r="A1175" s="64">
        <v>1170</v>
      </c>
      <c r="B1175" s="49" t="s">
        <v>2912</v>
      </c>
      <c r="C1175" s="50" t="s">
        <v>4217</v>
      </c>
      <c r="D1175" s="49">
        <v>156363</v>
      </c>
      <c r="E1175" s="50" t="s">
        <v>4218</v>
      </c>
      <c r="F1175" s="49" t="s">
        <v>5</v>
      </c>
      <c r="G1175" s="48">
        <v>43053</v>
      </c>
      <c r="H1175" s="48">
        <v>43083</v>
      </c>
      <c r="I1175" s="48">
        <v>43053</v>
      </c>
      <c r="J1175" s="49" t="s">
        <v>4213</v>
      </c>
      <c r="K1175" s="58" t="s">
        <v>5</v>
      </c>
      <c r="L1175" s="49" t="s">
        <v>65</v>
      </c>
      <c r="M1175" s="48">
        <v>43060</v>
      </c>
      <c r="N1175" s="49" t="s">
        <v>4214</v>
      </c>
      <c r="O1175" s="49" t="s">
        <v>5</v>
      </c>
      <c r="P1175" s="49" t="s">
        <v>65</v>
      </c>
      <c r="Q1175" s="49" t="s">
        <v>2702</v>
      </c>
      <c r="R1175" s="67" t="e" cm="1">
        <f t="array" ref="R1175">_xlfn.CHOOSECOLS(_xlfn.CHOOSEROWS(_xlfn._xlws.FILTER(표2[],표2[DWG No.]=C1175,""),1),6)</f>
        <v>#VALUE!</v>
      </c>
      <c r="S1175" s="67" t="e" cm="1">
        <f t="array" ref="S1175">_xlfn.CHOOSECOLS(_xlfn.CHOOSEROWS(_xlfn._xlws.FILTER(표2[],(표2[DWG No.]=C1175)*(ISNUMBER(표2[Rev.])),""),1),6)</f>
        <v>#VALUE!</v>
      </c>
    </row>
    <row r="1176" spans="1:19" ht="18" customHeight="1" x14ac:dyDescent="0.45">
      <c r="A1176" s="64">
        <v>1171</v>
      </c>
      <c r="B1176" s="49" t="s">
        <v>2912</v>
      </c>
      <c r="C1176" s="50" t="s">
        <v>4219</v>
      </c>
      <c r="D1176" s="49">
        <v>156364</v>
      </c>
      <c r="E1176" s="50" t="s">
        <v>4220</v>
      </c>
      <c r="F1176" s="49" t="s">
        <v>5</v>
      </c>
      <c r="G1176" s="48">
        <v>43053</v>
      </c>
      <c r="H1176" s="48">
        <v>43083</v>
      </c>
      <c r="I1176" s="48">
        <v>43053</v>
      </c>
      <c r="J1176" s="49" t="s">
        <v>4213</v>
      </c>
      <c r="K1176" s="58" t="s">
        <v>5</v>
      </c>
      <c r="L1176" s="49" t="s">
        <v>65</v>
      </c>
      <c r="M1176" s="48">
        <v>43060</v>
      </c>
      <c r="N1176" s="49" t="s">
        <v>4214</v>
      </c>
      <c r="O1176" s="49" t="s">
        <v>5</v>
      </c>
      <c r="P1176" s="49" t="s">
        <v>65</v>
      </c>
      <c r="Q1176" s="49" t="s">
        <v>2702</v>
      </c>
      <c r="R1176" s="67" t="e" cm="1">
        <f t="array" ref="R1176">_xlfn.CHOOSECOLS(_xlfn.CHOOSEROWS(_xlfn._xlws.FILTER(표2[],표2[DWG No.]=C1176,""),1),6)</f>
        <v>#VALUE!</v>
      </c>
      <c r="S1176" s="67" t="e" cm="1">
        <f t="array" ref="S1176">_xlfn.CHOOSECOLS(_xlfn.CHOOSEROWS(_xlfn._xlws.FILTER(표2[],(표2[DWG No.]=C1176)*(ISNUMBER(표2[Rev.])),""),1),6)</f>
        <v>#VALUE!</v>
      </c>
    </row>
    <row r="1177" spans="1:19" ht="18" customHeight="1" x14ac:dyDescent="0.45">
      <c r="A1177" s="64">
        <v>1172</v>
      </c>
      <c r="B1177" s="49" t="s">
        <v>2912</v>
      </c>
      <c r="C1177" s="50" t="s">
        <v>4221</v>
      </c>
      <c r="D1177" s="49">
        <v>156376</v>
      </c>
      <c r="E1177" s="50" t="s">
        <v>4222</v>
      </c>
      <c r="F1177" s="49" t="s">
        <v>6</v>
      </c>
      <c r="G1177" s="48">
        <v>43053</v>
      </c>
      <c r="H1177" s="48">
        <v>43083</v>
      </c>
      <c r="I1177" s="48">
        <v>43539</v>
      </c>
      <c r="J1177" s="49" t="s">
        <v>3274</v>
      </c>
      <c r="K1177" s="58" t="s">
        <v>7</v>
      </c>
      <c r="L1177" s="49">
        <v>0</v>
      </c>
      <c r="M1177" s="48">
        <v>43539</v>
      </c>
      <c r="N1177" s="49" t="s">
        <v>3275</v>
      </c>
      <c r="O1177" s="49" t="s">
        <v>7</v>
      </c>
      <c r="P1177" s="49">
        <v>0</v>
      </c>
      <c r="Q1177" s="51" t="s">
        <v>5002</v>
      </c>
      <c r="R1177" s="67" t="e" cm="1">
        <f t="array" ref="R1177">_xlfn.CHOOSECOLS(_xlfn.CHOOSEROWS(_xlfn._xlws.FILTER(표2[],표2[DWG No.]=C1177,""),1),6)</f>
        <v>#VALUE!</v>
      </c>
      <c r="S1177" s="67" t="e" cm="1">
        <f t="array" ref="S1177">_xlfn.CHOOSECOLS(_xlfn.CHOOSEROWS(_xlfn._xlws.FILTER(표2[],(표2[DWG No.]=C1177)*(ISNUMBER(표2[Rev.])),""),1),6)</f>
        <v>#VALUE!</v>
      </c>
    </row>
    <row r="1178" spans="1:19" ht="18" customHeight="1" x14ac:dyDescent="0.45">
      <c r="A1178" s="64">
        <v>1173</v>
      </c>
      <c r="B1178" s="49" t="s">
        <v>2912</v>
      </c>
      <c r="C1178" s="50" t="s">
        <v>4223</v>
      </c>
      <c r="D1178" s="49">
        <v>156379</v>
      </c>
      <c r="E1178" s="50" t="s">
        <v>4224</v>
      </c>
      <c r="F1178" s="49" t="s">
        <v>5</v>
      </c>
      <c r="G1178" s="48">
        <v>43053</v>
      </c>
      <c r="H1178" s="48">
        <v>43083</v>
      </c>
      <c r="I1178" s="48">
        <v>43539</v>
      </c>
      <c r="J1178" s="49" t="s">
        <v>3274</v>
      </c>
      <c r="K1178" s="58" t="s">
        <v>7</v>
      </c>
      <c r="L1178" s="49">
        <v>0</v>
      </c>
      <c r="M1178" s="48">
        <v>43539</v>
      </c>
      <c r="N1178" s="49" t="s">
        <v>3275</v>
      </c>
      <c r="O1178" s="49" t="s">
        <v>7</v>
      </c>
      <c r="P1178" s="49">
        <v>0</v>
      </c>
      <c r="Q1178" s="51" t="s">
        <v>5002</v>
      </c>
      <c r="R1178" s="67" t="e" cm="1">
        <f t="array" ref="R1178">_xlfn.CHOOSECOLS(_xlfn.CHOOSEROWS(_xlfn._xlws.FILTER(표2[],표2[DWG No.]=C1178,""),1),6)</f>
        <v>#VALUE!</v>
      </c>
      <c r="S1178" s="67" t="e" cm="1">
        <f t="array" ref="S1178">_xlfn.CHOOSECOLS(_xlfn.CHOOSEROWS(_xlfn._xlws.FILTER(표2[],(표2[DWG No.]=C1178)*(ISNUMBER(표2[Rev.])),""),1),6)</f>
        <v>#VALUE!</v>
      </c>
    </row>
    <row r="1179" spans="1:19" ht="18" customHeight="1" x14ac:dyDescent="0.45">
      <c r="A1179" s="64">
        <v>1174</v>
      </c>
      <c r="B1179" s="49" t="s">
        <v>2912</v>
      </c>
      <c r="C1179" s="50" t="s">
        <v>4225</v>
      </c>
      <c r="D1179" s="49">
        <v>156243</v>
      </c>
      <c r="E1179" s="50" t="s">
        <v>4226</v>
      </c>
      <c r="F1179" s="49" t="s">
        <v>6</v>
      </c>
      <c r="G1179" s="48">
        <v>43055</v>
      </c>
      <c r="H1179" s="48">
        <v>43085</v>
      </c>
      <c r="I1179" s="48">
        <v>43395</v>
      </c>
      <c r="J1179" s="51" t="s">
        <v>4227</v>
      </c>
      <c r="K1179" s="58" t="s">
        <v>7</v>
      </c>
      <c r="L1179" s="49">
        <v>2</v>
      </c>
      <c r="M1179" s="61">
        <v>43409</v>
      </c>
      <c r="N1179" s="51" t="s">
        <v>3153</v>
      </c>
      <c r="O1179" s="49" t="s">
        <v>7</v>
      </c>
      <c r="P1179" s="51">
        <v>2</v>
      </c>
      <c r="Q1179" s="51" t="s">
        <v>5002</v>
      </c>
      <c r="R1179" s="67" t="e" cm="1">
        <f t="array" ref="R1179">_xlfn.CHOOSECOLS(_xlfn.CHOOSEROWS(_xlfn._xlws.FILTER(표2[],표2[DWG No.]=C1179,""),1),6)</f>
        <v>#VALUE!</v>
      </c>
      <c r="S1179" s="67" t="e" cm="1">
        <f t="array" ref="S1179">_xlfn.CHOOSECOLS(_xlfn.CHOOSEROWS(_xlfn._xlws.FILTER(표2[],(표2[DWG No.]=C1179)*(ISNUMBER(표2[Rev.])),""),1),6)</f>
        <v>#VALUE!</v>
      </c>
    </row>
    <row r="1180" spans="1:19" ht="18" customHeight="1" x14ac:dyDescent="0.45">
      <c r="A1180" s="64">
        <v>1175</v>
      </c>
      <c r="B1180" s="49" t="s">
        <v>2912</v>
      </c>
      <c r="C1180" s="50" t="s">
        <v>4228</v>
      </c>
      <c r="D1180" s="49">
        <v>156240</v>
      </c>
      <c r="E1180" s="50" t="s">
        <v>4229</v>
      </c>
      <c r="F1180" s="49" t="s">
        <v>6</v>
      </c>
      <c r="G1180" s="48">
        <v>43055</v>
      </c>
      <c r="H1180" s="48">
        <v>43085</v>
      </c>
      <c r="I1180" s="48">
        <v>43395</v>
      </c>
      <c r="J1180" s="51" t="s">
        <v>4227</v>
      </c>
      <c r="K1180" s="58" t="s">
        <v>7</v>
      </c>
      <c r="L1180" s="49">
        <v>1</v>
      </c>
      <c r="M1180" s="61">
        <v>43409</v>
      </c>
      <c r="N1180" s="51" t="s">
        <v>3153</v>
      </c>
      <c r="O1180" s="49" t="s">
        <v>7</v>
      </c>
      <c r="P1180" s="51">
        <v>1</v>
      </c>
      <c r="Q1180" s="51" t="s">
        <v>5002</v>
      </c>
      <c r="R1180" s="67" t="e" cm="1">
        <f t="array" ref="R1180">_xlfn.CHOOSECOLS(_xlfn.CHOOSEROWS(_xlfn._xlws.FILTER(표2[],표2[DWG No.]=C1180,""),1),6)</f>
        <v>#VALUE!</v>
      </c>
      <c r="S1180" s="67" t="e" cm="1">
        <f t="array" ref="S1180">_xlfn.CHOOSECOLS(_xlfn.CHOOSEROWS(_xlfn._xlws.FILTER(표2[],(표2[DWG No.]=C1180)*(ISNUMBER(표2[Rev.])),""),1),6)</f>
        <v>#VALUE!</v>
      </c>
    </row>
    <row r="1181" spans="1:19" ht="18" customHeight="1" x14ac:dyDescent="0.45">
      <c r="A1181" s="64">
        <v>1176</v>
      </c>
      <c r="B1181" s="49" t="s">
        <v>2912</v>
      </c>
      <c r="C1181" s="50" t="s">
        <v>4230</v>
      </c>
      <c r="D1181" s="49">
        <v>156179</v>
      </c>
      <c r="E1181" s="50" t="s">
        <v>4231</v>
      </c>
      <c r="F1181" s="49" t="s">
        <v>6</v>
      </c>
      <c r="G1181" s="48">
        <v>43055</v>
      </c>
      <c r="H1181" s="48">
        <v>43085</v>
      </c>
      <c r="I1181" s="48">
        <v>43087</v>
      </c>
      <c r="J1181" s="49" t="s">
        <v>4232</v>
      </c>
      <c r="K1181" s="58" t="s">
        <v>5032</v>
      </c>
      <c r="L1181" s="49" t="s">
        <v>160</v>
      </c>
      <c r="M1181" s="48">
        <v>43091</v>
      </c>
      <c r="N1181" s="49" t="s">
        <v>4233</v>
      </c>
      <c r="O1181" s="49" t="s">
        <v>6</v>
      </c>
      <c r="P1181" s="49" t="s">
        <v>160</v>
      </c>
      <c r="Q1181" s="51" t="s">
        <v>65</v>
      </c>
      <c r="R1181" s="67" t="e" cm="1">
        <f t="array" ref="R1181">_xlfn.CHOOSECOLS(_xlfn.CHOOSEROWS(_xlfn._xlws.FILTER(표2[],표2[DWG No.]=C1181,""),1),6)</f>
        <v>#VALUE!</v>
      </c>
      <c r="S1181" s="67" t="e" cm="1">
        <f t="array" ref="S1181">_xlfn.CHOOSECOLS(_xlfn.CHOOSEROWS(_xlfn._xlws.FILTER(표2[],(표2[DWG No.]=C1181)*(ISNUMBER(표2[Rev.])),""),1),6)</f>
        <v>#VALUE!</v>
      </c>
    </row>
    <row r="1182" spans="1:19" ht="18" customHeight="1" x14ac:dyDescent="0.45">
      <c r="A1182" s="64">
        <v>1177</v>
      </c>
      <c r="B1182" s="49" t="s">
        <v>2912</v>
      </c>
      <c r="C1182" s="50" t="s">
        <v>4234</v>
      </c>
      <c r="D1182" s="49">
        <v>156190</v>
      </c>
      <c r="E1182" s="50" t="s">
        <v>4235</v>
      </c>
      <c r="F1182" s="49" t="s">
        <v>6</v>
      </c>
      <c r="G1182" s="48">
        <v>43055</v>
      </c>
      <c r="H1182" s="48">
        <v>43085</v>
      </c>
      <c r="I1182" s="48">
        <v>43395</v>
      </c>
      <c r="J1182" s="51" t="s">
        <v>4227</v>
      </c>
      <c r="K1182" s="58" t="s">
        <v>7</v>
      </c>
      <c r="L1182" s="49">
        <v>2</v>
      </c>
      <c r="M1182" s="61">
        <v>43409</v>
      </c>
      <c r="N1182" s="51" t="s">
        <v>3153</v>
      </c>
      <c r="O1182" s="49" t="s">
        <v>7</v>
      </c>
      <c r="P1182" s="51">
        <v>2</v>
      </c>
      <c r="Q1182" s="51" t="s">
        <v>5002</v>
      </c>
      <c r="R1182" s="67" t="e" cm="1">
        <f t="array" ref="R1182">_xlfn.CHOOSECOLS(_xlfn.CHOOSEROWS(_xlfn._xlws.FILTER(표2[],표2[DWG No.]=C1182,""),1),6)</f>
        <v>#VALUE!</v>
      </c>
      <c r="S1182" s="67" t="e" cm="1">
        <f t="array" ref="S1182">_xlfn.CHOOSECOLS(_xlfn.CHOOSEROWS(_xlfn._xlws.FILTER(표2[],(표2[DWG No.]=C1182)*(ISNUMBER(표2[Rev.])),""),1),6)</f>
        <v>#VALUE!</v>
      </c>
    </row>
    <row r="1183" spans="1:19" ht="18" customHeight="1" x14ac:dyDescent="0.45">
      <c r="A1183" s="64">
        <v>1178</v>
      </c>
      <c r="B1183" s="49" t="s">
        <v>2912</v>
      </c>
      <c r="C1183" s="50" t="s">
        <v>4236</v>
      </c>
      <c r="D1183" s="49">
        <v>156304</v>
      </c>
      <c r="E1183" s="50" t="s">
        <v>4237</v>
      </c>
      <c r="F1183" s="49" t="s">
        <v>5</v>
      </c>
      <c r="G1183" s="48">
        <v>43017</v>
      </c>
      <c r="H1183" s="48">
        <v>43047</v>
      </c>
      <c r="I1183" s="48">
        <v>43199</v>
      </c>
      <c r="J1183" s="49" t="s">
        <v>4238</v>
      </c>
      <c r="K1183" s="58" t="s">
        <v>7</v>
      </c>
      <c r="L1183" s="49">
        <v>1</v>
      </c>
      <c r="M1183" s="48">
        <v>43378</v>
      </c>
      <c r="N1183" s="52" t="s">
        <v>3153</v>
      </c>
      <c r="O1183" s="49" t="s">
        <v>7</v>
      </c>
      <c r="P1183" s="74">
        <v>1</v>
      </c>
      <c r="Q1183" s="49" t="s">
        <v>160</v>
      </c>
      <c r="R1183" s="67" t="e" cm="1">
        <f t="array" ref="R1183">_xlfn.CHOOSECOLS(_xlfn.CHOOSEROWS(_xlfn._xlws.FILTER(표2[],표2[DWG No.]=C1183,""),1),6)</f>
        <v>#VALUE!</v>
      </c>
      <c r="S1183" s="67" t="e" cm="1">
        <f t="array" ref="S1183">_xlfn.CHOOSECOLS(_xlfn.CHOOSEROWS(_xlfn._xlws.FILTER(표2[],(표2[DWG No.]=C1183)*(ISNUMBER(표2[Rev.])),""),1),6)</f>
        <v>#VALUE!</v>
      </c>
    </row>
    <row r="1184" spans="1:19" ht="18" customHeight="1" x14ac:dyDescent="0.45">
      <c r="A1184" s="64">
        <v>1179</v>
      </c>
      <c r="B1184" s="49" t="s">
        <v>2912</v>
      </c>
      <c r="C1184" s="50" t="s">
        <v>4239</v>
      </c>
      <c r="D1184" s="49">
        <v>156305</v>
      </c>
      <c r="E1184" s="50" t="s">
        <v>4240</v>
      </c>
      <c r="F1184" s="49" t="s">
        <v>5</v>
      </c>
      <c r="G1184" s="48">
        <v>43017</v>
      </c>
      <c r="H1184" s="48">
        <v>43047</v>
      </c>
      <c r="I1184" s="48">
        <v>43199</v>
      </c>
      <c r="J1184" s="49" t="s">
        <v>4238</v>
      </c>
      <c r="K1184" s="58" t="s">
        <v>7</v>
      </c>
      <c r="L1184" s="49">
        <v>1</v>
      </c>
      <c r="M1184" s="48">
        <v>43378</v>
      </c>
      <c r="N1184" s="52" t="s">
        <v>3153</v>
      </c>
      <c r="O1184" s="49" t="s">
        <v>7</v>
      </c>
      <c r="P1184" s="74">
        <v>1</v>
      </c>
      <c r="Q1184" s="49" t="s">
        <v>160</v>
      </c>
      <c r="R1184" s="67" t="e" cm="1">
        <f t="array" ref="R1184">_xlfn.CHOOSECOLS(_xlfn.CHOOSEROWS(_xlfn._xlws.FILTER(표2[],표2[DWG No.]=C1184,""),1),6)</f>
        <v>#VALUE!</v>
      </c>
      <c r="S1184" s="67" t="e" cm="1">
        <f t="array" ref="S1184">_xlfn.CHOOSECOLS(_xlfn.CHOOSEROWS(_xlfn._xlws.FILTER(표2[],(표2[DWG No.]=C1184)*(ISNUMBER(표2[Rev.])),""),1),6)</f>
        <v>#VALUE!</v>
      </c>
    </row>
    <row r="1185" spans="1:19" ht="18" customHeight="1" x14ac:dyDescent="0.45">
      <c r="A1185" s="64">
        <v>1180</v>
      </c>
      <c r="B1185" s="49" t="s">
        <v>2912</v>
      </c>
      <c r="C1185" s="50" t="s">
        <v>4241</v>
      </c>
      <c r="D1185" s="49">
        <v>156314</v>
      </c>
      <c r="E1185" s="50" t="s">
        <v>4242</v>
      </c>
      <c r="F1185" s="49" t="s">
        <v>5</v>
      </c>
      <c r="G1185" s="48">
        <v>43082</v>
      </c>
      <c r="H1185" s="48">
        <v>43112</v>
      </c>
      <c r="I1185" s="48">
        <v>43347</v>
      </c>
      <c r="J1185" s="51" t="s">
        <v>4238</v>
      </c>
      <c r="K1185" s="58" t="s">
        <v>7</v>
      </c>
      <c r="L1185" s="49">
        <v>1</v>
      </c>
      <c r="M1185" s="48">
        <v>43378</v>
      </c>
      <c r="N1185" s="52" t="s">
        <v>3153</v>
      </c>
      <c r="O1185" s="49" t="s">
        <v>7</v>
      </c>
      <c r="P1185" s="74">
        <v>1</v>
      </c>
      <c r="Q1185" s="49" t="s">
        <v>160</v>
      </c>
      <c r="R1185" s="67" t="e" cm="1">
        <f t="array" ref="R1185">_xlfn.CHOOSECOLS(_xlfn.CHOOSEROWS(_xlfn._xlws.FILTER(표2[],표2[DWG No.]=C1185,""),1),6)</f>
        <v>#VALUE!</v>
      </c>
      <c r="S1185" s="67" t="e" cm="1">
        <f t="array" ref="S1185">_xlfn.CHOOSECOLS(_xlfn.CHOOSEROWS(_xlfn._xlws.FILTER(표2[],(표2[DWG No.]=C1185)*(ISNUMBER(표2[Rev.])),""),1),6)</f>
        <v>#VALUE!</v>
      </c>
    </row>
    <row r="1186" spans="1:19" ht="18" customHeight="1" x14ac:dyDescent="0.45">
      <c r="A1186" s="64">
        <v>1181</v>
      </c>
      <c r="B1186" s="49" t="s">
        <v>2912</v>
      </c>
      <c r="C1186" s="50" t="s">
        <v>4243</v>
      </c>
      <c r="D1186" s="49">
        <v>156316</v>
      </c>
      <c r="E1186" s="50" t="s">
        <v>4244</v>
      </c>
      <c r="F1186" s="49" t="s">
        <v>5</v>
      </c>
      <c r="G1186" s="48">
        <v>43082</v>
      </c>
      <c r="H1186" s="48">
        <v>43112</v>
      </c>
      <c r="I1186" s="48">
        <v>43199</v>
      </c>
      <c r="J1186" s="49" t="s">
        <v>4238</v>
      </c>
      <c r="K1186" s="58" t="s">
        <v>7</v>
      </c>
      <c r="L1186" s="49">
        <v>1</v>
      </c>
      <c r="M1186" s="48">
        <v>43378</v>
      </c>
      <c r="N1186" s="52" t="s">
        <v>3153</v>
      </c>
      <c r="O1186" s="49" t="s">
        <v>7</v>
      </c>
      <c r="P1186" s="74">
        <v>1</v>
      </c>
      <c r="Q1186" s="49" t="s">
        <v>160</v>
      </c>
      <c r="R1186" s="67" t="e" cm="1">
        <f t="array" ref="R1186">_xlfn.CHOOSECOLS(_xlfn.CHOOSEROWS(_xlfn._xlws.FILTER(표2[],표2[DWG No.]=C1186,""),1),6)</f>
        <v>#VALUE!</v>
      </c>
      <c r="S1186" s="67" t="e" cm="1">
        <f t="array" ref="S1186">_xlfn.CHOOSECOLS(_xlfn.CHOOSEROWS(_xlfn._xlws.FILTER(표2[],(표2[DWG No.]=C1186)*(ISNUMBER(표2[Rev.])),""),1),6)</f>
        <v>#VALUE!</v>
      </c>
    </row>
    <row r="1187" spans="1:19" ht="18" customHeight="1" x14ac:dyDescent="0.45">
      <c r="A1187" s="64">
        <v>1182</v>
      </c>
      <c r="B1187" s="49" t="s">
        <v>2912</v>
      </c>
      <c r="C1187" s="50" t="s">
        <v>4245</v>
      </c>
      <c r="D1187" s="49">
        <v>156123</v>
      </c>
      <c r="E1187" s="50" t="s">
        <v>4246</v>
      </c>
      <c r="F1187" s="49" t="s">
        <v>5</v>
      </c>
      <c r="G1187" s="48">
        <v>43056</v>
      </c>
      <c r="H1187" s="48">
        <v>43086</v>
      </c>
      <c r="I1187" s="48">
        <v>43056</v>
      </c>
      <c r="J1187" s="49" t="s">
        <v>3473</v>
      </c>
      <c r="K1187" s="58" t="s">
        <v>5</v>
      </c>
      <c r="L1187" s="49" t="s">
        <v>65</v>
      </c>
      <c r="M1187" s="48">
        <v>43378</v>
      </c>
      <c r="N1187" s="49" t="s">
        <v>4214</v>
      </c>
      <c r="O1187" s="49" t="s">
        <v>5</v>
      </c>
      <c r="P1187" s="74">
        <v>1</v>
      </c>
      <c r="Q1187" s="49" t="s">
        <v>2702</v>
      </c>
      <c r="R1187" s="67" t="e" cm="1">
        <f t="array" ref="R1187">_xlfn.CHOOSECOLS(_xlfn.CHOOSEROWS(_xlfn._xlws.FILTER(표2[],표2[DWG No.]=C1187,""),1),6)</f>
        <v>#VALUE!</v>
      </c>
      <c r="S1187" s="67" t="e" cm="1">
        <f t="array" ref="S1187">_xlfn.CHOOSECOLS(_xlfn.CHOOSEROWS(_xlfn._xlws.FILTER(표2[],(표2[DWG No.]=C1187)*(ISNUMBER(표2[Rev.])),""),1),6)</f>
        <v>#VALUE!</v>
      </c>
    </row>
    <row r="1188" spans="1:19" ht="18" customHeight="1" x14ac:dyDescent="0.45">
      <c r="A1188" s="64">
        <v>1183</v>
      </c>
      <c r="B1188" s="49" t="s">
        <v>2912</v>
      </c>
      <c r="C1188" s="50" t="s">
        <v>4247</v>
      </c>
      <c r="D1188" s="49">
        <v>156126</v>
      </c>
      <c r="E1188" s="50" t="s">
        <v>4248</v>
      </c>
      <c r="F1188" s="49" t="s">
        <v>5</v>
      </c>
      <c r="G1188" s="48">
        <v>43056</v>
      </c>
      <c r="H1188" s="48">
        <v>43086</v>
      </c>
      <c r="I1188" s="48">
        <v>43056</v>
      </c>
      <c r="J1188" s="49" t="s">
        <v>3473</v>
      </c>
      <c r="K1188" s="58" t="s">
        <v>5</v>
      </c>
      <c r="L1188" s="49" t="s">
        <v>65</v>
      </c>
      <c r="M1188" s="48">
        <v>43378</v>
      </c>
      <c r="N1188" s="49" t="s">
        <v>4214</v>
      </c>
      <c r="O1188" s="49" t="s">
        <v>5</v>
      </c>
      <c r="P1188" s="74">
        <v>1</v>
      </c>
      <c r="Q1188" s="49" t="s">
        <v>2702</v>
      </c>
      <c r="R1188" s="67" t="e" cm="1">
        <f t="array" ref="R1188">_xlfn.CHOOSECOLS(_xlfn.CHOOSEROWS(_xlfn._xlws.FILTER(표2[],표2[DWG No.]=C1188,""),1),6)</f>
        <v>#VALUE!</v>
      </c>
      <c r="S1188" s="67" t="e" cm="1">
        <f t="array" ref="S1188">_xlfn.CHOOSECOLS(_xlfn.CHOOSEROWS(_xlfn._xlws.FILTER(표2[],(표2[DWG No.]=C1188)*(ISNUMBER(표2[Rev.])),""),1),6)</f>
        <v>#VALUE!</v>
      </c>
    </row>
    <row r="1189" spans="1:19" ht="18" customHeight="1" x14ac:dyDescent="0.45">
      <c r="A1189" s="64">
        <v>1184</v>
      </c>
      <c r="B1189" s="49" t="s">
        <v>2912</v>
      </c>
      <c r="C1189" s="50" t="s">
        <v>4249</v>
      </c>
      <c r="D1189" s="49">
        <v>156192</v>
      </c>
      <c r="E1189" s="50" t="s">
        <v>4250</v>
      </c>
      <c r="F1189" s="49" t="s">
        <v>6</v>
      </c>
      <c r="G1189" s="48">
        <v>43053</v>
      </c>
      <c r="H1189" s="48">
        <v>43083</v>
      </c>
      <c r="I1189" s="48">
        <v>43222</v>
      </c>
      <c r="J1189" s="49" t="s">
        <v>4019</v>
      </c>
      <c r="K1189" s="58" t="s">
        <v>7</v>
      </c>
      <c r="L1189" s="49">
        <v>1</v>
      </c>
      <c r="M1189" s="48">
        <v>43238</v>
      </c>
      <c r="N1189" s="52" t="s">
        <v>3153</v>
      </c>
      <c r="O1189" s="49" t="s">
        <v>7</v>
      </c>
      <c r="P1189" s="49">
        <v>1</v>
      </c>
      <c r="Q1189" s="51" t="s">
        <v>5002</v>
      </c>
      <c r="R1189" s="67" t="e" cm="1">
        <f t="array" ref="R1189">_xlfn.CHOOSECOLS(_xlfn.CHOOSEROWS(_xlfn._xlws.FILTER(표2[],표2[DWG No.]=C1189,""),1),6)</f>
        <v>#VALUE!</v>
      </c>
      <c r="S1189" s="67" t="e" cm="1">
        <f t="array" ref="S1189">_xlfn.CHOOSECOLS(_xlfn.CHOOSEROWS(_xlfn._xlws.FILTER(표2[],(표2[DWG No.]=C1189)*(ISNUMBER(표2[Rev.])),""),1),6)</f>
        <v>#VALUE!</v>
      </c>
    </row>
    <row r="1190" spans="1:19" ht="18" customHeight="1" x14ac:dyDescent="0.45">
      <c r="A1190" s="64">
        <v>1185</v>
      </c>
      <c r="B1190" s="49" t="s">
        <v>2912</v>
      </c>
      <c r="C1190" s="50" t="s">
        <v>4251</v>
      </c>
      <c r="D1190" s="49">
        <v>156359</v>
      </c>
      <c r="E1190" s="50" t="s">
        <v>4252</v>
      </c>
      <c r="F1190" s="49" t="s">
        <v>5</v>
      </c>
      <c r="G1190" s="48">
        <v>43063</v>
      </c>
      <c r="H1190" s="48">
        <v>43093</v>
      </c>
      <c r="I1190" s="48">
        <v>43412</v>
      </c>
      <c r="J1190" s="51" t="s">
        <v>4253</v>
      </c>
      <c r="K1190" s="58" t="s">
        <v>7</v>
      </c>
      <c r="L1190" s="49">
        <v>2</v>
      </c>
      <c r="M1190" s="61">
        <v>43447</v>
      </c>
      <c r="N1190" s="51" t="s">
        <v>3153</v>
      </c>
      <c r="O1190" s="49" t="s">
        <v>7</v>
      </c>
      <c r="P1190" s="51">
        <v>2</v>
      </c>
      <c r="Q1190" s="51" t="s">
        <v>160</v>
      </c>
      <c r="R1190" s="67" t="e" cm="1">
        <f t="array" ref="R1190">_xlfn.CHOOSECOLS(_xlfn.CHOOSEROWS(_xlfn._xlws.FILTER(표2[],표2[DWG No.]=C1190,""),1),6)</f>
        <v>#VALUE!</v>
      </c>
      <c r="S1190" s="67" t="e" cm="1">
        <f t="array" ref="S1190">_xlfn.CHOOSECOLS(_xlfn.CHOOSEROWS(_xlfn._xlws.FILTER(표2[],(표2[DWG No.]=C1190)*(ISNUMBER(표2[Rev.])),""),1),6)</f>
        <v>#VALUE!</v>
      </c>
    </row>
    <row r="1191" spans="1:19" ht="18" customHeight="1" x14ac:dyDescent="0.45">
      <c r="A1191" s="64">
        <v>1186</v>
      </c>
      <c r="B1191" s="49" t="s">
        <v>2912</v>
      </c>
      <c r="C1191" s="50" t="s">
        <v>4254</v>
      </c>
      <c r="D1191" s="49">
        <v>156365</v>
      </c>
      <c r="E1191" s="50" t="s">
        <v>4255</v>
      </c>
      <c r="F1191" s="49" t="s">
        <v>5</v>
      </c>
      <c r="G1191" s="48">
        <v>43063</v>
      </c>
      <c r="H1191" s="48">
        <v>43093</v>
      </c>
      <c r="I1191" s="48">
        <v>43395</v>
      </c>
      <c r="J1191" s="51" t="s">
        <v>4227</v>
      </c>
      <c r="K1191" s="58" t="s">
        <v>7</v>
      </c>
      <c r="L1191" s="49">
        <v>1</v>
      </c>
      <c r="M1191" s="61">
        <v>43410</v>
      </c>
      <c r="N1191" s="51" t="s">
        <v>3153</v>
      </c>
      <c r="O1191" s="49" t="s">
        <v>7</v>
      </c>
      <c r="P1191" s="51">
        <v>1</v>
      </c>
      <c r="Q1191" s="51" t="s">
        <v>160</v>
      </c>
      <c r="R1191" s="67" t="e" cm="1">
        <f t="array" ref="R1191">_xlfn.CHOOSECOLS(_xlfn.CHOOSEROWS(_xlfn._xlws.FILTER(표2[],표2[DWG No.]=C1191,""),1),6)</f>
        <v>#VALUE!</v>
      </c>
      <c r="S1191" s="67" t="e" cm="1">
        <f t="array" ref="S1191">_xlfn.CHOOSECOLS(_xlfn.CHOOSEROWS(_xlfn._xlws.FILTER(표2[],(표2[DWG No.]=C1191)*(ISNUMBER(표2[Rev.])),""),1),6)</f>
        <v>#VALUE!</v>
      </c>
    </row>
    <row r="1192" spans="1:19" ht="18" customHeight="1" x14ac:dyDescent="0.45">
      <c r="A1192" s="64">
        <v>1187</v>
      </c>
      <c r="B1192" s="49" t="s">
        <v>2912</v>
      </c>
      <c r="C1192" s="50" t="s">
        <v>4256</v>
      </c>
      <c r="D1192" s="49">
        <v>156313</v>
      </c>
      <c r="E1192" s="50" t="s">
        <v>4257</v>
      </c>
      <c r="F1192" s="49" t="s">
        <v>5</v>
      </c>
      <c r="G1192" s="48">
        <v>43063</v>
      </c>
      <c r="H1192" s="48">
        <v>43093</v>
      </c>
      <c r="I1192" s="48">
        <v>43347</v>
      </c>
      <c r="J1192" s="51" t="s">
        <v>4238</v>
      </c>
      <c r="K1192" s="58" t="s">
        <v>7</v>
      </c>
      <c r="L1192" s="49">
        <v>1</v>
      </c>
      <c r="M1192" s="48">
        <v>43378</v>
      </c>
      <c r="N1192" s="52" t="s">
        <v>3153</v>
      </c>
      <c r="O1192" s="49" t="s">
        <v>7</v>
      </c>
      <c r="P1192" s="74">
        <v>1</v>
      </c>
      <c r="Q1192" s="49" t="s">
        <v>160</v>
      </c>
      <c r="R1192" s="67" t="e" cm="1">
        <f t="array" ref="R1192">_xlfn.CHOOSECOLS(_xlfn.CHOOSEROWS(_xlfn._xlws.FILTER(표2[],표2[DWG No.]=C1192,""),1),6)</f>
        <v>#VALUE!</v>
      </c>
      <c r="S1192" s="67" t="e" cm="1">
        <f t="array" ref="S1192">_xlfn.CHOOSECOLS(_xlfn.CHOOSEROWS(_xlfn._xlws.FILTER(표2[],(표2[DWG No.]=C1192)*(ISNUMBER(표2[Rev.])),""),1),6)</f>
        <v>#VALUE!</v>
      </c>
    </row>
    <row r="1193" spans="1:19" ht="18" customHeight="1" x14ac:dyDescent="0.45">
      <c r="A1193" s="64">
        <v>1188</v>
      </c>
      <c r="B1193" s="49" t="s">
        <v>2912</v>
      </c>
      <c r="C1193" s="50" t="s">
        <v>4258</v>
      </c>
      <c r="D1193" s="49">
        <v>156018</v>
      </c>
      <c r="E1193" s="50" t="s">
        <v>4259</v>
      </c>
      <c r="F1193" s="49" t="s">
        <v>5</v>
      </c>
      <c r="G1193" s="48">
        <v>43063</v>
      </c>
      <c r="H1193" s="48">
        <v>43093</v>
      </c>
      <c r="I1193" s="48">
        <v>43063</v>
      </c>
      <c r="J1193" s="49" t="s">
        <v>4260</v>
      </c>
      <c r="K1193" s="58" t="s">
        <v>5</v>
      </c>
      <c r="L1193" s="49" t="s">
        <v>65</v>
      </c>
      <c r="M1193" s="61">
        <v>43076</v>
      </c>
      <c r="N1193" s="49" t="s">
        <v>4261</v>
      </c>
      <c r="O1193" s="49" t="s">
        <v>5</v>
      </c>
      <c r="P1193" s="51" t="s">
        <v>65</v>
      </c>
      <c r="Q1193" s="51" t="s">
        <v>2702</v>
      </c>
      <c r="R1193" s="67" t="e" cm="1">
        <f t="array" ref="R1193">_xlfn.CHOOSECOLS(_xlfn.CHOOSEROWS(_xlfn._xlws.FILTER(표2[],표2[DWG No.]=C1193,""),1),6)</f>
        <v>#VALUE!</v>
      </c>
      <c r="S1193" s="67" t="e" cm="1">
        <f t="array" ref="S1193">_xlfn.CHOOSECOLS(_xlfn.CHOOSEROWS(_xlfn._xlws.FILTER(표2[],(표2[DWG No.]=C1193)*(ISNUMBER(표2[Rev.])),""),1),6)</f>
        <v>#VALUE!</v>
      </c>
    </row>
    <row r="1194" spans="1:19" ht="18" customHeight="1" x14ac:dyDescent="0.45">
      <c r="A1194" s="64">
        <v>1189</v>
      </c>
      <c r="B1194" s="49" t="s">
        <v>2912</v>
      </c>
      <c r="C1194" s="50" t="s">
        <v>4262</v>
      </c>
      <c r="D1194" s="49">
        <v>156023</v>
      </c>
      <c r="E1194" s="50" t="s">
        <v>4263</v>
      </c>
      <c r="F1194" s="49" t="s">
        <v>5</v>
      </c>
      <c r="G1194" s="48">
        <v>43063</v>
      </c>
      <c r="H1194" s="48">
        <v>43093</v>
      </c>
      <c r="I1194" s="48">
        <v>43063</v>
      </c>
      <c r="J1194" s="49" t="s">
        <v>4260</v>
      </c>
      <c r="K1194" s="58" t="s">
        <v>5</v>
      </c>
      <c r="L1194" s="49" t="s">
        <v>65</v>
      </c>
      <c r="M1194" s="61">
        <v>43076</v>
      </c>
      <c r="N1194" s="49" t="s">
        <v>4261</v>
      </c>
      <c r="O1194" s="49" t="s">
        <v>5</v>
      </c>
      <c r="P1194" s="51" t="s">
        <v>65</v>
      </c>
      <c r="Q1194" s="51" t="s">
        <v>2702</v>
      </c>
      <c r="R1194" s="67" t="e" cm="1">
        <f t="array" ref="R1194">_xlfn.CHOOSECOLS(_xlfn.CHOOSEROWS(_xlfn._xlws.FILTER(표2[],표2[DWG No.]=C1194,""),1),6)</f>
        <v>#VALUE!</v>
      </c>
      <c r="S1194" s="67" t="e" cm="1">
        <f t="array" ref="S1194">_xlfn.CHOOSECOLS(_xlfn.CHOOSEROWS(_xlfn._xlws.FILTER(표2[],(표2[DWG No.]=C1194)*(ISNUMBER(표2[Rev.])),""),1),6)</f>
        <v>#VALUE!</v>
      </c>
    </row>
    <row r="1195" spans="1:19" ht="18" customHeight="1" x14ac:dyDescent="0.45">
      <c r="A1195" s="64">
        <v>1190</v>
      </c>
      <c r="B1195" s="49" t="s">
        <v>2912</v>
      </c>
      <c r="C1195" s="50" t="s">
        <v>4264</v>
      </c>
      <c r="D1195" s="49">
        <v>156028</v>
      </c>
      <c r="E1195" s="50" t="s">
        <v>4265</v>
      </c>
      <c r="F1195" s="49" t="s">
        <v>5</v>
      </c>
      <c r="G1195" s="48">
        <v>43063</v>
      </c>
      <c r="H1195" s="48">
        <v>43093</v>
      </c>
      <c r="I1195" s="48">
        <v>43063</v>
      </c>
      <c r="J1195" s="49" t="s">
        <v>4260</v>
      </c>
      <c r="K1195" s="58" t="s">
        <v>5</v>
      </c>
      <c r="L1195" s="49" t="s">
        <v>65</v>
      </c>
      <c r="M1195" s="61">
        <v>43076</v>
      </c>
      <c r="N1195" s="49" t="s">
        <v>4261</v>
      </c>
      <c r="O1195" s="49" t="s">
        <v>5</v>
      </c>
      <c r="P1195" s="51" t="s">
        <v>65</v>
      </c>
      <c r="Q1195" s="51" t="s">
        <v>2702</v>
      </c>
      <c r="R1195" s="67" t="e" cm="1">
        <f t="array" ref="R1195">_xlfn.CHOOSECOLS(_xlfn.CHOOSEROWS(_xlfn._xlws.FILTER(표2[],표2[DWG No.]=C1195,""),1),6)</f>
        <v>#VALUE!</v>
      </c>
      <c r="S1195" s="67" t="e" cm="1">
        <f t="array" ref="S1195">_xlfn.CHOOSECOLS(_xlfn.CHOOSEROWS(_xlfn._xlws.FILTER(표2[],(표2[DWG No.]=C1195)*(ISNUMBER(표2[Rev.])),""),1),6)</f>
        <v>#VALUE!</v>
      </c>
    </row>
    <row r="1196" spans="1:19" ht="18" customHeight="1" x14ac:dyDescent="0.45">
      <c r="A1196" s="64">
        <v>1191</v>
      </c>
      <c r="B1196" s="49" t="s">
        <v>2912</v>
      </c>
      <c r="C1196" s="50" t="s">
        <v>4266</v>
      </c>
      <c r="D1196" s="49">
        <v>156033</v>
      </c>
      <c r="E1196" s="50" t="s">
        <v>4267</v>
      </c>
      <c r="F1196" s="49" t="s">
        <v>5</v>
      </c>
      <c r="G1196" s="48">
        <v>43063</v>
      </c>
      <c r="H1196" s="48">
        <v>43093</v>
      </c>
      <c r="I1196" s="48">
        <v>43063</v>
      </c>
      <c r="J1196" s="49" t="s">
        <v>4260</v>
      </c>
      <c r="K1196" s="58" t="s">
        <v>5</v>
      </c>
      <c r="L1196" s="49" t="s">
        <v>65</v>
      </c>
      <c r="M1196" s="61">
        <v>43076</v>
      </c>
      <c r="N1196" s="49" t="s">
        <v>4261</v>
      </c>
      <c r="O1196" s="49" t="s">
        <v>5</v>
      </c>
      <c r="P1196" s="51" t="s">
        <v>65</v>
      </c>
      <c r="Q1196" s="51" t="s">
        <v>2702</v>
      </c>
      <c r="R1196" s="67" t="e" cm="1">
        <f t="array" ref="R1196">_xlfn.CHOOSECOLS(_xlfn.CHOOSEROWS(_xlfn._xlws.FILTER(표2[],표2[DWG No.]=C1196,""),1),6)</f>
        <v>#VALUE!</v>
      </c>
      <c r="S1196" s="67" t="e" cm="1">
        <f t="array" ref="S1196">_xlfn.CHOOSECOLS(_xlfn.CHOOSEROWS(_xlfn._xlws.FILTER(표2[],(표2[DWG No.]=C1196)*(ISNUMBER(표2[Rev.])),""),1),6)</f>
        <v>#VALUE!</v>
      </c>
    </row>
    <row r="1197" spans="1:19" ht="18" customHeight="1" x14ac:dyDescent="0.45">
      <c r="A1197" s="64">
        <v>1192</v>
      </c>
      <c r="B1197" s="49" t="s">
        <v>2912</v>
      </c>
      <c r="C1197" s="50" t="s">
        <v>4268</v>
      </c>
      <c r="D1197" s="49">
        <v>156038</v>
      </c>
      <c r="E1197" s="50" t="s">
        <v>4269</v>
      </c>
      <c r="F1197" s="49" t="s">
        <v>5</v>
      </c>
      <c r="G1197" s="48">
        <v>43063</v>
      </c>
      <c r="H1197" s="48">
        <v>43093</v>
      </c>
      <c r="I1197" s="48">
        <v>43133</v>
      </c>
      <c r="J1197" s="51" t="s">
        <v>3595</v>
      </c>
      <c r="K1197" s="58" t="s">
        <v>7</v>
      </c>
      <c r="L1197" s="49">
        <v>0</v>
      </c>
      <c r="M1197" s="61">
        <v>43143</v>
      </c>
      <c r="N1197" s="51" t="s">
        <v>3153</v>
      </c>
      <c r="O1197" s="49" t="s">
        <v>7</v>
      </c>
      <c r="P1197" s="51">
        <v>0</v>
      </c>
      <c r="Q1197" s="51" t="s">
        <v>160</v>
      </c>
      <c r="R1197" s="67" t="e" cm="1">
        <f t="array" ref="R1197">_xlfn.CHOOSECOLS(_xlfn.CHOOSEROWS(_xlfn._xlws.FILTER(표2[],표2[DWG No.]=C1197,""),1),6)</f>
        <v>#VALUE!</v>
      </c>
      <c r="S1197" s="67" t="e" cm="1">
        <f t="array" ref="S1197">_xlfn.CHOOSECOLS(_xlfn.CHOOSEROWS(_xlfn._xlws.FILTER(표2[],(표2[DWG No.]=C1197)*(ISNUMBER(표2[Rev.])),""),1),6)</f>
        <v>#VALUE!</v>
      </c>
    </row>
    <row r="1198" spans="1:19" ht="18" customHeight="1" x14ac:dyDescent="0.45">
      <c r="A1198" s="64">
        <v>1193</v>
      </c>
      <c r="B1198" s="49" t="s">
        <v>2912</v>
      </c>
      <c r="C1198" s="50" t="s">
        <v>4270</v>
      </c>
      <c r="D1198" s="49">
        <v>156043</v>
      </c>
      <c r="E1198" s="50" t="s">
        <v>4271</v>
      </c>
      <c r="F1198" s="49" t="s">
        <v>5</v>
      </c>
      <c r="G1198" s="48">
        <v>43063</v>
      </c>
      <c r="H1198" s="48">
        <v>43093</v>
      </c>
      <c r="I1198" s="48">
        <v>43063</v>
      </c>
      <c r="J1198" s="49" t="s">
        <v>4260</v>
      </c>
      <c r="K1198" s="58" t="s">
        <v>5</v>
      </c>
      <c r="L1198" s="49" t="s">
        <v>65</v>
      </c>
      <c r="M1198" s="61">
        <v>43076</v>
      </c>
      <c r="N1198" s="49" t="s">
        <v>4261</v>
      </c>
      <c r="O1198" s="49" t="s">
        <v>5</v>
      </c>
      <c r="P1198" s="51" t="s">
        <v>65</v>
      </c>
      <c r="Q1198" s="51" t="s">
        <v>2702</v>
      </c>
      <c r="R1198" s="67" t="e" cm="1">
        <f t="array" ref="R1198">_xlfn.CHOOSECOLS(_xlfn.CHOOSEROWS(_xlfn._xlws.FILTER(표2[],표2[DWG No.]=C1198,""),1),6)</f>
        <v>#VALUE!</v>
      </c>
      <c r="S1198" s="67" t="e" cm="1">
        <f t="array" ref="S1198">_xlfn.CHOOSECOLS(_xlfn.CHOOSEROWS(_xlfn._xlws.FILTER(표2[],(표2[DWG No.]=C1198)*(ISNUMBER(표2[Rev.])),""),1),6)</f>
        <v>#VALUE!</v>
      </c>
    </row>
    <row r="1199" spans="1:19" ht="18" customHeight="1" x14ac:dyDescent="0.45">
      <c r="A1199" s="64">
        <v>1194</v>
      </c>
      <c r="B1199" s="49" t="s">
        <v>2912</v>
      </c>
      <c r="C1199" s="50" t="s">
        <v>4272</v>
      </c>
      <c r="D1199" s="49">
        <v>156048</v>
      </c>
      <c r="E1199" s="50" t="s">
        <v>4273</v>
      </c>
      <c r="F1199" s="49" t="s">
        <v>5</v>
      </c>
      <c r="G1199" s="48">
        <v>43063</v>
      </c>
      <c r="H1199" s="48">
        <v>43093</v>
      </c>
      <c r="I1199" s="48">
        <v>43063</v>
      </c>
      <c r="J1199" s="49" t="s">
        <v>4260</v>
      </c>
      <c r="K1199" s="58" t="s">
        <v>5</v>
      </c>
      <c r="L1199" s="49" t="s">
        <v>65</v>
      </c>
      <c r="M1199" s="61">
        <v>43076</v>
      </c>
      <c r="N1199" s="49" t="s">
        <v>4261</v>
      </c>
      <c r="O1199" s="49" t="s">
        <v>5</v>
      </c>
      <c r="P1199" s="51" t="s">
        <v>65</v>
      </c>
      <c r="Q1199" s="51" t="s">
        <v>2702</v>
      </c>
      <c r="R1199" s="67" t="e" cm="1">
        <f t="array" ref="R1199">_xlfn.CHOOSECOLS(_xlfn.CHOOSEROWS(_xlfn._xlws.FILTER(표2[],표2[DWG No.]=C1199,""),1),6)</f>
        <v>#VALUE!</v>
      </c>
      <c r="S1199" s="67" t="e" cm="1">
        <f t="array" ref="S1199">_xlfn.CHOOSECOLS(_xlfn.CHOOSEROWS(_xlfn._xlws.FILTER(표2[],(표2[DWG No.]=C1199)*(ISNUMBER(표2[Rev.])),""),1),6)</f>
        <v>#VALUE!</v>
      </c>
    </row>
    <row r="1200" spans="1:19" ht="18" customHeight="1" x14ac:dyDescent="0.45">
      <c r="A1200" s="64">
        <v>1195</v>
      </c>
      <c r="B1200" s="49" t="s">
        <v>2912</v>
      </c>
      <c r="C1200" s="50" t="s">
        <v>4274</v>
      </c>
      <c r="D1200" s="49">
        <v>156053</v>
      </c>
      <c r="E1200" s="50" t="s">
        <v>4265</v>
      </c>
      <c r="F1200" s="49" t="s">
        <v>5</v>
      </c>
      <c r="G1200" s="48">
        <v>43063</v>
      </c>
      <c r="H1200" s="48">
        <v>43093</v>
      </c>
      <c r="I1200" s="48">
        <v>43063</v>
      </c>
      <c r="J1200" s="49" t="s">
        <v>4260</v>
      </c>
      <c r="K1200" s="58" t="s">
        <v>5</v>
      </c>
      <c r="L1200" s="49" t="s">
        <v>65</v>
      </c>
      <c r="M1200" s="61">
        <v>43076</v>
      </c>
      <c r="N1200" s="49" t="s">
        <v>4261</v>
      </c>
      <c r="O1200" s="49" t="s">
        <v>5</v>
      </c>
      <c r="P1200" s="51" t="s">
        <v>65</v>
      </c>
      <c r="Q1200" s="51" t="s">
        <v>2702</v>
      </c>
      <c r="R1200" s="67" t="e" cm="1">
        <f t="array" ref="R1200">_xlfn.CHOOSECOLS(_xlfn.CHOOSEROWS(_xlfn._xlws.FILTER(표2[],표2[DWG No.]=C1200,""),1),6)</f>
        <v>#VALUE!</v>
      </c>
      <c r="S1200" s="67" t="e" cm="1">
        <f t="array" ref="S1200">_xlfn.CHOOSECOLS(_xlfn.CHOOSEROWS(_xlfn._xlws.FILTER(표2[],(표2[DWG No.]=C1200)*(ISNUMBER(표2[Rev.])),""),1),6)</f>
        <v>#VALUE!</v>
      </c>
    </row>
    <row r="1201" spans="1:19" ht="18" customHeight="1" x14ac:dyDescent="0.45">
      <c r="A1201" s="64">
        <v>1196</v>
      </c>
      <c r="B1201" s="49" t="s">
        <v>2912</v>
      </c>
      <c r="C1201" s="50" t="s">
        <v>4275</v>
      </c>
      <c r="D1201" s="49">
        <v>156058</v>
      </c>
      <c r="E1201" s="50" t="s">
        <v>4276</v>
      </c>
      <c r="F1201" s="49" t="s">
        <v>5</v>
      </c>
      <c r="G1201" s="48">
        <v>43063</v>
      </c>
      <c r="H1201" s="48">
        <v>43093</v>
      </c>
      <c r="I1201" s="48">
        <v>43545</v>
      </c>
      <c r="J1201" s="51" t="s">
        <v>4178</v>
      </c>
      <c r="K1201" s="58" t="s">
        <v>7</v>
      </c>
      <c r="L1201" s="49">
        <v>1</v>
      </c>
      <c r="M1201" s="61">
        <v>43545</v>
      </c>
      <c r="N1201" s="51" t="s">
        <v>4179</v>
      </c>
      <c r="O1201" s="49" t="s">
        <v>7</v>
      </c>
      <c r="P1201" s="51">
        <v>1</v>
      </c>
      <c r="Q1201" s="51" t="s">
        <v>5002</v>
      </c>
      <c r="R1201" s="67" t="e" cm="1">
        <f t="array" ref="R1201">_xlfn.CHOOSECOLS(_xlfn.CHOOSEROWS(_xlfn._xlws.FILTER(표2[],표2[DWG No.]=C1201,""),1),6)</f>
        <v>#VALUE!</v>
      </c>
      <c r="S1201" s="67" t="e" cm="1">
        <f t="array" ref="S1201">_xlfn.CHOOSECOLS(_xlfn.CHOOSEROWS(_xlfn._xlws.FILTER(표2[],(표2[DWG No.]=C1201)*(ISNUMBER(표2[Rev.])),""),1),6)</f>
        <v>#VALUE!</v>
      </c>
    </row>
    <row r="1202" spans="1:19" ht="18" customHeight="1" x14ac:dyDescent="0.45">
      <c r="A1202" s="64">
        <v>1197</v>
      </c>
      <c r="B1202" s="49" t="s">
        <v>2912</v>
      </c>
      <c r="C1202" s="50" t="s">
        <v>4277</v>
      </c>
      <c r="D1202" s="49">
        <v>156063</v>
      </c>
      <c r="E1202" s="50" t="s">
        <v>4278</v>
      </c>
      <c r="F1202" s="49" t="s">
        <v>5</v>
      </c>
      <c r="G1202" s="48">
        <v>43063</v>
      </c>
      <c r="H1202" s="48">
        <v>43093</v>
      </c>
      <c r="I1202" s="48">
        <v>43545</v>
      </c>
      <c r="J1202" s="51" t="s">
        <v>4178</v>
      </c>
      <c r="K1202" s="58" t="s">
        <v>7</v>
      </c>
      <c r="L1202" s="49">
        <v>1</v>
      </c>
      <c r="M1202" s="61">
        <v>43545</v>
      </c>
      <c r="N1202" s="51" t="s">
        <v>4179</v>
      </c>
      <c r="O1202" s="49" t="s">
        <v>7</v>
      </c>
      <c r="P1202" s="51">
        <v>1</v>
      </c>
      <c r="Q1202" s="51" t="s">
        <v>5002</v>
      </c>
      <c r="R1202" s="67" t="e" cm="1">
        <f t="array" ref="R1202">_xlfn.CHOOSECOLS(_xlfn.CHOOSEROWS(_xlfn._xlws.FILTER(표2[],표2[DWG No.]=C1202,""),1),6)</f>
        <v>#VALUE!</v>
      </c>
      <c r="S1202" s="67" t="e" cm="1">
        <f t="array" ref="S1202">_xlfn.CHOOSECOLS(_xlfn.CHOOSEROWS(_xlfn._xlws.FILTER(표2[],(표2[DWG No.]=C1202)*(ISNUMBER(표2[Rev.])),""),1),6)</f>
        <v>#VALUE!</v>
      </c>
    </row>
    <row r="1203" spans="1:19" ht="18" customHeight="1" x14ac:dyDescent="0.45">
      <c r="A1203" s="64">
        <v>1198</v>
      </c>
      <c r="B1203" s="49" t="s">
        <v>2912</v>
      </c>
      <c r="C1203" s="50" t="s">
        <v>4279</v>
      </c>
      <c r="D1203" s="49">
        <v>156068</v>
      </c>
      <c r="E1203" s="50" t="s">
        <v>4280</v>
      </c>
      <c r="F1203" s="49" t="s">
        <v>5</v>
      </c>
      <c r="G1203" s="48">
        <v>43063</v>
      </c>
      <c r="H1203" s="48">
        <v>43093</v>
      </c>
      <c r="I1203" s="48">
        <v>43063</v>
      </c>
      <c r="J1203" s="49" t="s">
        <v>4260</v>
      </c>
      <c r="K1203" s="58" t="s">
        <v>5</v>
      </c>
      <c r="L1203" s="49" t="s">
        <v>65</v>
      </c>
      <c r="M1203" s="61">
        <v>43076</v>
      </c>
      <c r="N1203" s="49" t="s">
        <v>4261</v>
      </c>
      <c r="O1203" s="49" t="s">
        <v>5</v>
      </c>
      <c r="P1203" s="51" t="s">
        <v>65</v>
      </c>
      <c r="Q1203" s="51" t="s">
        <v>2702</v>
      </c>
      <c r="R1203" s="67" t="e" cm="1">
        <f t="array" ref="R1203">_xlfn.CHOOSECOLS(_xlfn.CHOOSEROWS(_xlfn._xlws.FILTER(표2[],표2[DWG No.]=C1203,""),1),6)</f>
        <v>#VALUE!</v>
      </c>
      <c r="S1203" s="67" t="e" cm="1">
        <f t="array" ref="S1203">_xlfn.CHOOSECOLS(_xlfn.CHOOSEROWS(_xlfn._xlws.FILTER(표2[],(표2[DWG No.]=C1203)*(ISNUMBER(표2[Rev.])),""),1),6)</f>
        <v>#VALUE!</v>
      </c>
    </row>
    <row r="1204" spans="1:19" ht="18" customHeight="1" x14ac:dyDescent="0.45">
      <c r="A1204" s="64">
        <v>1199</v>
      </c>
      <c r="B1204" s="49" t="s">
        <v>2912</v>
      </c>
      <c r="C1204" s="50" t="s">
        <v>4281</v>
      </c>
      <c r="D1204" s="49">
        <v>156073</v>
      </c>
      <c r="E1204" s="50" t="s">
        <v>4282</v>
      </c>
      <c r="F1204" s="49" t="s">
        <v>5</v>
      </c>
      <c r="G1204" s="48">
        <v>43063</v>
      </c>
      <c r="H1204" s="48">
        <v>43093</v>
      </c>
      <c r="I1204" s="48">
        <v>43063</v>
      </c>
      <c r="J1204" s="49" t="s">
        <v>4260</v>
      </c>
      <c r="K1204" s="58" t="s">
        <v>5</v>
      </c>
      <c r="L1204" s="49" t="s">
        <v>65</v>
      </c>
      <c r="M1204" s="61">
        <v>43076</v>
      </c>
      <c r="N1204" s="49" t="s">
        <v>4261</v>
      </c>
      <c r="O1204" s="49" t="s">
        <v>5</v>
      </c>
      <c r="P1204" s="51" t="s">
        <v>65</v>
      </c>
      <c r="Q1204" s="51" t="s">
        <v>2702</v>
      </c>
      <c r="R1204" s="67" t="e" cm="1">
        <f t="array" ref="R1204">_xlfn.CHOOSECOLS(_xlfn.CHOOSEROWS(_xlfn._xlws.FILTER(표2[],표2[DWG No.]=C1204,""),1),6)</f>
        <v>#VALUE!</v>
      </c>
      <c r="S1204" s="67" t="e" cm="1">
        <f t="array" ref="S1204">_xlfn.CHOOSECOLS(_xlfn.CHOOSEROWS(_xlfn._xlws.FILTER(표2[],(표2[DWG No.]=C1204)*(ISNUMBER(표2[Rev.])),""),1),6)</f>
        <v>#VALUE!</v>
      </c>
    </row>
    <row r="1205" spans="1:19" ht="18" customHeight="1" x14ac:dyDescent="0.45">
      <c r="A1205" s="64">
        <v>1200</v>
      </c>
      <c r="B1205" s="49" t="s">
        <v>2912</v>
      </c>
      <c r="C1205" s="50" t="s">
        <v>4283</v>
      </c>
      <c r="D1205" s="49">
        <v>156078</v>
      </c>
      <c r="E1205" s="50" t="s">
        <v>4284</v>
      </c>
      <c r="F1205" s="49" t="s">
        <v>5</v>
      </c>
      <c r="G1205" s="48">
        <v>43063</v>
      </c>
      <c r="H1205" s="48">
        <v>43093</v>
      </c>
      <c r="I1205" s="48">
        <v>43063</v>
      </c>
      <c r="J1205" s="49" t="s">
        <v>4260</v>
      </c>
      <c r="K1205" s="58" t="s">
        <v>5</v>
      </c>
      <c r="L1205" s="49" t="s">
        <v>65</v>
      </c>
      <c r="M1205" s="61">
        <v>43076</v>
      </c>
      <c r="N1205" s="49" t="s">
        <v>4261</v>
      </c>
      <c r="O1205" s="49" t="s">
        <v>5</v>
      </c>
      <c r="P1205" s="51" t="s">
        <v>65</v>
      </c>
      <c r="Q1205" s="51" t="s">
        <v>2702</v>
      </c>
      <c r="R1205" s="67" t="e" cm="1">
        <f t="array" ref="R1205">_xlfn.CHOOSECOLS(_xlfn.CHOOSEROWS(_xlfn._xlws.FILTER(표2[],표2[DWG No.]=C1205,""),1),6)</f>
        <v>#VALUE!</v>
      </c>
      <c r="S1205" s="67" t="e" cm="1">
        <f t="array" ref="S1205">_xlfn.CHOOSECOLS(_xlfn.CHOOSEROWS(_xlfn._xlws.FILTER(표2[],(표2[DWG No.]=C1205)*(ISNUMBER(표2[Rev.])),""),1),6)</f>
        <v>#VALUE!</v>
      </c>
    </row>
    <row r="1206" spans="1:19" ht="18" customHeight="1" x14ac:dyDescent="0.45">
      <c r="A1206" s="64">
        <v>1201</v>
      </c>
      <c r="B1206" s="49" t="s">
        <v>2912</v>
      </c>
      <c r="C1206" s="50" t="s">
        <v>4285</v>
      </c>
      <c r="D1206" s="49">
        <v>156083</v>
      </c>
      <c r="E1206" s="50" t="s">
        <v>4286</v>
      </c>
      <c r="F1206" s="49" t="s">
        <v>5</v>
      </c>
      <c r="G1206" s="48">
        <v>43063</v>
      </c>
      <c r="H1206" s="48">
        <v>43093</v>
      </c>
      <c r="I1206" s="48">
        <v>43063</v>
      </c>
      <c r="J1206" s="49" t="s">
        <v>4260</v>
      </c>
      <c r="K1206" s="58" t="s">
        <v>5</v>
      </c>
      <c r="L1206" s="49" t="s">
        <v>65</v>
      </c>
      <c r="M1206" s="61">
        <v>43076</v>
      </c>
      <c r="N1206" s="49" t="s">
        <v>4261</v>
      </c>
      <c r="O1206" s="49" t="s">
        <v>5</v>
      </c>
      <c r="P1206" s="51" t="s">
        <v>65</v>
      </c>
      <c r="Q1206" s="51" t="s">
        <v>2702</v>
      </c>
      <c r="R1206" s="67" t="e" cm="1">
        <f t="array" ref="R1206">_xlfn.CHOOSECOLS(_xlfn.CHOOSEROWS(_xlfn._xlws.FILTER(표2[],표2[DWG No.]=C1206,""),1),6)</f>
        <v>#VALUE!</v>
      </c>
      <c r="S1206" s="67" t="e" cm="1">
        <f t="array" ref="S1206">_xlfn.CHOOSECOLS(_xlfn.CHOOSEROWS(_xlfn._xlws.FILTER(표2[],(표2[DWG No.]=C1206)*(ISNUMBER(표2[Rev.])),""),1),6)</f>
        <v>#VALUE!</v>
      </c>
    </row>
    <row r="1207" spans="1:19" ht="18" customHeight="1" x14ac:dyDescent="0.45">
      <c r="A1207" s="64">
        <v>1202</v>
      </c>
      <c r="B1207" s="49" t="s">
        <v>2912</v>
      </c>
      <c r="C1207" s="50" t="s">
        <v>4287</v>
      </c>
      <c r="D1207" s="49">
        <v>156088</v>
      </c>
      <c r="E1207" s="50" t="s">
        <v>4288</v>
      </c>
      <c r="F1207" s="49" t="s">
        <v>5</v>
      </c>
      <c r="G1207" s="48">
        <v>43063</v>
      </c>
      <c r="H1207" s="48">
        <v>43093</v>
      </c>
      <c r="I1207" s="48">
        <v>43063</v>
      </c>
      <c r="J1207" s="49" t="s">
        <v>4260</v>
      </c>
      <c r="K1207" s="58" t="s">
        <v>5</v>
      </c>
      <c r="L1207" s="49" t="s">
        <v>65</v>
      </c>
      <c r="M1207" s="61">
        <v>43076</v>
      </c>
      <c r="N1207" s="49" t="s">
        <v>4261</v>
      </c>
      <c r="O1207" s="49" t="s">
        <v>5</v>
      </c>
      <c r="P1207" s="51" t="s">
        <v>65</v>
      </c>
      <c r="Q1207" s="51" t="s">
        <v>2702</v>
      </c>
      <c r="R1207" s="67" t="e" cm="1">
        <f t="array" ref="R1207">_xlfn.CHOOSECOLS(_xlfn.CHOOSEROWS(_xlfn._xlws.FILTER(표2[],표2[DWG No.]=C1207,""),1),6)</f>
        <v>#VALUE!</v>
      </c>
      <c r="S1207" s="67" t="e" cm="1">
        <f t="array" ref="S1207">_xlfn.CHOOSECOLS(_xlfn.CHOOSEROWS(_xlfn._xlws.FILTER(표2[],(표2[DWG No.]=C1207)*(ISNUMBER(표2[Rev.])),""),1),6)</f>
        <v>#VALUE!</v>
      </c>
    </row>
    <row r="1208" spans="1:19" ht="18" customHeight="1" x14ac:dyDescent="0.45">
      <c r="A1208" s="64">
        <v>1203</v>
      </c>
      <c r="B1208" s="49" t="s">
        <v>2912</v>
      </c>
      <c r="C1208" s="50" t="s">
        <v>4289</v>
      </c>
      <c r="D1208" s="49">
        <v>156093</v>
      </c>
      <c r="E1208" s="50" t="s">
        <v>4290</v>
      </c>
      <c r="F1208" s="49" t="s">
        <v>5</v>
      </c>
      <c r="G1208" s="48">
        <v>43063</v>
      </c>
      <c r="H1208" s="48">
        <v>43093</v>
      </c>
      <c r="I1208" s="48">
        <v>43063</v>
      </c>
      <c r="J1208" s="49" t="s">
        <v>4260</v>
      </c>
      <c r="K1208" s="58" t="s">
        <v>5</v>
      </c>
      <c r="L1208" s="49" t="s">
        <v>65</v>
      </c>
      <c r="M1208" s="61">
        <v>43076</v>
      </c>
      <c r="N1208" s="49" t="s">
        <v>4261</v>
      </c>
      <c r="O1208" s="49" t="s">
        <v>5</v>
      </c>
      <c r="P1208" s="51" t="s">
        <v>65</v>
      </c>
      <c r="Q1208" s="51" t="s">
        <v>2702</v>
      </c>
      <c r="R1208" s="67" t="e" cm="1">
        <f t="array" ref="R1208">_xlfn.CHOOSECOLS(_xlfn.CHOOSEROWS(_xlfn._xlws.FILTER(표2[],표2[DWG No.]=C1208,""),1),6)</f>
        <v>#VALUE!</v>
      </c>
      <c r="S1208" s="67" t="e" cm="1">
        <f t="array" ref="S1208">_xlfn.CHOOSECOLS(_xlfn.CHOOSEROWS(_xlfn._xlws.FILTER(표2[],(표2[DWG No.]=C1208)*(ISNUMBER(표2[Rev.])),""),1),6)</f>
        <v>#VALUE!</v>
      </c>
    </row>
    <row r="1209" spans="1:19" ht="18" customHeight="1" x14ac:dyDescent="0.45">
      <c r="A1209" s="64">
        <v>1204</v>
      </c>
      <c r="B1209" s="49" t="s">
        <v>2912</v>
      </c>
      <c r="C1209" s="50" t="s">
        <v>4291</v>
      </c>
      <c r="D1209" s="49">
        <v>156315</v>
      </c>
      <c r="E1209" s="50" t="s">
        <v>4292</v>
      </c>
      <c r="F1209" s="49" t="s">
        <v>5</v>
      </c>
      <c r="G1209" s="48">
        <v>43063</v>
      </c>
      <c r="H1209" s="48">
        <v>43093</v>
      </c>
      <c r="I1209" s="48">
        <v>43063</v>
      </c>
      <c r="J1209" s="49" t="s">
        <v>4260</v>
      </c>
      <c r="K1209" s="58" t="s">
        <v>5</v>
      </c>
      <c r="L1209" s="49" t="s">
        <v>65</v>
      </c>
      <c r="M1209" s="61">
        <v>43076</v>
      </c>
      <c r="N1209" s="49" t="s">
        <v>4261</v>
      </c>
      <c r="O1209" s="49" t="s">
        <v>5</v>
      </c>
      <c r="P1209" s="51" t="s">
        <v>65</v>
      </c>
      <c r="Q1209" s="51" t="s">
        <v>2702</v>
      </c>
      <c r="R1209" s="67" t="e" cm="1">
        <f t="array" ref="R1209">_xlfn.CHOOSECOLS(_xlfn.CHOOSEROWS(_xlfn._xlws.FILTER(표2[],표2[DWG No.]=C1209,""),1),6)</f>
        <v>#VALUE!</v>
      </c>
      <c r="S1209" s="67" t="e" cm="1">
        <f t="array" ref="S1209">_xlfn.CHOOSECOLS(_xlfn.CHOOSEROWS(_xlfn._xlws.FILTER(표2[],(표2[DWG No.]=C1209)*(ISNUMBER(표2[Rev.])),""),1),6)</f>
        <v>#VALUE!</v>
      </c>
    </row>
    <row r="1210" spans="1:19" ht="18" customHeight="1" x14ac:dyDescent="0.45">
      <c r="A1210" s="64">
        <v>1205</v>
      </c>
      <c r="B1210" s="49" t="s">
        <v>2912</v>
      </c>
      <c r="C1210" s="50" t="s">
        <v>4293</v>
      </c>
      <c r="D1210" s="49">
        <v>156315</v>
      </c>
      <c r="E1210" s="50" t="s">
        <v>4294</v>
      </c>
      <c r="F1210" s="49" t="s">
        <v>5</v>
      </c>
      <c r="G1210" s="48">
        <v>43063</v>
      </c>
      <c r="H1210" s="48">
        <v>43093</v>
      </c>
      <c r="I1210" s="48">
        <v>43063</v>
      </c>
      <c r="J1210" s="49" t="s">
        <v>4260</v>
      </c>
      <c r="K1210" s="58" t="s">
        <v>5</v>
      </c>
      <c r="L1210" s="49" t="s">
        <v>65</v>
      </c>
      <c r="M1210" s="61">
        <v>43076</v>
      </c>
      <c r="N1210" s="49" t="s">
        <v>4261</v>
      </c>
      <c r="O1210" s="49" t="s">
        <v>5</v>
      </c>
      <c r="P1210" s="51" t="s">
        <v>65</v>
      </c>
      <c r="Q1210" s="51" t="s">
        <v>2702</v>
      </c>
      <c r="R1210" s="67" t="e" cm="1">
        <f t="array" ref="R1210">_xlfn.CHOOSECOLS(_xlfn.CHOOSEROWS(_xlfn._xlws.FILTER(표2[],표2[DWG No.]=C1210,""),1),6)</f>
        <v>#VALUE!</v>
      </c>
      <c r="S1210" s="67" t="e" cm="1">
        <f t="array" ref="S1210">_xlfn.CHOOSECOLS(_xlfn.CHOOSEROWS(_xlfn._xlws.FILTER(표2[],(표2[DWG No.]=C1210)*(ISNUMBER(표2[Rev.])),""),1),6)</f>
        <v>#VALUE!</v>
      </c>
    </row>
    <row r="1211" spans="1:19" ht="18" customHeight="1" x14ac:dyDescent="0.45">
      <c r="A1211" s="64">
        <v>1206</v>
      </c>
      <c r="B1211" s="49" t="s">
        <v>2912</v>
      </c>
      <c r="C1211" s="50" t="s">
        <v>4295</v>
      </c>
      <c r="D1211" s="49">
        <v>156310</v>
      </c>
      <c r="E1211" s="50" t="s">
        <v>4296</v>
      </c>
      <c r="F1211" s="49" t="s">
        <v>5</v>
      </c>
      <c r="G1211" s="48">
        <v>43063</v>
      </c>
      <c r="H1211" s="48">
        <v>43093</v>
      </c>
      <c r="I1211" s="48">
        <v>43063</v>
      </c>
      <c r="J1211" s="49" t="s">
        <v>4260</v>
      </c>
      <c r="K1211" s="58" t="s">
        <v>5</v>
      </c>
      <c r="L1211" s="49" t="s">
        <v>65</v>
      </c>
      <c r="M1211" s="61">
        <v>43076</v>
      </c>
      <c r="N1211" s="49" t="s">
        <v>4261</v>
      </c>
      <c r="O1211" s="49" t="s">
        <v>5</v>
      </c>
      <c r="P1211" s="51" t="s">
        <v>65</v>
      </c>
      <c r="Q1211" s="51" t="s">
        <v>2702</v>
      </c>
      <c r="R1211" s="67" t="e" cm="1">
        <f t="array" ref="R1211">_xlfn.CHOOSECOLS(_xlfn.CHOOSEROWS(_xlfn._xlws.FILTER(표2[],표2[DWG No.]=C1211,""),1),6)</f>
        <v>#VALUE!</v>
      </c>
      <c r="S1211" s="67" t="e" cm="1">
        <f t="array" ref="S1211">_xlfn.CHOOSECOLS(_xlfn.CHOOSEROWS(_xlfn._xlws.FILTER(표2[],(표2[DWG No.]=C1211)*(ISNUMBER(표2[Rev.])),""),1),6)</f>
        <v>#VALUE!</v>
      </c>
    </row>
    <row r="1212" spans="1:19" ht="18" customHeight="1" x14ac:dyDescent="0.45">
      <c r="A1212" s="64">
        <v>1207</v>
      </c>
      <c r="B1212" s="49" t="s">
        <v>2912</v>
      </c>
      <c r="C1212" s="50" t="s">
        <v>4297</v>
      </c>
      <c r="D1212" s="49">
        <v>156096</v>
      </c>
      <c r="E1212" s="50" t="s">
        <v>4298</v>
      </c>
      <c r="F1212" s="49" t="s">
        <v>5</v>
      </c>
      <c r="G1212" s="48">
        <v>43063</v>
      </c>
      <c r="H1212" s="48">
        <v>43093</v>
      </c>
      <c r="I1212" s="48">
        <v>43063</v>
      </c>
      <c r="J1212" s="49" t="s">
        <v>4260</v>
      </c>
      <c r="K1212" s="58" t="s">
        <v>5</v>
      </c>
      <c r="L1212" s="49" t="s">
        <v>65</v>
      </c>
      <c r="M1212" s="61">
        <v>43076</v>
      </c>
      <c r="N1212" s="49" t="s">
        <v>4261</v>
      </c>
      <c r="O1212" s="49" t="s">
        <v>5</v>
      </c>
      <c r="P1212" s="51" t="s">
        <v>65</v>
      </c>
      <c r="Q1212" s="51" t="s">
        <v>2702</v>
      </c>
      <c r="R1212" s="67" t="e" cm="1">
        <f t="array" ref="R1212">_xlfn.CHOOSECOLS(_xlfn.CHOOSEROWS(_xlfn._xlws.FILTER(표2[],표2[DWG No.]=C1212,""),1),6)</f>
        <v>#VALUE!</v>
      </c>
      <c r="S1212" s="67" t="e" cm="1">
        <f t="array" ref="S1212">_xlfn.CHOOSECOLS(_xlfn.CHOOSEROWS(_xlfn._xlws.FILTER(표2[],(표2[DWG No.]=C1212)*(ISNUMBER(표2[Rev.])),""),1),6)</f>
        <v>#VALUE!</v>
      </c>
    </row>
    <row r="1213" spans="1:19" ht="18" customHeight="1" x14ac:dyDescent="0.45">
      <c r="A1213" s="64">
        <v>1208</v>
      </c>
      <c r="B1213" s="49" t="s">
        <v>2912</v>
      </c>
      <c r="C1213" s="50" t="s">
        <v>4299</v>
      </c>
      <c r="D1213" s="49">
        <v>156091</v>
      </c>
      <c r="E1213" s="50" t="s">
        <v>4300</v>
      </c>
      <c r="F1213" s="49" t="s">
        <v>5</v>
      </c>
      <c r="G1213" s="48">
        <v>43063</v>
      </c>
      <c r="H1213" s="48">
        <v>43093</v>
      </c>
      <c r="I1213" s="48">
        <v>43063</v>
      </c>
      <c r="J1213" s="49" t="s">
        <v>4260</v>
      </c>
      <c r="K1213" s="58" t="s">
        <v>5</v>
      </c>
      <c r="L1213" s="49" t="s">
        <v>65</v>
      </c>
      <c r="M1213" s="61">
        <v>43076</v>
      </c>
      <c r="N1213" s="49" t="s">
        <v>4261</v>
      </c>
      <c r="O1213" s="49" t="s">
        <v>5</v>
      </c>
      <c r="P1213" s="51" t="s">
        <v>65</v>
      </c>
      <c r="Q1213" s="51" t="s">
        <v>2702</v>
      </c>
      <c r="R1213" s="67" t="e" cm="1">
        <f t="array" ref="R1213">_xlfn.CHOOSECOLS(_xlfn.CHOOSEROWS(_xlfn._xlws.FILTER(표2[],표2[DWG No.]=C1213,""),1),6)</f>
        <v>#VALUE!</v>
      </c>
      <c r="S1213" s="67" t="e" cm="1">
        <f t="array" ref="S1213">_xlfn.CHOOSECOLS(_xlfn.CHOOSEROWS(_xlfn._xlws.FILTER(표2[],(표2[DWG No.]=C1213)*(ISNUMBER(표2[Rev.])),""),1),6)</f>
        <v>#VALUE!</v>
      </c>
    </row>
    <row r="1214" spans="1:19" ht="18" customHeight="1" x14ac:dyDescent="0.45">
      <c r="A1214" s="64">
        <v>1209</v>
      </c>
      <c r="B1214" s="49" t="s">
        <v>2912</v>
      </c>
      <c r="C1214" s="50" t="s">
        <v>4301</v>
      </c>
      <c r="D1214" s="49">
        <v>156086</v>
      </c>
      <c r="E1214" s="50" t="s">
        <v>4302</v>
      </c>
      <c r="F1214" s="49" t="s">
        <v>5</v>
      </c>
      <c r="G1214" s="48">
        <v>43063</v>
      </c>
      <c r="H1214" s="48">
        <v>43093</v>
      </c>
      <c r="I1214" s="48">
        <v>43063</v>
      </c>
      <c r="J1214" s="49" t="s">
        <v>4260</v>
      </c>
      <c r="K1214" s="58" t="s">
        <v>5</v>
      </c>
      <c r="L1214" s="49" t="s">
        <v>65</v>
      </c>
      <c r="M1214" s="61">
        <v>43076</v>
      </c>
      <c r="N1214" s="49" t="s">
        <v>4261</v>
      </c>
      <c r="O1214" s="49" t="s">
        <v>5</v>
      </c>
      <c r="P1214" s="51" t="s">
        <v>65</v>
      </c>
      <c r="Q1214" s="51" t="s">
        <v>2702</v>
      </c>
      <c r="R1214" s="67" t="e" cm="1">
        <f t="array" ref="R1214">_xlfn.CHOOSECOLS(_xlfn.CHOOSEROWS(_xlfn._xlws.FILTER(표2[],표2[DWG No.]=C1214,""),1),6)</f>
        <v>#VALUE!</v>
      </c>
      <c r="S1214" s="67" t="e" cm="1">
        <f t="array" ref="S1214">_xlfn.CHOOSECOLS(_xlfn.CHOOSEROWS(_xlfn._xlws.FILTER(표2[],(표2[DWG No.]=C1214)*(ISNUMBER(표2[Rev.])),""),1),6)</f>
        <v>#VALUE!</v>
      </c>
    </row>
    <row r="1215" spans="1:19" ht="18" customHeight="1" x14ac:dyDescent="0.45">
      <c r="A1215" s="64">
        <v>1210</v>
      </c>
      <c r="B1215" s="49" t="s">
        <v>2912</v>
      </c>
      <c r="C1215" s="50" t="s">
        <v>4303</v>
      </c>
      <c r="D1215" s="49">
        <v>156081</v>
      </c>
      <c r="E1215" s="50" t="s">
        <v>4304</v>
      </c>
      <c r="F1215" s="49" t="s">
        <v>5</v>
      </c>
      <c r="G1215" s="48">
        <v>43063</v>
      </c>
      <c r="H1215" s="48">
        <v>43093</v>
      </c>
      <c r="I1215" s="48">
        <v>43063</v>
      </c>
      <c r="J1215" s="49" t="s">
        <v>4260</v>
      </c>
      <c r="K1215" s="58" t="s">
        <v>5</v>
      </c>
      <c r="L1215" s="49" t="s">
        <v>65</v>
      </c>
      <c r="M1215" s="61">
        <v>43076</v>
      </c>
      <c r="N1215" s="49" t="s">
        <v>4261</v>
      </c>
      <c r="O1215" s="49" t="s">
        <v>5</v>
      </c>
      <c r="P1215" s="51" t="s">
        <v>65</v>
      </c>
      <c r="Q1215" s="51" t="s">
        <v>2702</v>
      </c>
      <c r="R1215" s="67" t="e" cm="1">
        <f t="array" ref="R1215">_xlfn.CHOOSECOLS(_xlfn.CHOOSEROWS(_xlfn._xlws.FILTER(표2[],표2[DWG No.]=C1215,""),1),6)</f>
        <v>#VALUE!</v>
      </c>
      <c r="S1215" s="67" t="e" cm="1">
        <f t="array" ref="S1215">_xlfn.CHOOSECOLS(_xlfn.CHOOSEROWS(_xlfn._xlws.FILTER(표2[],(표2[DWG No.]=C1215)*(ISNUMBER(표2[Rev.])),""),1),6)</f>
        <v>#VALUE!</v>
      </c>
    </row>
    <row r="1216" spans="1:19" ht="18" customHeight="1" x14ac:dyDescent="0.45">
      <c r="A1216" s="64">
        <v>1211</v>
      </c>
      <c r="B1216" s="49" t="s">
        <v>2912</v>
      </c>
      <c r="C1216" s="50" t="s">
        <v>4305</v>
      </c>
      <c r="D1216" s="49">
        <v>156076</v>
      </c>
      <c r="E1216" s="50" t="s">
        <v>4306</v>
      </c>
      <c r="F1216" s="49" t="s">
        <v>5</v>
      </c>
      <c r="G1216" s="48">
        <v>43063</v>
      </c>
      <c r="H1216" s="48">
        <v>43093</v>
      </c>
      <c r="I1216" s="48">
        <v>43063</v>
      </c>
      <c r="J1216" s="49" t="s">
        <v>4260</v>
      </c>
      <c r="K1216" s="58" t="s">
        <v>5</v>
      </c>
      <c r="L1216" s="49" t="s">
        <v>65</v>
      </c>
      <c r="M1216" s="61">
        <v>43076</v>
      </c>
      <c r="N1216" s="49" t="s">
        <v>4261</v>
      </c>
      <c r="O1216" s="49" t="s">
        <v>5</v>
      </c>
      <c r="P1216" s="51" t="s">
        <v>65</v>
      </c>
      <c r="Q1216" s="51" t="s">
        <v>2702</v>
      </c>
      <c r="R1216" s="67" t="e" cm="1">
        <f t="array" ref="R1216">_xlfn.CHOOSECOLS(_xlfn.CHOOSEROWS(_xlfn._xlws.FILTER(표2[],표2[DWG No.]=C1216,""),1),6)</f>
        <v>#VALUE!</v>
      </c>
      <c r="S1216" s="67" t="e" cm="1">
        <f t="array" ref="S1216">_xlfn.CHOOSECOLS(_xlfn.CHOOSEROWS(_xlfn._xlws.FILTER(표2[],(표2[DWG No.]=C1216)*(ISNUMBER(표2[Rev.])),""),1),6)</f>
        <v>#VALUE!</v>
      </c>
    </row>
    <row r="1217" spans="1:19" ht="18" customHeight="1" x14ac:dyDescent="0.45">
      <c r="A1217" s="64">
        <v>1212</v>
      </c>
      <c r="B1217" s="49" t="s">
        <v>2912</v>
      </c>
      <c r="C1217" s="50" t="s">
        <v>4307</v>
      </c>
      <c r="D1217" s="49">
        <v>156071</v>
      </c>
      <c r="E1217" s="50" t="s">
        <v>4308</v>
      </c>
      <c r="F1217" s="49" t="s">
        <v>5</v>
      </c>
      <c r="G1217" s="48">
        <v>43063</v>
      </c>
      <c r="H1217" s="48">
        <v>43093</v>
      </c>
      <c r="I1217" s="48">
        <v>43063</v>
      </c>
      <c r="J1217" s="49" t="s">
        <v>4260</v>
      </c>
      <c r="K1217" s="58" t="s">
        <v>5</v>
      </c>
      <c r="L1217" s="49" t="s">
        <v>65</v>
      </c>
      <c r="M1217" s="61">
        <v>43076</v>
      </c>
      <c r="N1217" s="49" t="s">
        <v>4261</v>
      </c>
      <c r="O1217" s="49" t="s">
        <v>5</v>
      </c>
      <c r="P1217" s="51" t="s">
        <v>65</v>
      </c>
      <c r="Q1217" s="51" t="s">
        <v>2702</v>
      </c>
      <c r="R1217" s="67" t="e" cm="1">
        <f t="array" ref="R1217">_xlfn.CHOOSECOLS(_xlfn.CHOOSEROWS(_xlfn._xlws.FILTER(표2[],표2[DWG No.]=C1217,""),1),6)</f>
        <v>#VALUE!</v>
      </c>
      <c r="S1217" s="67" t="e" cm="1">
        <f t="array" ref="S1217">_xlfn.CHOOSECOLS(_xlfn.CHOOSEROWS(_xlfn._xlws.FILTER(표2[],(표2[DWG No.]=C1217)*(ISNUMBER(표2[Rev.])),""),1),6)</f>
        <v>#VALUE!</v>
      </c>
    </row>
    <row r="1218" spans="1:19" ht="18" customHeight="1" x14ac:dyDescent="0.45">
      <c r="A1218" s="64">
        <v>1213</v>
      </c>
      <c r="B1218" s="49" t="s">
        <v>2912</v>
      </c>
      <c r="C1218" s="50" t="s">
        <v>4309</v>
      </c>
      <c r="D1218" s="49">
        <v>156066</v>
      </c>
      <c r="E1218" s="50" t="s">
        <v>4310</v>
      </c>
      <c r="F1218" s="49" t="s">
        <v>5</v>
      </c>
      <c r="G1218" s="48">
        <v>43063</v>
      </c>
      <c r="H1218" s="48">
        <v>43093</v>
      </c>
      <c r="I1218" s="48">
        <v>43063</v>
      </c>
      <c r="J1218" s="49" t="s">
        <v>4260</v>
      </c>
      <c r="K1218" s="58" t="s">
        <v>5</v>
      </c>
      <c r="L1218" s="49" t="s">
        <v>65</v>
      </c>
      <c r="M1218" s="61">
        <v>43076</v>
      </c>
      <c r="N1218" s="49" t="s">
        <v>4261</v>
      </c>
      <c r="O1218" s="49" t="s">
        <v>5</v>
      </c>
      <c r="P1218" s="51" t="s">
        <v>65</v>
      </c>
      <c r="Q1218" s="51" t="s">
        <v>2702</v>
      </c>
      <c r="R1218" s="67" t="e" cm="1">
        <f t="array" ref="R1218">_xlfn.CHOOSECOLS(_xlfn.CHOOSEROWS(_xlfn._xlws.FILTER(표2[],표2[DWG No.]=C1218,""),1),6)</f>
        <v>#VALUE!</v>
      </c>
      <c r="S1218" s="67" t="e" cm="1">
        <f t="array" ref="S1218">_xlfn.CHOOSECOLS(_xlfn.CHOOSEROWS(_xlfn._xlws.FILTER(표2[],(표2[DWG No.]=C1218)*(ISNUMBER(표2[Rev.])),""),1),6)</f>
        <v>#VALUE!</v>
      </c>
    </row>
    <row r="1219" spans="1:19" ht="18" customHeight="1" x14ac:dyDescent="0.45">
      <c r="A1219" s="64">
        <v>1214</v>
      </c>
      <c r="B1219" s="49" t="s">
        <v>2912</v>
      </c>
      <c r="C1219" s="50" t="s">
        <v>4311</v>
      </c>
      <c r="D1219" s="49">
        <v>156061</v>
      </c>
      <c r="E1219" s="50" t="s">
        <v>4312</v>
      </c>
      <c r="F1219" s="49" t="s">
        <v>5</v>
      </c>
      <c r="G1219" s="48">
        <v>43063</v>
      </c>
      <c r="H1219" s="48">
        <v>43093</v>
      </c>
      <c r="I1219" s="48">
        <v>43063</v>
      </c>
      <c r="J1219" s="49" t="s">
        <v>4260</v>
      </c>
      <c r="K1219" s="58" t="s">
        <v>5</v>
      </c>
      <c r="L1219" s="49" t="s">
        <v>65</v>
      </c>
      <c r="M1219" s="61">
        <v>43076</v>
      </c>
      <c r="N1219" s="49" t="s">
        <v>4261</v>
      </c>
      <c r="O1219" s="49" t="s">
        <v>5</v>
      </c>
      <c r="P1219" s="51" t="s">
        <v>65</v>
      </c>
      <c r="Q1219" s="51" t="s">
        <v>2702</v>
      </c>
      <c r="R1219" s="67" t="e" cm="1">
        <f t="array" ref="R1219">_xlfn.CHOOSECOLS(_xlfn.CHOOSEROWS(_xlfn._xlws.FILTER(표2[],표2[DWG No.]=C1219,""),1),6)</f>
        <v>#VALUE!</v>
      </c>
      <c r="S1219" s="67" t="e" cm="1">
        <f t="array" ref="S1219">_xlfn.CHOOSECOLS(_xlfn.CHOOSEROWS(_xlfn._xlws.FILTER(표2[],(표2[DWG No.]=C1219)*(ISNUMBER(표2[Rev.])),""),1),6)</f>
        <v>#VALUE!</v>
      </c>
    </row>
    <row r="1220" spans="1:19" ht="18" customHeight="1" x14ac:dyDescent="0.45">
      <c r="A1220" s="64">
        <v>1215</v>
      </c>
      <c r="B1220" s="49" t="s">
        <v>2912</v>
      </c>
      <c r="C1220" s="50" t="s">
        <v>4313</v>
      </c>
      <c r="D1220" s="49">
        <v>156051</v>
      </c>
      <c r="E1220" s="50" t="s">
        <v>4314</v>
      </c>
      <c r="F1220" s="49" t="s">
        <v>5</v>
      </c>
      <c r="G1220" s="48">
        <v>43063</v>
      </c>
      <c r="H1220" s="48">
        <v>43093</v>
      </c>
      <c r="I1220" s="48">
        <v>43063</v>
      </c>
      <c r="J1220" s="49" t="s">
        <v>4260</v>
      </c>
      <c r="K1220" s="58" t="s">
        <v>5</v>
      </c>
      <c r="L1220" s="49" t="s">
        <v>65</v>
      </c>
      <c r="M1220" s="61">
        <v>43076</v>
      </c>
      <c r="N1220" s="49" t="s">
        <v>4261</v>
      </c>
      <c r="O1220" s="49" t="s">
        <v>5</v>
      </c>
      <c r="P1220" s="51" t="s">
        <v>65</v>
      </c>
      <c r="Q1220" s="51" t="s">
        <v>2702</v>
      </c>
      <c r="R1220" s="67" t="e" cm="1">
        <f t="array" ref="R1220">_xlfn.CHOOSECOLS(_xlfn.CHOOSEROWS(_xlfn._xlws.FILTER(표2[],표2[DWG No.]=C1220,""),1),6)</f>
        <v>#VALUE!</v>
      </c>
      <c r="S1220" s="67" t="e" cm="1">
        <f t="array" ref="S1220">_xlfn.CHOOSECOLS(_xlfn.CHOOSEROWS(_xlfn._xlws.FILTER(표2[],(표2[DWG No.]=C1220)*(ISNUMBER(표2[Rev.])),""),1),6)</f>
        <v>#VALUE!</v>
      </c>
    </row>
    <row r="1221" spans="1:19" ht="18" customHeight="1" x14ac:dyDescent="0.45">
      <c r="A1221" s="64">
        <v>1216</v>
      </c>
      <c r="B1221" s="49" t="s">
        <v>2912</v>
      </c>
      <c r="C1221" s="50" t="s">
        <v>4315</v>
      </c>
      <c r="D1221" s="49">
        <v>156046</v>
      </c>
      <c r="E1221" s="50" t="s">
        <v>4316</v>
      </c>
      <c r="F1221" s="49" t="s">
        <v>5</v>
      </c>
      <c r="G1221" s="48">
        <v>43063</v>
      </c>
      <c r="H1221" s="48">
        <v>43093</v>
      </c>
      <c r="I1221" s="48">
        <v>43063</v>
      </c>
      <c r="J1221" s="49" t="s">
        <v>4260</v>
      </c>
      <c r="K1221" s="58" t="s">
        <v>5</v>
      </c>
      <c r="L1221" s="49" t="s">
        <v>65</v>
      </c>
      <c r="M1221" s="61">
        <v>43076</v>
      </c>
      <c r="N1221" s="49" t="s">
        <v>4261</v>
      </c>
      <c r="O1221" s="49" t="s">
        <v>5</v>
      </c>
      <c r="P1221" s="51" t="s">
        <v>65</v>
      </c>
      <c r="Q1221" s="51" t="s">
        <v>2702</v>
      </c>
      <c r="R1221" s="67" t="e" cm="1">
        <f t="array" ref="R1221">_xlfn.CHOOSECOLS(_xlfn.CHOOSEROWS(_xlfn._xlws.FILTER(표2[],표2[DWG No.]=C1221,""),1),6)</f>
        <v>#VALUE!</v>
      </c>
      <c r="S1221" s="67" t="e" cm="1">
        <f t="array" ref="S1221">_xlfn.CHOOSECOLS(_xlfn.CHOOSEROWS(_xlfn._xlws.FILTER(표2[],(표2[DWG No.]=C1221)*(ISNUMBER(표2[Rev.])),""),1),6)</f>
        <v>#VALUE!</v>
      </c>
    </row>
    <row r="1222" spans="1:19" ht="18" customHeight="1" x14ac:dyDescent="0.45">
      <c r="A1222" s="64">
        <v>1217</v>
      </c>
      <c r="B1222" s="49" t="s">
        <v>2912</v>
      </c>
      <c r="C1222" s="50" t="s">
        <v>4317</v>
      </c>
      <c r="D1222" s="49">
        <v>156041</v>
      </c>
      <c r="E1222" s="50" t="s">
        <v>4318</v>
      </c>
      <c r="F1222" s="49" t="s">
        <v>5</v>
      </c>
      <c r="G1222" s="48">
        <v>43063</v>
      </c>
      <c r="H1222" s="48">
        <v>43093</v>
      </c>
      <c r="I1222" s="48">
        <v>43063</v>
      </c>
      <c r="J1222" s="49" t="s">
        <v>4260</v>
      </c>
      <c r="K1222" s="58" t="s">
        <v>5</v>
      </c>
      <c r="L1222" s="49" t="s">
        <v>65</v>
      </c>
      <c r="M1222" s="61">
        <v>43076</v>
      </c>
      <c r="N1222" s="49" t="s">
        <v>4261</v>
      </c>
      <c r="O1222" s="49" t="s">
        <v>5</v>
      </c>
      <c r="P1222" s="51" t="s">
        <v>65</v>
      </c>
      <c r="Q1222" s="51" t="s">
        <v>2702</v>
      </c>
      <c r="R1222" s="67" t="e" cm="1">
        <f t="array" ref="R1222">_xlfn.CHOOSECOLS(_xlfn.CHOOSEROWS(_xlfn._xlws.FILTER(표2[],표2[DWG No.]=C1222,""),1),6)</f>
        <v>#VALUE!</v>
      </c>
      <c r="S1222" s="67" t="e" cm="1">
        <f t="array" ref="S1222">_xlfn.CHOOSECOLS(_xlfn.CHOOSEROWS(_xlfn._xlws.FILTER(표2[],(표2[DWG No.]=C1222)*(ISNUMBER(표2[Rev.])),""),1),6)</f>
        <v>#VALUE!</v>
      </c>
    </row>
    <row r="1223" spans="1:19" ht="18" customHeight="1" x14ac:dyDescent="0.45">
      <c r="A1223" s="64">
        <v>1218</v>
      </c>
      <c r="B1223" s="49" t="s">
        <v>2912</v>
      </c>
      <c r="C1223" s="50" t="s">
        <v>4319</v>
      </c>
      <c r="D1223" s="49">
        <v>156036</v>
      </c>
      <c r="E1223" s="50" t="s">
        <v>4320</v>
      </c>
      <c r="F1223" s="49" t="s">
        <v>5</v>
      </c>
      <c r="G1223" s="48">
        <v>43063</v>
      </c>
      <c r="H1223" s="48">
        <v>43093</v>
      </c>
      <c r="I1223" s="48">
        <v>43063</v>
      </c>
      <c r="J1223" s="49" t="s">
        <v>4260</v>
      </c>
      <c r="K1223" s="58" t="s">
        <v>5</v>
      </c>
      <c r="L1223" s="49" t="s">
        <v>65</v>
      </c>
      <c r="M1223" s="61">
        <v>43076</v>
      </c>
      <c r="N1223" s="49" t="s">
        <v>4261</v>
      </c>
      <c r="O1223" s="49" t="s">
        <v>5</v>
      </c>
      <c r="P1223" s="51" t="s">
        <v>65</v>
      </c>
      <c r="Q1223" s="51" t="s">
        <v>2702</v>
      </c>
      <c r="R1223" s="67" t="e" cm="1">
        <f t="array" ref="R1223">_xlfn.CHOOSECOLS(_xlfn.CHOOSEROWS(_xlfn._xlws.FILTER(표2[],표2[DWG No.]=C1223,""),1),6)</f>
        <v>#VALUE!</v>
      </c>
      <c r="S1223" s="67" t="e" cm="1">
        <f t="array" ref="S1223">_xlfn.CHOOSECOLS(_xlfn.CHOOSEROWS(_xlfn._xlws.FILTER(표2[],(표2[DWG No.]=C1223)*(ISNUMBER(표2[Rev.])),""),1),6)</f>
        <v>#VALUE!</v>
      </c>
    </row>
    <row r="1224" spans="1:19" ht="18" customHeight="1" x14ac:dyDescent="0.45">
      <c r="A1224" s="64">
        <v>1219</v>
      </c>
      <c r="B1224" s="49" t="s">
        <v>2912</v>
      </c>
      <c r="C1224" s="50" t="s">
        <v>4321</v>
      </c>
      <c r="D1224" s="49">
        <v>156031</v>
      </c>
      <c r="E1224" s="50" t="s">
        <v>4322</v>
      </c>
      <c r="F1224" s="49" t="s">
        <v>5</v>
      </c>
      <c r="G1224" s="48">
        <v>43063</v>
      </c>
      <c r="H1224" s="48">
        <v>43093</v>
      </c>
      <c r="I1224" s="48">
        <v>43063</v>
      </c>
      <c r="J1224" s="49" t="s">
        <v>4260</v>
      </c>
      <c r="K1224" s="58" t="s">
        <v>5</v>
      </c>
      <c r="L1224" s="49" t="s">
        <v>65</v>
      </c>
      <c r="M1224" s="61">
        <v>43076</v>
      </c>
      <c r="N1224" s="49" t="s">
        <v>4261</v>
      </c>
      <c r="O1224" s="49" t="s">
        <v>5</v>
      </c>
      <c r="P1224" s="51" t="s">
        <v>65</v>
      </c>
      <c r="Q1224" s="51" t="s">
        <v>2702</v>
      </c>
      <c r="R1224" s="67" t="e" cm="1">
        <f t="array" ref="R1224">_xlfn.CHOOSECOLS(_xlfn.CHOOSEROWS(_xlfn._xlws.FILTER(표2[],표2[DWG No.]=C1224,""),1),6)</f>
        <v>#VALUE!</v>
      </c>
      <c r="S1224" s="67" t="e" cm="1">
        <f t="array" ref="S1224">_xlfn.CHOOSECOLS(_xlfn.CHOOSEROWS(_xlfn._xlws.FILTER(표2[],(표2[DWG No.]=C1224)*(ISNUMBER(표2[Rev.])),""),1),6)</f>
        <v>#VALUE!</v>
      </c>
    </row>
    <row r="1225" spans="1:19" ht="18" customHeight="1" x14ac:dyDescent="0.45">
      <c r="A1225" s="64">
        <v>1220</v>
      </c>
      <c r="B1225" s="49" t="s">
        <v>2912</v>
      </c>
      <c r="C1225" s="50" t="s">
        <v>4323</v>
      </c>
      <c r="D1225" s="49">
        <v>156026</v>
      </c>
      <c r="E1225" s="50" t="s">
        <v>4324</v>
      </c>
      <c r="F1225" s="49" t="s">
        <v>5</v>
      </c>
      <c r="G1225" s="48">
        <v>43063</v>
      </c>
      <c r="H1225" s="48">
        <v>43093</v>
      </c>
      <c r="I1225" s="48">
        <v>43063</v>
      </c>
      <c r="J1225" s="49" t="s">
        <v>4260</v>
      </c>
      <c r="K1225" s="58" t="s">
        <v>5</v>
      </c>
      <c r="L1225" s="49" t="s">
        <v>65</v>
      </c>
      <c r="M1225" s="61">
        <v>43076</v>
      </c>
      <c r="N1225" s="49" t="s">
        <v>4261</v>
      </c>
      <c r="O1225" s="49" t="s">
        <v>5</v>
      </c>
      <c r="P1225" s="51" t="s">
        <v>65</v>
      </c>
      <c r="Q1225" s="51" t="s">
        <v>2702</v>
      </c>
      <c r="R1225" s="67" t="e" cm="1">
        <f t="array" ref="R1225">_xlfn.CHOOSECOLS(_xlfn.CHOOSEROWS(_xlfn._xlws.FILTER(표2[],표2[DWG No.]=C1225,""),1),6)</f>
        <v>#VALUE!</v>
      </c>
      <c r="S1225" s="67" t="e" cm="1">
        <f t="array" ref="S1225">_xlfn.CHOOSECOLS(_xlfn.CHOOSEROWS(_xlfn._xlws.FILTER(표2[],(표2[DWG No.]=C1225)*(ISNUMBER(표2[Rev.])),""),1),6)</f>
        <v>#VALUE!</v>
      </c>
    </row>
    <row r="1226" spans="1:19" ht="18" customHeight="1" x14ac:dyDescent="0.45">
      <c r="A1226" s="64">
        <v>1221</v>
      </c>
      <c r="B1226" s="49" t="s">
        <v>2912</v>
      </c>
      <c r="C1226" s="50" t="s">
        <v>4325</v>
      </c>
      <c r="D1226" s="49">
        <v>156021</v>
      </c>
      <c r="E1226" s="50" t="s">
        <v>4326</v>
      </c>
      <c r="F1226" s="49" t="s">
        <v>5</v>
      </c>
      <c r="G1226" s="48">
        <v>43063</v>
      </c>
      <c r="H1226" s="48">
        <v>43093</v>
      </c>
      <c r="I1226" s="48">
        <v>43063</v>
      </c>
      <c r="J1226" s="49" t="s">
        <v>4260</v>
      </c>
      <c r="K1226" s="58" t="s">
        <v>5</v>
      </c>
      <c r="L1226" s="49" t="s">
        <v>65</v>
      </c>
      <c r="M1226" s="61">
        <v>43076</v>
      </c>
      <c r="N1226" s="49" t="s">
        <v>4261</v>
      </c>
      <c r="O1226" s="49" t="s">
        <v>5</v>
      </c>
      <c r="P1226" s="51" t="s">
        <v>65</v>
      </c>
      <c r="Q1226" s="51" t="s">
        <v>2702</v>
      </c>
      <c r="R1226" s="67" t="e" cm="1">
        <f t="array" ref="R1226">_xlfn.CHOOSECOLS(_xlfn.CHOOSEROWS(_xlfn._xlws.FILTER(표2[],표2[DWG No.]=C1226,""),1),6)</f>
        <v>#VALUE!</v>
      </c>
      <c r="S1226" s="67" t="e" cm="1">
        <f t="array" ref="S1226">_xlfn.CHOOSECOLS(_xlfn.CHOOSEROWS(_xlfn._xlws.FILTER(표2[],(표2[DWG No.]=C1226)*(ISNUMBER(표2[Rev.])),""),1),6)</f>
        <v>#VALUE!</v>
      </c>
    </row>
    <row r="1227" spans="1:19" ht="18" customHeight="1" x14ac:dyDescent="0.45">
      <c r="A1227" s="64">
        <v>1222</v>
      </c>
      <c r="B1227" s="49" t="s">
        <v>2912</v>
      </c>
      <c r="C1227" s="50" t="s">
        <v>4327</v>
      </c>
      <c r="D1227" s="49">
        <v>156317</v>
      </c>
      <c r="E1227" s="50" t="s">
        <v>4328</v>
      </c>
      <c r="F1227" s="49" t="s">
        <v>5</v>
      </c>
      <c r="G1227" s="48">
        <v>43063</v>
      </c>
      <c r="H1227" s="48">
        <v>43093</v>
      </c>
      <c r="I1227" s="48">
        <v>43063</v>
      </c>
      <c r="J1227" s="49" t="s">
        <v>4260</v>
      </c>
      <c r="K1227" s="58" t="s">
        <v>5</v>
      </c>
      <c r="L1227" s="49" t="s">
        <v>65</v>
      </c>
      <c r="M1227" s="61">
        <v>43076</v>
      </c>
      <c r="N1227" s="49" t="s">
        <v>4261</v>
      </c>
      <c r="O1227" s="49" t="s">
        <v>5</v>
      </c>
      <c r="P1227" s="51" t="s">
        <v>65</v>
      </c>
      <c r="Q1227" s="51" t="s">
        <v>2702</v>
      </c>
      <c r="R1227" s="67" t="e" cm="1">
        <f t="array" ref="R1227">_xlfn.CHOOSECOLS(_xlfn.CHOOSEROWS(_xlfn._xlws.FILTER(표2[],표2[DWG No.]=C1227,""),1),6)</f>
        <v>#VALUE!</v>
      </c>
      <c r="S1227" s="67" t="e" cm="1">
        <f t="array" ref="S1227">_xlfn.CHOOSECOLS(_xlfn.CHOOSEROWS(_xlfn._xlws.FILTER(표2[],(표2[DWG No.]=C1227)*(ISNUMBER(표2[Rev.])),""),1),6)</f>
        <v>#VALUE!</v>
      </c>
    </row>
    <row r="1228" spans="1:19" ht="18" customHeight="1" x14ac:dyDescent="0.45">
      <c r="A1228" s="64">
        <v>1223</v>
      </c>
      <c r="B1228" s="49" t="s">
        <v>2912</v>
      </c>
      <c r="C1228" s="50" t="s">
        <v>4329</v>
      </c>
      <c r="D1228" s="49">
        <v>156312</v>
      </c>
      <c r="E1228" s="50" t="s">
        <v>4330</v>
      </c>
      <c r="F1228" s="49" t="s">
        <v>5</v>
      </c>
      <c r="G1228" s="48">
        <v>43063</v>
      </c>
      <c r="H1228" s="48">
        <v>43093</v>
      </c>
      <c r="I1228" s="48">
        <v>43063</v>
      </c>
      <c r="J1228" s="49" t="s">
        <v>4260</v>
      </c>
      <c r="K1228" s="58" t="s">
        <v>5</v>
      </c>
      <c r="L1228" s="49" t="s">
        <v>65</v>
      </c>
      <c r="M1228" s="61">
        <v>43076</v>
      </c>
      <c r="N1228" s="49" t="s">
        <v>4261</v>
      </c>
      <c r="O1228" s="49" t="s">
        <v>5</v>
      </c>
      <c r="P1228" s="51" t="s">
        <v>65</v>
      </c>
      <c r="Q1228" s="51" t="s">
        <v>2702</v>
      </c>
      <c r="R1228" s="67" t="e" cm="1">
        <f t="array" ref="R1228">_xlfn.CHOOSECOLS(_xlfn.CHOOSEROWS(_xlfn._xlws.FILTER(표2[],표2[DWG No.]=C1228,""),1),6)</f>
        <v>#VALUE!</v>
      </c>
      <c r="S1228" s="67" t="e" cm="1">
        <f t="array" ref="S1228">_xlfn.CHOOSECOLS(_xlfn.CHOOSEROWS(_xlfn._xlws.FILTER(표2[],(표2[DWG No.]=C1228)*(ISNUMBER(표2[Rev.])),""),1),6)</f>
        <v>#VALUE!</v>
      </c>
    </row>
    <row r="1229" spans="1:19" ht="18" customHeight="1" x14ac:dyDescent="0.45">
      <c r="A1229" s="64">
        <v>1224</v>
      </c>
      <c r="B1229" s="49" t="s">
        <v>2912</v>
      </c>
      <c r="C1229" s="50" t="s">
        <v>4331</v>
      </c>
      <c r="D1229" s="49">
        <v>156307</v>
      </c>
      <c r="E1229" s="50" t="s">
        <v>4332</v>
      </c>
      <c r="F1229" s="49" t="s">
        <v>5</v>
      </c>
      <c r="G1229" s="48">
        <v>43063</v>
      </c>
      <c r="H1229" s="48">
        <v>43093</v>
      </c>
      <c r="I1229" s="48">
        <v>43063</v>
      </c>
      <c r="J1229" s="49" t="s">
        <v>4260</v>
      </c>
      <c r="K1229" s="58" t="s">
        <v>5</v>
      </c>
      <c r="L1229" s="49" t="s">
        <v>65</v>
      </c>
      <c r="M1229" s="61">
        <v>43076</v>
      </c>
      <c r="N1229" s="49" t="s">
        <v>4261</v>
      </c>
      <c r="O1229" s="49" t="s">
        <v>5</v>
      </c>
      <c r="P1229" s="51" t="s">
        <v>65</v>
      </c>
      <c r="Q1229" s="51" t="s">
        <v>2702</v>
      </c>
      <c r="R1229" s="67" t="e" cm="1">
        <f t="array" ref="R1229">_xlfn.CHOOSECOLS(_xlfn.CHOOSEROWS(_xlfn._xlws.FILTER(표2[],표2[DWG No.]=C1229,""),1),6)</f>
        <v>#VALUE!</v>
      </c>
      <c r="S1229" s="67" t="e" cm="1">
        <f t="array" ref="S1229">_xlfn.CHOOSECOLS(_xlfn.CHOOSEROWS(_xlfn._xlws.FILTER(표2[],(표2[DWG No.]=C1229)*(ISNUMBER(표2[Rev.])),""),1),6)</f>
        <v>#VALUE!</v>
      </c>
    </row>
    <row r="1230" spans="1:19" ht="18" customHeight="1" x14ac:dyDescent="0.45">
      <c r="A1230" s="64">
        <v>1225</v>
      </c>
      <c r="B1230" s="49" t="s">
        <v>2912</v>
      </c>
      <c r="C1230" s="50" t="s">
        <v>4333</v>
      </c>
      <c r="D1230" s="49">
        <v>156306</v>
      </c>
      <c r="E1230" s="50" t="s">
        <v>4334</v>
      </c>
      <c r="F1230" s="49" t="s">
        <v>5</v>
      </c>
      <c r="G1230" s="48">
        <v>43017</v>
      </c>
      <c r="H1230" s="48">
        <v>43047</v>
      </c>
      <c r="I1230" s="48">
        <v>43017</v>
      </c>
      <c r="J1230" s="49" t="s">
        <v>4156</v>
      </c>
      <c r="K1230" s="58" t="s">
        <v>5</v>
      </c>
      <c r="L1230" s="49" t="s">
        <v>65</v>
      </c>
      <c r="M1230" s="48">
        <v>43025</v>
      </c>
      <c r="N1230" s="49" t="s">
        <v>4157</v>
      </c>
      <c r="O1230" s="49" t="s">
        <v>5</v>
      </c>
      <c r="P1230" s="49" t="s">
        <v>65</v>
      </c>
      <c r="Q1230" s="49" t="s">
        <v>2702</v>
      </c>
      <c r="R1230" s="67" t="e" cm="1">
        <f t="array" ref="R1230">_xlfn.CHOOSECOLS(_xlfn.CHOOSEROWS(_xlfn._xlws.FILTER(표2[],표2[DWG No.]=C1230,""),1),6)</f>
        <v>#VALUE!</v>
      </c>
      <c r="S1230" s="67" t="e" cm="1">
        <f t="array" ref="S1230">_xlfn.CHOOSECOLS(_xlfn.CHOOSEROWS(_xlfn._xlws.FILTER(표2[],(표2[DWG No.]=C1230)*(ISNUMBER(표2[Rev.])),""),1),6)</f>
        <v>#VALUE!</v>
      </c>
    </row>
    <row r="1231" spans="1:19" ht="18" customHeight="1" x14ac:dyDescent="0.45">
      <c r="A1231" s="64">
        <v>1226</v>
      </c>
      <c r="B1231" s="49" t="s">
        <v>2912</v>
      </c>
      <c r="C1231" s="50" t="s">
        <v>4335</v>
      </c>
      <c r="D1231" s="49">
        <v>156308</v>
      </c>
      <c r="E1231" s="50" t="s">
        <v>4336</v>
      </c>
      <c r="F1231" s="49" t="s">
        <v>5</v>
      </c>
      <c r="G1231" s="48">
        <v>43076</v>
      </c>
      <c r="H1231" s="48">
        <v>43106</v>
      </c>
      <c r="I1231" s="48">
        <v>43076</v>
      </c>
      <c r="J1231" s="49" t="s">
        <v>4337</v>
      </c>
      <c r="K1231" s="58" t="s">
        <v>5</v>
      </c>
      <c r="L1231" s="49" t="s">
        <v>65</v>
      </c>
      <c r="M1231" s="61">
        <v>43108</v>
      </c>
      <c r="N1231" s="51" t="s">
        <v>3897</v>
      </c>
      <c r="O1231" s="49" t="s">
        <v>5</v>
      </c>
      <c r="P1231" s="51" t="s">
        <v>65</v>
      </c>
      <c r="Q1231" s="51" t="s">
        <v>2702</v>
      </c>
      <c r="R1231" s="67" t="e" cm="1">
        <f t="array" ref="R1231">_xlfn.CHOOSECOLS(_xlfn.CHOOSEROWS(_xlfn._xlws.FILTER(표2[],표2[DWG No.]=C1231,""),1),6)</f>
        <v>#VALUE!</v>
      </c>
      <c r="S1231" s="67" t="e" cm="1">
        <f t="array" ref="S1231">_xlfn.CHOOSECOLS(_xlfn.CHOOSEROWS(_xlfn._xlws.FILTER(표2[],(표2[DWG No.]=C1231)*(ISNUMBER(표2[Rev.])),""),1),6)</f>
        <v>#VALUE!</v>
      </c>
    </row>
    <row r="1232" spans="1:19" ht="18" customHeight="1" x14ac:dyDescent="0.45">
      <c r="A1232" s="64">
        <v>1227</v>
      </c>
      <c r="B1232" s="49" t="s">
        <v>2912</v>
      </c>
      <c r="C1232" s="50" t="s">
        <v>4338</v>
      </c>
      <c r="D1232" s="49">
        <v>156315</v>
      </c>
      <c r="E1232" s="50" t="s">
        <v>4339</v>
      </c>
      <c r="F1232" s="49" t="s">
        <v>5</v>
      </c>
      <c r="G1232" s="48">
        <v>43063</v>
      </c>
      <c r="H1232" s="48">
        <v>43093</v>
      </c>
      <c r="I1232" s="48">
        <v>43199</v>
      </c>
      <c r="J1232" s="49" t="s">
        <v>4238</v>
      </c>
      <c r="K1232" s="58" t="s">
        <v>7</v>
      </c>
      <c r="L1232" s="49">
        <v>1</v>
      </c>
      <c r="M1232" s="48">
        <v>43378</v>
      </c>
      <c r="N1232" s="52" t="s">
        <v>3153</v>
      </c>
      <c r="O1232" s="49" t="s">
        <v>7</v>
      </c>
      <c r="P1232" s="74">
        <v>1</v>
      </c>
      <c r="Q1232" s="49" t="s">
        <v>160</v>
      </c>
      <c r="R1232" s="67" t="e" cm="1">
        <f t="array" ref="R1232">_xlfn.CHOOSECOLS(_xlfn.CHOOSEROWS(_xlfn._xlws.FILTER(표2[],표2[DWG No.]=C1232,""),1),6)</f>
        <v>#VALUE!</v>
      </c>
      <c r="S1232" s="67" t="e" cm="1">
        <f t="array" ref="S1232">_xlfn.CHOOSECOLS(_xlfn.CHOOSEROWS(_xlfn._xlws.FILTER(표2[],(표2[DWG No.]=C1232)*(ISNUMBER(표2[Rev.])),""),1),6)</f>
        <v>#VALUE!</v>
      </c>
    </row>
    <row r="1233" spans="1:19" ht="18" customHeight="1" x14ac:dyDescent="0.45">
      <c r="A1233" s="64">
        <v>1228</v>
      </c>
      <c r="B1233" s="49" t="s">
        <v>2912</v>
      </c>
      <c r="C1233" s="50" t="s">
        <v>4340</v>
      </c>
      <c r="D1233" s="49">
        <v>175466</v>
      </c>
      <c r="E1233" s="50" t="s">
        <v>4341</v>
      </c>
      <c r="F1233" s="49" t="s">
        <v>6</v>
      </c>
      <c r="G1233" s="48">
        <v>43006</v>
      </c>
      <c r="H1233" s="48">
        <v>43006</v>
      </c>
      <c r="I1233" s="48">
        <v>43006</v>
      </c>
      <c r="J1233" s="49" t="s">
        <v>3660</v>
      </c>
      <c r="K1233" s="58" t="s">
        <v>7</v>
      </c>
      <c r="L1233" s="49">
        <v>0</v>
      </c>
      <c r="M1233" s="48">
        <v>43006</v>
      </c>
      <c r="N1233" s="49" t="s">
        <v>2917</v>
      </c>
      <c r="O1233" s="49" t="s">
        <v>7</v>
      </c>
      <c r="P1233" s="49">
        <v>0</v>
      </c>
      <c r="Q1233" s="51" t="s">
        <v>5002</v>
      </c>
      <c r="R1233" s="67" t="e" cm="1">
        <f t="array" ref="R1233">_xlfn.CHOOSECOLS(_xlfn.CHOOSEROWS(_xlfn._xlws.FILTER(표2[],표2[DWG No.]=C1233,""),1),6)</f>
        <v>#VALUE!</v>
      </c>
      <c r="S1233" s="67" t="e" cm="1">
        <f t="array" ref="S1233">_xlfn.CHOOSECOLS(_xlfn.CHOOSEROWS(_xlfn._xlws.FILTER(표2[],(표2[DWG No.]=C1233)*(ISNUMBER(표2[Rev.])),""),1),6)</f>
        <v>#VALUE!</v>
      </c>
    </row>
    <row r="1234" spans="1:19" ht="18" customHeight="1" x14ac:dyDescent="0.45">
      <c r="A1234" s="64">
        <v>1229</v>
      </c>
      <c r="B1234" s="49" t="s">
        <v>2912</v>
      </c>
      <c r="C1234" s="50" t="s">
        <v>4342</v>
      </c>
      <c r="D1234" s="49">
        <v>175468</v>
      </c>
      <c r="E1234" s="50" t="s">
        <v>4343</v>
      </c>
      <c r="F1234" s="49" t="s">
        <v>6</v>
      </c>
      <c r="G1234" s="48">
        <v>42983</v>
      </c>
      <c r="H1234" s="48">
        <v>42983</v>
      </c>
      <c r="I1234" s="48">
        <v>42983</v>
      </c>
      <c r="J1234" s="49" t="s">
        <v>2916</v>
      </c>
      <c r="K1234" s="58" t="s">
        <v>7</v>
      </c>
      <c r="L1234" s="49">
        <v>0</v>
      </c>
      <c r="M1234" s="48">
        <v>42984</v>
      </c>
      <c r="N1234" s="49" t="s">
        <v>2917</v>
      </c>
      <c r="O1234" s="49" t="s">
        <v>7</v>
      </c>
      <c r="P1234" s="49">
        <v>0</v>
      </c>
      <c r="Q1234" s="51" t="s">
        <v>5002</v>
      </c>
      <c r="R1234" s="67" t="e" cm="1">
        <f t="array" ref="R1234">_xlfn.CHOOSECOLS(_xlfn.CHOOSEROWS(_xlfn._xlws.FILTER(표2[],표2[DWG No.]=C1234,""),1),6)</f>
        <v>#VALUE!</v>
      </c>
      <c r="S1234" s="67" t="e" cm="1">
        <f t="array" ref="S1234">_xlfn.CHOOSECOLS(_xlfn.CHOOSEROWS(_xlfn._xlws.FILTER(표2[],(표2[DWG No.]=C1234)*(ISNUMBER(표2[Rev.])),""),1),6)</f>
        <v>#VALUE!</v>
      </c>
    </row>
    <row r="1235" spans="1:19" ht="18" customHeight="1" x14ac:dyDescent="0.45">
      <c r="A1235" s="64">
        <v>1230</v>
      </c>
      <c r="B1235" s="49" t="s">
        <v>2912</v>
      </c>
      <c r="C1235" s="50" t="s">
        <v>4344</v>
      </c>
      <c r="D1235" s="49">
        <v>175465</v>
      </c>
      <c r="E1235" s="50" t="s">
        <v>4345</v>
      </c>
      <c r="F1235" s="49" t="s">
        <v>6</v>
      </c>
      <c r="G1235" s="48">
        <v>43006</v>
      </c>
      <c r="H1235" s="48">
        <v>43006</v>
      </c>
      <c r="I1235" s="48">
        <v>43006</v>
      </c>
      <c r="J1235" s="49" t="s">
        <v>3660</v>
      </c>
      <c r="K1235" s="58" t="s">
        <v>7</v>
      </c>
      <c r="L1235" s="49">
        <v>0</v>
      </c>
      <c r="M1235" s="48">
        <v>43006</v>
      </c>
      <c r="N1235" s="49" t="s">
        <v>2917</v>
      </c>
      <c r="O1235" s="49" t="s">
        <v>7</v>
      </c>
      <c r="P1235" s="49">
        <v>0</v>
      </c>
      <c r="Q1235" s="51" t="s">
        <v>5002</v>
      </c>
      <c r="R1235" s="67" t="e" cm="1">
        <f t="array" ref="R1235">_xlfn.CHOOSECOLS(_xlfn.CHOOSEROWS(_xlfn._xlws.FILTER(표2[],표2[DWG No.]=C1235,""),1),6)</f>
        <v>#VALUE!</v>
      </c>
      <c r="S1235" s="67" t="e" cm="1">
        <f t="array" ref="S1235">_xlfn.CHOOSECOLS(_xlfn.CHOOSEROWS(_xlfn._xlws.FILTER(표2[],(표2[DWG No.]=C1235)*(ISNUMBER(표2[Rev.])),""),1),6)</f>
        <v>#VALUE!</v>
      </c>
    </row>
    <row r="1236" spans="1:19" ht="18" customHeight="1" x14ac:dyDescent="0.45">
      <c r="A1236" s="64">
        <v>1231</v>
      </c>
      <c r="B1236" s="49" t="s">
        <v>2912</v>
      </c>
      <c r="C1236" s="50" t="s">
        <v>4346</v>
      </c>
      <c r="D1236" s="49">
        <v>175467</v>
      </c>
      <c r="E1236" s="50" t="s">
        <v>4347</v>
      </c>
      <c r="F1236" s="49" t="s">
        <v>6</v>
      </c>
      <c r="G1236" s="48">
        <v>42983</v>
      </c>
      <c r="H1236" s="48">
        <v>42983</v>
      </c>
      <c r="I1236" s="48">
        <v>42983</v>
      </c>
      <c r="J1236" s="49" t="s">
        <v>2916</v>
      </c>
      <c r="K1236" s="58" t="s">
        <v>7</v>
      </c>
      <c r="L1236" s="49">
        <v>0</v>
      </c>
      <c r="M1236" s="48">
        <v>42984</v>
      </c>
      <c r="N1236" s="49" t="s">
        <v>2917</v>
      </c>
      <c r="O1236" s="49" t="s">
        <v>7</v>
      </c>
      <c r="P1236" s="49">
        <v>0</v>
      </c>
      <c r="Q1236" s="51" t="s">
        <v>5002</v>
      </c>
      <c r="R1236" s="67" t="e" cm="1">
        <f t="array" ref="R1236">_xlfn.CHOOSECOLS(_xlfn.CHOOSEROWS(_xlfn._xlws.FILTER(표2[],표2[DWG No.]=C1236,""),1),6)</f>
        <v>#VALUE!</v>
      </c>
      <c r="S1236" s="67" t="e" cm="1">
        <f t="array" ref="S1236">_xlfn.CHOOSECOLS(_xlfn.CHOOSEROWS(_xlfn._xlws.FILTER(표2[],(표2[DWG No.]=C1236)*(ISNUMBER(표2[Rev.])),""),1),6)</f>
        <v>#VALUE!</v>
      </c>
    </row>
    <row r="1237" spans="1:19" ht="18" customHeight="1" x14ac:dyDescent="0.45">
      <c r="A1237" s="64">
        <v>1232</v>
      </c>
      <c r="B1237" s="49" t="s">
        <v>2912</v>
      </c>
      <c r="C1237" s="50" t="s">
        <v>4348</v>
      </c>
      <c r="D1237" s="49">
        <v>175272</v>
      </c>
      <c r="E1237" s="50" t="s">
        <v>4349</v>
      </c>
      <c r="F1237" s="49" t="s">
        <v>6</v>
      </c>
      <c r="G1237" s="48">
        <v>42833</v>
      </c>
      <c r="H1237" s="48">
        <v>42863</v>
      </c>
      <c r="I1237" s="48">
        <v>43031</v>
      </c>
      <c r="J1237" s="49" t="s">
        <v>3145</v>
      </c>
      <c r="K1237" s="58" t="s">
        <v>7</v>
      </c>
      <c r="L1237" s="49">
        <v>0</v>
      </c>
      <c r="M1237" s="48">
        <v>43032</v>
      </c>
      <c r="N1237" s="49" t="s">
        <v>2917</v>
      </c>
      <c r="O1237" s="49" t="s">
        <v>7</v>
      </c>
      <c r="P1237" s="49">
        <v>0</v>
      </c>
      <c r="Q1237" s="51" t="s">
        <v>5002</v>
      </c>
      <c r="R1237" s="67" t="e" cm="1">
        <f t="array" ref="R1237">_xlfn.CHOOSECOLS(_xlfn.CHOOSEROWS(_xlfn._xlws.FILTER(표2[],표2[DWG No.]=C1237,""),1),6)</f>
        <v>#VALUE!</v>
      </c>
      <c r="S1237" s="67" t="e" cm="1">
        <f t="array" ref="S1237">_xlfn.CHOOSECOLS(_xlfn.CHOOSEROWS(_xlfn._xlws.FILTER(표2[],(표2[DWG No.]=C1237)*(ISNUMBER(표2[Rev.])),""),1),6)</f>
        <v>#VALUE!</v>
      </c>
    </row>
    <row r="1238" spans="1:19" ht="18" customHeight="1" x14ac:dyDescent="0.45">
      <c r="A1238" s="64">
        <v>1233</v>
      </c>
      <c r="B1238" s="49" t="s">
        <v>2912</v>
      </c>
      <c r="C1238" s="50" t="s">
        <v>4350</v>
      </c>
      <c r="D1238" s="49">
        <v>175395</v>
      </c>
      <c r="E1238" s="50" t="s">
        <v>4351</v>
      </c>
      <c r="F1238" s="49" t="s">
        <v>6</v>
      </c>
      <c r="G1238" s="48">
        <v>42956</v>
      </c>
      <c r="H1238" s="48">
        <v>42956</v>
      </c>
      <c r="I1238" s="48">
        <v>42956</v>
      </c>
      <c r="J1238" s="49" t="s">
        <v>4352</v>
      </c>
      <c r="K1238" s="58" t="s">
        <v>7</v>
      </c>
      <c r="L1238" s="49">
        <v>0</v>
      </c>
      <c r="M1238" s="48">
        <v>42956</v>
      </c>
      <c r="N1238" s="49" t="s">
        <v>2917</v>
      </c>
      <c r="O1238" s="49" t="s">
        <v>7</v>
      </c>
      <c r="P1238" s="49">
        <v>0</v>
      </c>
      <c r="Q1238" s="51" t="s">
        <v>5002</v>
      </c>
      <c r="R1238" s="67" t="e" cm="1">
        <f t="array" ref="R1238">_xlfn.CHOOSECOLS(_xlfn.CHOOSEROWS(_xlfn._xlws.FILTER(표2[],표2[DWG No.]=C1238,""),1),6)</f>
        <v>#VALUE!</v>
      </c>
      <c r="S1238" s="67" t="e" cm="1">
        <f t="array" ref="S1238">_xlfn.CHOOSECOLS(_xlfn.CHOOSEROWS(_xlfn._xlws.FILTER(표2[],(표2[DWG No.]=C1238)*(ISNUMBER(표2[Rev.])),""),1),6)</f>
        <v>#VALUE!</v>
      </c>
    </row>
    <row r="1239" spans="1:19" ht="18" customHeight="1" x14ac:dyDescent="0.45">
      <c r="A1239" s="64">
        <v>1234</v>
      </c>
      <c r="B1239" s="49" t="s">
        <v>2912</v>
      </c>
      <c r="C1239" s="50" t="s">
        <v>4353</v>
      </c>
      <c r="D1239" s="49">
        <v>175563</v>
      </c>
      <c r="E1239" s="50" t="s">
        <v>4354</v>
      </c>
      <c r="F1239" s="49" t="s">
        <v>6</v>
      </c>
      <c r="G1239" s="48">
        <v>42982</v>
      </c>
      <c r="H1239" s="48">
        <v>42982</v>
      </c>
      <c r="I1239" s="48">
        <v>42982</v>
      </c>
      <c r="J1239" s="49" t="s">
        <v>3477</v>
      </c>
      <c r="K1239" s="58" t="s">
        <v>7</v>
      </c>
      <c r="L1239" s="49">
        <v>0</v>
      </c>
      <c r="M1239" s="48">
        <v>42982</v>
      </c>
      <c r="N1239" s="49" t="s">
        <v>2917</v>
      </c>
      <c r="O1239" s="49" t="s">
        <v>7</v>
      </c>
      <c r="P1239" s="49">
        <v>0</v>
      </c>
      <c r="Q1239" s="51" t="s">
        <v>5002</v>
      </c>
      <c r="R1239" s="67" t="e" cm="1">
        <f t="array" ref="R1239">_xlfn.CHOOSECOLS(_xlfn.CHOOSEROWS(_xlfn._xlws.FILTER(표2[],표2[DWG No.]=C1239,""),1),6)</f>
        <v>#VALUE!</v>
      </c>
      <c r="S1239" s="67" t="e" cm="1">
        <f t="array" ref="S1239">_xlfn.CHOOSECOLS(_xlfn.CHOOSEROWS(_xlfn._xlws.FILTER(표2[],(표2[DWG No.]=C1239)*(ISNUMBER(표2[Rev.])),""),1),6)</f>
        <v>#VALUE!</v>
      </c>
    </row>
    <row r="1240" spans="1:19" ht="18" customHeight="1" x14ac:dyDescent="0.45">
      <c r="A1240" s="64">
        <v>1235</v>
      </c>
      <c r="B1240" s="49" t="s">
        <v>2912</v>
      </c>
      <c r="C1240" s="50" t="s">
        <v>4355</v>
      </c>
      <c r="D1240" s="49">
        <v>175564</v>
      </c>
      <c r="E1240" s="50" t="s">
        <v>4354</v>
      </c>
      <c r="F1240" s="49" t="s">
        <v>6</v>
      </c>
      <c r="G1240" s="48">
        <v>42982</v>
      </c>
      <c r="H1240" s="48">
        <v>42982</v>
      </c>
      <c r="I1240" s="48">
        <v>42982</v>
      </c>
      <c r="J1240" s="49" t="s">
        <v>3477</v>
      </c>
      <c r="K1240" s="58" t="s">
        <v>7</v>
      </c>
      <c r="L1240" s="49">
        <v>0</v>
      </c>
      <c r="M1240" s="48">
        <v>42982</v>
      </c>
      <c r="N1240" s="49" t="s">
        <v>2917</v>
      </c>
      <c r="O1240" s="49" t="s">
        <v>7</v>
      </c>
      <c r="P1240" s="49">
        <v>0</v>
      </c>
      <c r="Q1240" s="51" t="s">
        <v>5002</v>
      </c>
      <c r="R1240" s="67" t="e" cm="1">
        <f t="array" ref="R1240">_xlfn.CHOOSECOLS(_xlfn.CHOOSEROWS(_xlfn._xlws.FILTER(표2[],표2[DWG No.]=C1240,""),1),6)</f>
        <v>#VALUE!</v>
      </c>
      <c r="S1240" s="67" t="e" cm="1">
        <f t="array" ref="S1240">_xlfn.CHOOSECOLS(_xlfn.CHOOSEROWS(_xlfn._xlws.FILTER(표2[],(표2[DWG No.]=C1240)*(ISNUMBER(표2[Rev.])),""),1),6)</f>
        <v>#VALUE!</v>
      </c>
    </row>
    <row r="1241" spans="1:19" ht="18" customHeight="1" x14ac:dyDescent="0.45">
      <c r="A1241" s="64">
        <v>1236</v>
      </c>
      <c r="B1241" s="49" t="s">
        <v>2912</v>
      </c>
      <c r="C1241" s="50" t="s">
        <v>4356</v>
      </c>
      <c r="D1241" s="49">
        <v>175568</v>
      </c>
      <c r="E1241" s="50" t="s">
        <v>4357</v>
      </c>
      <c r="F1241" s="49" t="s">
        <v>6</v>
      </c>
      <c r="G1241" s="48">
        <v>42991</v>
      </c>
      <c r="H1241" s="48">
        <v>42991</v>
      </c>
      <c r="I1241" s="48">
        <v>43644</v>
      </c>
      <c r="J1241" s="49" t="s">
        <v>3770</v>
      </c>
      <c r="K1241" s="58" t="s">
        <v>7</v>
      </c>
      <c r="L1241" s="49">
        <v>1</v>
      </c>
      <c r="M1241" s="48">
        <v>43665</v>
      </c>
      <c r="N1241" s="49" t="s">
        <v>3035</v>
      </c>
      <c r="O1241" s="49"/>
      <c r="P1241" s="49">
        <v>1</v>
      </c>
      <c r="Q1241" s="51" t="s">
        <v>160</v>
      </c>
      <c r="R1241" s="67" t="e" cm="1">
        <f t="array" ref="R1241">_xlfn.CHOOSECOLS(_xlfn.CHOOSEROWS(_xlfn._xlws.FILTER(표2[],표2[DWG No.]=C1241,""),1),6)</f>
        <v>#VALUE!</v>
      </c>
      <c r="S1241" s="67" t="e" cm="1">
        <f t="array" ref="S1241">_xlfn.CHOOSECOLS(_xlfn.CHOOSEROWS(_xlfn._xlws.FILTER(표2[],(표2[DWG No.]=C1241)*(ISNUMBER(표2[Rev.])),""),1),6)</f>
        <v>#VALUE!</v>
      </c>
    </row>
    <row r="1242" spans="1:19" ht="18" customHeight="1" x14ac:dyDescent="0.45">
      <c r="A1242" s="64">
        <v>1237</v>
      </c>
      <c r="B1242" s="49" t="s">
        <v>2912</v>
      </c>
      <c r="C1242" s="50" t="s">
        <v>4358</v>
      </c>
      <c r="D1242" s="49">
        <v>175569</v>
      </c>
      <c r="E1242" s="50" t="s">
        <v>4359</v>
      </c>
      <c r="F1242" s="49" t="s">
        <v>6</v>
      </c>
      <c r="G1242" s="48">
        <v>42982</v>
      </c>
      <c r="H1242" s="48">
        <v>42982</v>
      </c>
      <c r="I1242" s="48">
        <v>42982</v>
      </c>
      <c r="J1242" s="49" t="s">
        <v>3477</v>
      </c>
      <c r="K1242" s="58" t="s">
        <v>7</v>
      </c>
      <c r="L1242" s="49">
        <v>0</v>
      </c>
      <c r="M1242" s="48">
        <v>42982</v>
      </c>
      <c r="N1242" s="49" t="s">
        <v>2917</v>
      </c>
      <c r="O1242" s="49" t="s">
        <v>7</v>
      </c>
      <c r="P1242" s="49">
        <v>0</v>
      </c>
      <c r="Q1242" s="51" t="s">
        <v>5002</v>
      </c>
      <c r="R1242" s="67" t="e" cm="1">
        <f t="array" ref="R1242">_xlfn.CHOOSECOLS(_xlfn.CHOOSEROWS(_xlfn._xlws.FILTER(표2[],표2[DWG No.]=C1242,""),1),6)</f>
        <v>#VALUE!</v>
      </c>
      <c r="S1242" s="67" t="e" cm="1">
        <f t="array" ref="S1242">_xlfn.CHOOSECOLS(_xlfn.CHOOSEROWS(_xlfn._xlws.FILTER(표2[],(표2[DWG No.]=C1242)*(ISNUMBER(표2[Rev.])),""),1),6)</f>
        <v>#VALUE!</v>
      </c>
    </row>
    <row r="1243" spans="1:19" ht="18" customHeight="1" x14ac:dyDescent="0.45">
      <c r="A1243" s="64">
        <v>1238</v>
      </c>
      <c r="B1243" s="49" t="s">
        <v>2912</v>
      </c>
      <c r="C1243" s="50" t="s">
        <v>4360</v>
      </c>
      <c r="D1243" s="49">
        <v>175596</v>
      </c>
      <c r="E1243" s="50" t="s">
        <v>4361</v>
      </c>
      <c r="F1243" s="49" t="s">
        <v>6</v>
      </c>
      <c r="G1243" s="48">
        <v>43060</v>
      </c>
      <c r="H1243" s="48">
        <v>43090</v>
      </c>
      <c r="I1243" s="48">
        <v>43060</v>
      </c>
      <c r="J1243" s="49" t="s">
        <v>3490</v>
      </c>
      <c r="K1243" s="58" t="s">
        <v>7</v>
      </c>
      <c r="L1243" s="49">
        <v>1</v>
      </c>
      <c r="M1243" s="48">
        <v>43060</v>
      </c>
      <c r="N1243" s="49" t="s">
        <v>3491</v>
      </c>
      <c r="O1243" s="49" t="s">
        <v>6</v>
      </c>
      <c r="P1243" s="49" t="s">
        <v>160</v>
      </c>
      <c r="Q1243" s="51" t="s">
        <v>65</v>
      </c>
      <c r="R1243" s="67" t="e" cm="1">
        <f t="array" ref="R1243">_xlfn.CHOOSECOLS(_xlfn.CHOOSEROWS(_xlfn._xlws.FILTER(표2[],표2[DWG No.]=C1243,""),1),6)</f>
        <v>#VALUE!</v>
      </c>
      <c r="S1243" s="67" t="e" cm="1">
        <f t="array" ref="S1243">_xlfn.CHOOSECOLS(_xlfn.CHOOSEROWS(_xlfn._xlws.FILTER(표2[],(표2[DWG No.]=C1243)*(ISNUMBER(표2[Rev.])),""),1),6)</f>
        <v>#VALUE!</v>
      </c>
    </row>
    <row r="1244" spans="1:19" ht="18" customHeight="1" x14ac:dyDescent="0.45">
      <c r="A1244" s="64">
        <v>1239</v>
      </c>
      <c r="B1244" s="49" t="s">
        <v>2912</v>
      </c>
      <c r="C1244" s="50" t="s">
        <v>4362</v>
      </c>
      <c r="D1244" s="49">
        <v>175597</v>
      </c>
      <c r="E1244" s="50" t="s">
        <v>4363</v>
      </c>
      <c r="F1244" s="49" t="s">
        <v>6</v>
      </c>
      <c r="G1244" s="48">
        <v>43060</v>
      </c>
      <c r="H1244" s="48">
        <v>43090</v>
      </c>
      <c r="I1244" s="48">
        <v>43060</v>
      </c>
      <c r="J1244" s="49" t="s">
        <v>3490</v>
      </c>
      <c r="K1244" s="58" t="s">
        <v>7</v>
      </c>
      <c r="L1244" s="49">
        <v>1</v>
      </c>
      <c r="M1244" s="48">
        <v>43066</v>
      </c>
      <c r="N1244" s="49" t="s">
        <v>3491</v>
      </c>
      <c r="O1244" s="49" t="s">
        <v>6</v>
      </c>
      <c r="P1244" s="49" t="s">
        <v>160</v>
      </c>
      <c r="Q1244" s="51" t="s">
        <v>65</v>
      </c>
      <c r="R1244" s="67" t="e" cm="1">
        <f t="array" ref="R1244">_xlfn.CHOOSECOLS(_xlfn.CHOOSEROWS(_xlfn._xlws.FILTER(표2[],표2[DWG No.]=C1244,""),1),6)</f>
        <v>#VALUE!</v>
      </c>
      <c r="S1244" s="67" t="e" cm="1">
        <f t="array" ref="S1244">_xlfn.CHOOSECOLS(_xlfn.CHOOSEROWS(_xlfn._xlws.FILTER(표2[],(표2[DWG No.]=C1244)*(ISNUMBER(표2[Rev.])),""),1),6)</f>
        <v>#VALUE!</v>
      </c>
    </row>
    <row r="1245" spans="1:19" ht="18" customHeight="1" x14ac:dyDescent="0.45">
      <c r="A1245" s="64">
        <v>1240</v>
      </c>
      <c r="B1245" s="49" t="s">
        <v>2912</v>
      </c>
      <c r="C1245" s="50" t="s">
        <v>4364</v>
      </c>
      <c r="D1245" s="49">
        <v>175598</v>
      </c>
      <c r="E1245" s="50" t="s">
        <v>4365</v>
      </c>
      <c r="F1245" s="49" t="s">
        <v>6</v>
      </c>
      <c r="G1245" s="48">
        <v>43060</v>
      </c>
      <c r="H1245" s="48">
        <v>43090</v>
      </c>
      <c r="I1245" s="48">
        <v>43060</v>
      </c>
      <c r="J1245" s="49" t="s">
        <v>3490</v>
      </c>
      <c r="K1245" s="58" t="s">
        <v>7</v>
      </c>
      <c r="L1245" s="49">
        <v>1</v>
      </c>
      <c r="M1245" s="48">
        <v>43066</v>
      </c>
      <c r="N1245" s="49" t="s">
        <v>3491</v>
      </c>
      <c r="O1245" s="49" t="s">
        <v>6</v>
      </c>
      <c r="P1245" s="49" t="s">
        <v>160</v>
      </c>
      <c r="Q1245" s="51" t="s">
        <v>65</v>
      </c>
      <c r="R1245" s="67" t="e" cm="1">
        <f t="array" ref="R1245">_xlfn.CHOOSECOLS(_xlfn.CHOOSEROWS(_xlfn._xlws.FILTER(표2[],표2[DWG No.]=C1245,""),1),6)</f>
        <v>#VALUE!</v>
      </c>
      <c r="S1245" s="67" t="e" cm="1">
        <f t="array" ref="S1245">_xlfn.CHOOSECOLS(_xlfn.CHOOSEROWS(_xlfn._xlws.FILTER(표2[],(표2[DWG No.]=C1245)*(ISNUMBER(표2[Rev.])),""),1),6)</f>
        <v>#VALUE!</v>
      </c>
    </row>
    <row r="1246" spans="1:19" ht="18" customHeight="1" x14ac:dyDescent="0.45">
      <c r="A1246" s="64">
        <v>1241</v>
      </c>
      <c r="B1246" s="49" t="s">
        <v>2912</v>
      </c>
      <c r="C1246" s="50" t="s">
        <v>4366</v>
      </c>
      <c r="D1246" s="49">
        <v>175599</v>
      </c>
      <c r="E1246" s="50" t="s">
        <v>4367</v>
      </c>
      <c r="F1246" s="49" t="s">
        <v>6</v>
      </c>
      <c r="G1246" s="48">
        <v>43060</v>
      </c>
      <c r="H1246" s="48">
        <v>43090</v>
      </c>
      <c r="I1246" s="48">
        <v>43060</v>
      </c>
      <c r="J1246" s="49" t="s">
        <v>3490</v>
      </c>
      <c r="K1246" s="58" t="s">
        <v>7</v>
      </c>
      <c r="L1246" s="49">
        <v>1</v>
      </c>
      <c r="M1246" s="48">
        <v>43066</v>
      </c>
      <c r="N1246" s="49" t="s">
        <v>3491</v>
      </c>
      <c r="O1246" s="49" t="s">
        <v>6</v>
      </c>
      <c r="P1246" s="49" t="s">
        <v>160</v>
      </c>
      <c r="Q1246" s="51" t="s">
        <v>65</v>
      </c>
      <c r="R1246" s="67" t="e" cm="1">
        <f t="array" ref="R1246">_xlfn.CHOOSECOLS(_xlfn.CHOOSEROWS(_xlfn._xlws.FILTER(표2[],표2[DWG No.]=C1246,""),1),6)</f>
        <v>#VALUE!</v>
      </c>
      <c r="S1246" s="67" t="e" cm="1">
        <f t="array" ref="S1246">_xlfn.CHOOSECOLS(_xlfn.CHOOSEROWS(_xlfn._xlws.FILTER(표2[],(표2[DWG No.]=C1246)*(ISNUMBER(표2[Rev.])),""),1),6)</f>
        <v>#VALUE!</v>
      </c>
    </row>
    <row r="1247" spans="1:19" ht="18" customHeight="1" x14ac:dyDescent="0.45">
      <c r="A1247" s="64">
        <v>1242</v>
      </c>
      <c r="B1247" s="49" t="s">
        <v>2912</v>
      </c>
      <c r="C1247" s="50" t="s">
        <v>4368</v>
      </c>
      <c r="D1247" s="49">
        <v>175600</v>
      </c>
      <c r="E1247" s="50" t="s">
        <v>4369</v>
      </c>
      <c r="F1247" s="49" t="s">
        <v>6</v>
      </c>
      <c r="G1247" s="48">
        <v>43060</v>
      </c>
      <c r="H1247" s="48">
        <v>43090</v>
      </c>
      <c r="I1247" s="48">
        <v>43060</v>
      </c>
      <c r="J1247" s="49" t="s">
        <v>3490</v>
      </c>
      <c r="K1247" s="58" t="s">
        <v>7</v>
      </c>
      <c r="L1247" s="49">
        <v>1</v>
      </c>
      <c r="M1247" s="48">
        <v>43066</v>
      </c>
      <c r="N1247" s="49" t="s">
        <v>3491</v>
      </c>
      <c r="O1247" s="49" t="s">
        <v>6</v>
      </c>
      <c r="P1247" s="49" t="s">
        <v>160</v>
      </c>
      <c r="Q1247" s="51" t="s">
        <v>65</v>
      </c>
      <c r="R1247" s="67" t="e" cm="1">
        <f t="array" ref="R1247">_xlfn.CHOOSECOLS(_xlfn.CHOOSEROWS(_xlfn._xlws.FILTER(표2[],표2[DWG No.]=C1247,""),1),6)</f>
        <v>#VALUE!</v>
      </c>
      <c r="S1247" s="67" t="e" cm="1">
        <f t="array" ref="S1247">_xlfn.CHOOSECOLS(_xlfn.CHOOSEROWS(_xlfn._xlws.FILTER(표2[],(표2[DWG No.]=C1247)*(ISNUMBER(표2[Rev.])),""),1),6)</f>
        <v>#VALUE!</v>
      </c>
    </row>
    <row r="1248" spans="1:19" ht="18" customHeight="1" x14ac:dyDescent="0.45">
      <c r="A1248" s="64">
        <v>1243</v>
      </c>
      <c r="B1248" s="49" t="s">
        <v>2912</v>
      </c>
      <c r="C1248" s="50" t="s">
        <v>4370</v>
      </c>
      <c r="D1248" s="49">
        <v>175601</v>
      </c>
      <c r="E1248" s="50" t="s">
        <v>4371</v>
      </c>
      <c r="F1248" s="49" t="s">
        <v>6</v>
      </c>
      <c r="G1248" s="48">
        <v>43060</v>
      </c>
      <c r="H1248" s="48">
        <v>43090</v>
      </c>
      <c r="I1248" s="48">
        <v>43197</v>
      </c>
      <c r="J1248" s="49" t="s">
        <v>4372</v>
      </c>
      <c r="K1248" s="58" t="s">
        <v>7</v>
      </c>
      <c r="L1248" s="49">
        <v>1</v>
      </c>
      <c r="M1248" s="48">
        <v>43208</v>
      </c>
      <c r="N1248" s="49" t="s">
        <v>4203</v>
      </c>
      <c r="O1248" s="49"/>
      <c r="P1248" s="49">
        <v>1</v>
      </c>
      <c r="Q1248" s="51" t="s">
        <v>5002</v>
      </c>
      <c r="R1248" s="67" t="e" cm="1">
        <f t="array" ref="R1248">_xlfn.CHOOSECOLS(_xlfn.CHOOSEROWS(_xlfn._xlws.FILTER(표2[],표2[DWG No.]=C1248,""),1),6)</f>
        <v>#VALUE!</v>
      </c>
      <c r="S1248" s="67" t="e" cm="1">
        <f t="array" ref="S1248">_xlfn.CHOOSECOLS(_xlfn.CHOOSEROWS(_xlfn._xlws.FILTER(표2[],(표2[DWG No.]=C1248)*(ISNUMBER(표2[Rev.])),""),1),6)</f>
        <v>#VALUE!</v>
      </c>
    </row>
    <row r="1249" spans="1:19" ht="18" customHeight="1" x14ac:dyDescent="0.45">
      <c r="A1249" s="64">
        <v>1244</v>
      </c>
      <c r="B1249" s="49" t="s">
        <v>2912</v>
      </c>
      <c r="C1249" s="50" t="s">
        <v>4373</v>
      </c>
      <c r="D1249" s="49">
        <v>175602</v>
      </c>
      <c r="E1249" s="50" t="s">
        <v>4371</v>
      </c>
      <c r="F1249" s="49" t="s">
        <v>6</v>
      </c>
      <c r="G1249" s="48">
        <v>43060</v>
      </c>
      <c r="H1249" s="48">
        <v>43090</v>
      </c>
      <c r="I1249" s="48">
        <v>43473</v>
      </c>
      <c r="J1249" s="49" t="s">
        <v>4374</v>
      </c>
      <c r="K1249" s="58" t="s">
        <v>7</v>
      </c>
      <c r="L1249" s="49">
        <v>1</v>
      </c>
      <c r="M1249" s="48">
        <v>43487</v>
      </c>
      <c r="N1249" s="49" t="s">
        <v>3534</v>
      </c>
      <c r="O1249" s="49" t="s">
        <v>7</v>
      </c>
      <c r="P1249" s="49">
        <v>1</v>
      </c>
      <c r="Q1249" s="49" t="s">
        <v>160</v>
      </c>
      <c r="R1249" s="67" t="e" cm="1">
        <f t="array" ref="R1249">_xlfn.CHOOSECOLS(_xlfn.CHOOSEROWS(_xlfn._xlws.FILTER(표2[],표2[DWG No.]=C1249,""),1),6)</f>
        <v>#VALUE!</v>
      </c>
      <c r="S1249" s="67" t="e" cm="1">
        <f t="array" ref="S1249">_xlfn.CHOOSECOLS(_xlfn.CHOOSEROWS(_xlfn._xlws.FILTER(표2[],(표2[DWG No.]=C1249)*(ISNUMBER(표2[Rev.])),""),1),6)</f>
        <v>#VALUE!</v>
      </c>
    </row>
    <row r="1250" spans="1:19" ht="18" customHeight="1" x14ac:dyDescent="0.45">
      <c r="A1250" s="64">
        <v>1245</v>
      </c>
      <c r="B1250" s="49" t="s">
        <v>2912</v>
      </c>
      <c r="C1250" s="50" t="s">
        <v>4375</v>
      </c>
      <c r="D1250" s="49">
        <v>175603</v>
      </c>
      <c r="E1250" s="50" t="s">
        <v>4376</v>
      </c>
      <c r="F1250" s="49" t="s">
        <v>6</v>
      </c>
      <c r="G1250" s="48">
        <v>43060</v>
      </c>
      <c r="H1250" s="48">
        <v>43090</v>
      </c>
      <c r="I1250" s="48">
        <v>43060</v>
      </c>
      <c r="J1250" s="49" t="s">
        <v>3490</v>
      </c>
      <c r="K1250" s="58" t="s">
        <v>7</v>
      </c>
      <c r="L1250" s="49">
        <v>1</v>
      </c>
      <c r="M1250" s="48">
        <v>43066</v>
      </c>
      <c r="N1250" s="49" t="s">
        <v>3491</v>
      </c>
      <c r="O1250" s="49" t="s">
        <v>6</v>
      </c>
      <c r="P1250" s="49" t="s">
        <v>160</v>
      </c>
      <c r="Q1250" s="51" t="s">
        <v>65</v>
      </c>
      <c r="R1250" s="67" t="e" cm="1">
        <f t="array" ref="R1250">_xlfn.CHOOSECOLS(_xlfn.CHOOSEROWS(_xlfn._xlws.FILTER(표2[],표2[DWG No.]=C1250,""),1),6)</f>
        <v>#VALUE!</v>
      </c>
      <c r="S1250" s="67" t="e" cm="1">
        <f t="array" ref="S1250">_xlfn.CHOOSECOLS(_xlfn.CHOOSEROWS(_xlfn._xlws.FILTER(표2[],(표2[DWG No.]=C1250)*(ISNUMBER(표2[Rev.])),""),1),6)</f>
        <v>#VALUE!</v>
      </c>
    </row>
    <row r="1251" spans="1:19" ht="18" customHeight="1" x14ac:dyDescent="0.45">
      <c r="A1251" s="64">
        <v>1246</v>
      </c>
      <c r="B1251" s="49" t="s">
        <v>2912</v>
      </c>
      <c r="C1251" s="50" t="s">
        <v>4377</v>
      </c>
      <c r="D1251" s="49">
        <v>175604</v>
      </c>
      <c r="E1251" s="50" t="s">
        <v>4378</v>
      </c>
      <c r="F1251" s="49" t="s">
        <v>6</v>
      </c>
      <c r="G1251" s="48">
        <v>43060</v>
      </c>
      <c r="H1251" s="48">
        <v>43090</v>
      </c>
      <c r="I1251" s="48">
        <v>43060</v>
      </c>
      <c r="J1251" s="49" t="s">
        <v>3490</v>
      </c>
      <c r="K1251" s="58" t="s">
        <v>7</v>
      </c>
      <c r="L1251" s="49">
        <v>1</v>
      </c>
      <c r="M1251" s="48">
        <v>43066</v>
      </c>
      <c r="N1251" s="49" t="s">
        <v>3491</v>
      </c>
      <c r="O1251" s="49" t="s">
        <v>6</v>
      </c>
      <c r="P1251" s="49" t="s">
        <v>160</v>
      </c>
      <c r="Q1251" s="51" t="s">
        <v>65</v>
      </c>
      <c r="R1251" s="67" t="e" cm="1">
        <f t="array" ref="R1251">_xlfn.CHOOSECOLS(_xlfn.CHOOSEROWS(_xlfn._xlws.FILTER(표2[],표2[DWG No.]=C1251,""),1),6)</f>
        <v>#VALUE!</v>
      </c>
      <c r="S1251" s="67" t="e" cm="1">
        <f t="array" ref="S1251">_xlfn.CHOOSECOLS(_xlfn.CHOOSEROWS(_xlfn._xlws.FILTER(표2[],(표2[DWG No.]=C1251)*(ISNUMBER(표2[Rev.])),""),1),6)</f>
        <v>#VALUE!</v>
      </c>
    </row>
    <row r="1252" spans="1:19" ht="18" customHeight="1" x14ac:dyDescent="0.45">
      <c r="A1252" s="64">
        <v>1247</v>
      </c>
      <c r="B1252" s="49" t="s">
        <v>2912</v>
      </c>
      <c r="C1252" s="50" t="s">
        <v>4379</v>
      </c>
      <c r="D1252" s="49">
        <v>175605</v>
      </c>
      <c r="E1252" s="50" t="s">
        <v>4380</v>
      </c>
      <c r="F1252" s="49" t="s">
        <v>6</v>
      </c>
      <c r="G1252" s="48">
        <v>43060</v>
      </c>
      <c r="H1252" s="48">
        <v>43090</v>
      </c>
      <c r="I1252" s="48">
        <v>43060</v>
      </c>
      <c r="J1252" s="49" t="s">
        <v>3490</v>
      </c>
      <c r="K1252" s="58" t="s">
        <v>7</v>
      </c>
      <c r="L1252" s="49">
        <v>1</v>
      </c>
      <c r="M1252" s="48">
        <v>43066</v>
      </c>
      <c r="N1252" s="49" t="s">
        <v>3491</v>
      </c>
      <c r="O1252" s="49" t="s">
        <v>6</v>
      </c>
      <c r="P1252" s="49" t="s">
        <v>160</v>
      </c>
      <c r="Q1252" s="51" t="s">
        <v>65</v>
      </c>
      <c r="R1252" s="67" t="e" cm="1">
        <f t="array" ref="R1252">_xlfn.CHOOSECOLS(_xlfn.CHOOSEROWS(_xlfn._xlws.FILTER(표2[],표2[DWG No.]=C1252,""),1),6)</f>
        <v>#VALUE!</v>
      </c>
      <c r="S1252" s="67" t="e" cm="1">
        <f t="array" ref="S1252">_xlfn.CHOOSECOLS(_xlfn.CHOOSEROWS(_xlfn._xlws.FILTER(표2[],(표2[DWG No.]=C1252)*(ISNUMBER(표2[Rev.])),""),1),6)</f>
        <v>#VALUE!</v>
      </c>
    </row>
    <row r="1253" spans="1:19" ht="18" customHeight="1" x14ac:dyDescent="0.45">
      <c r="A1253" s="64">
        <v>1248</v>
      </c>
      <c r="B1253" s="49" t="s">
        <v>2912</v>
      </c>
      <c r="C1253" s="50" t="s">
        <v>4381</v>
      </c>
      <c r="D1253" s="49">
        <v>175606</v>
      </c>
      <c r="E1253" s="50" t="s">
        <v>4382</v>
      </c>
      <c r="F1253" s="49" t="s">
        <v>6</v>
      </c>
      <c r="G1253" s="48">
        <v>43060</v>
      </c>
      <c r="H1253" s="48">
        <v>43090</v>
      </c>
      <c r="I1253" s="48">
        <v>43060</v>
      </c>
      <c r="J1253" s="49" t="s">
        <v>3490</v>
      </c>
      <c r="K1253" s="58" t="s">
        <v>7</v>
      </c>
      <c r="L1253" s="49">
        <v>1</v>
      </c>
      <c r="M1253" s="48">
        <v>43066</v>
      </c>
      <c r="N1253" s="49" t="s">
        <v>3491</v>
      </c>
      <c r="O1253" s="49" t="s">
        <v>6</v>
      </c>
      <c r="P1253" s="49" t="s">
        <v>160</v>
      </c>
      <c r="Q1253" s="51" t="s">
        <v>65</v>
      </c>
      <c r="R1253" s="67" t="e" cm="1">
        <f t="array" ref="R1253">_xlfn.CHOOSECOLS(_xlfn.CHOOSEROWS(_xlfn._xlws.FILTER(표2[],표2[DWG No.]=C1253,""),1),6)</f>
        <v>#VALUE!</v>
      </c>
      <c r="S1253" s="67" t="e" cm="1">
        <f t="array" ref="S1253">_xlfn.CHOOSECOLS(_xlfn.CHOOSEROWS(_xlfn._xlws.FILTER(표2[],(표2[DWG No.]=C1253)*(ISNUMBER(표2[Rev.])),""),1),6)</f>
        <v>#VALUE!</v>
      </c>
    </row>
    <row r="1254" spans="1:19" ht="18" customHeight="1" x14ac:dyDescent="0.45">
      <c r="A1254" s="64">
        <v>1249</v>
      </c>
      <c r="B1254" s="49" t="s">
        <v>2912</v>
      </c>
      <c r="C1254" s="50" t="s">
        <v>4383</v>
      </c>
      <c r="D1254" s="49">
        <v>175607</v>
      </c>
      <c r="E1254" s="50" t="s">
        <v>4384</v>
      </c>
      <c r="F1254" s="49" t="s">
        <v>6</v>
      </c>
      <c r="G1254" s="48">
        <v>43031</v>
      </c>
      <c r="H1254" s="48">
        <v>43031</v>
      </c>
      <c r="I1254" s="48">
        <v>43031</v>
      </c>
      <c r="J1254" s="49" t="s">
        <v>3145</v>
      </c>
      <c r="K1254" s="58" t="s">
        <v>7</v>
      </c>
      <c r="L1254" s="49">
        <v>0</v>
      </c>
      <c r="M1254" s="48">
        <v>43032</v>
      </c>
      <c r="N1254" s="49" t="s">
        <v>2917</v>
      </c>
      <c r="O1254" s="49" t="s">
        <v>7</v>
      </c>
      <c r="P1254" s="49">
        <v>0</v>
      </c>
      <c r="Q1254" s="51" t="s">
        <v>5002</v>
      </c>
      <c r="R1254" s="67" t="e" cm="1">
        <f t="array" ref="R1254">_xlfn.CHOOSECOLS(_xlfn.CHOOSEROWS(_xlfn._xlws.FILTER(표2[],표2[DWG No.]=C1254,""),1),6)</f>
        <v>#VALUE!</v>
      </c>
      <c r="S1254" s="67" t="e" cm="1">
        <f t="array" ref="S1254">_xlfn.CHOOSECOLS(_xlfn.CHOOSEROWS(_xlfn._xlws.FILTER(표2[],(표2[DWG No.]=C1254)*(ISNUMBER(표2[Rev.])),""),1),6)</f>
        <v>#VALUE!</v>
      </c>
    </row>
    <row r="1255" spans="1:19" ht="18" customHeight="1" x14ac:dyDescent="0.45">
      <c r="A1255" s="64">
        <v>1250</v>
      </c>
      <c r="B1255" s="49" t="s">
        <v>2912</v>
      </c>
      <c r="C1255" s="50" t="s">
        <v>4385</v>
      </c>
      <c r="D1255" s="49">
        <v>175608</v>
      </c>
      <c r="E1255" s="50" t="s">
        <v>4386</v>
      </c>
      <c r="F1255" s="49" t="s">
        <v>6</v>
      </c>
      <c r="G1255" s="48">
        <v>43031</v>
      </c>
      <c r="H1255" s="48">
        <v>43031</v>
      </c>
      <c r="I1255" s="48">
        <v>43031</v>
      </c>
      <c r="J1255" s="49" t="s">
        <v>3145</v>
      </c>
      <c r="K1255" s="58" t="s">
        <v>7</v>
      </c>
      <c r="L1255" s="49">
        <v>0</v>
      </c>
      <c r="M1255" s="48">
        <v>43032</v>
      </c>
      <c r="N1255" s="49" t="s">
        <v>2917</v>
      </c>
      <c r="O1255" s="49" t="s">
        <v>7</v>
      </c>
      <c r="P1255" s="49">
        <v>0</v>
      </c>
      <c r="Q1255" s="51" t="s">
        <v>5002</v>
      </c>
      <c r="R1255" s="67" t="e" cm="1">
        <f t="array" ref="R1255">_xlfn.CHOOSECOLS(_xlfn.CHOOSEROWS(_xlfn._xlws.FILTER(표2[],표2[DWG No.]=C1255,""),1),6)</f>
        <v>#VALUE!</v>
      </c>
      <c r="S1255" s="67" t="e" cm="1">
        <f t="array" ref="S1255">_xlfn.CHOOSECOLS(_xlfn.CHOOSEROWS(_xlfn._xlws.FILTER(표2[],(표2[DWG No.]=C1255)*(ISNUMBER(표2[Rev.])),""),1),6)</f>
        <v>#VALUE!</v>
      </c>
    </row>
    <row r="1256" spans="1:19" ht="18" customHeight="1" x14ac:dyDescent="0.45">
      <c r="A1256" s="64">
        <v>1251</v>
      </c>
      <c r="B1256" s="49" t="s">
        <v>2912</v>
      </c>
      <c r="C1256" s="50" t="s">
        <v>4387</v>
      </c>
      <c r="D1256" s="49">
        <v>175609</v>
      </c>
      <c r="E1256" s="50" t="s">
        <v>4388</v>
      </c>
      <c r="F1256" s="49" t="s">
        <v>6</v>
      </c>
      <c r="G1256" s="48">
        <v>43031</v>
      </c>
      <c r="H1256" s="48">
        <v>43031</v>
      </c>
      <c r="I1256" s="48">
        <v>43031</v>
      </c>
      <c r="J1256" s="49" t="s">
        <v>3145</v>
      </c>
      <c r="K1256" s="58" t="s">
        <v>7</v>
      </c>
      <c r="L1256" s="49">
        <v>0</v>
      </c>
      <c r="M1256" s="48">
        <v>43032</v>
      </c>
      <c r="N1256" s="49" t="s">
        <v>2917</v>
      </c>
      <c r="O1256" s="49" t="s">
        <v>7</v>
      </c>
      <c r="P1256" s="49">
        <v>0</v>
      </c>
      <c r="Q1256" s="51" t="s">
        <v>5002</v>
      </c>
      <c r="R1256" s="67" t="e" cm="1">
        <f t="array" ref="R1256">_xlfn.CHOOSECOLS(_xlfn.CHOOSEROWS(_xlfn._xlws.FILTER(표2[],표2[DWG No.]=C1256,""),1),6)</f>
        <v>#VALUE!</v>
      </c>
      <c r="S1256" s="67" t="e" cm="1">
        <f t="array" ref="S1256">_xlfn.CHOOSECOLS(_xlfn.CHOOSEROWS(_xlfn._xlws.FILTER(표2[],(표2[DWG No.]=C1256)*(ISNUMBER(표2[Rev.])),""),1),6)</f>
        <v>#VALUE!</v>
      </c>
    </row>
    <row r="1257" spans="1:19" ht="18" customHeight="1" x14ac:dyDescent="0.45">
      <c r="A1257" s="64">
        <v>1252</v>
      </c>
      <c r="B1257" s="49" t="s">
        <v>2912</v>
      </c>
      <c r="C1257" s="50" t="s">
        <v>4389</v>
      </c>
      <c r="D1257" s="49">
        <v>175475</v>
      </c>
      <c r="E1257" s="50" t="s">
        <v>4390</v>
      </c>
      <c r="F1257" s="49" t="s">
        <v>6</v>
      </c>
      <c r="G1257" s="48">
        <v>43006</v>
      </c>
      <c r="H1257" s="48">
        <v>43006</v>
      </c>
      <c r="I1257" s="48">
        <v>43006</v>
      </c>
      <c r="J1257" s="49" t="s">
        <v>3660</v>
      </c>
      <c r="K1257" s="58" t="s">
        <v>7</v>
      </c>
      <c r="L1257" s="49">
        <v>0</v>
      </c>
      <c r="M1257" s="48">
        <v>43006</v>
      </c>
      <c r="N1257" s="49" t="s">
        <v>2917</v>
      </c>
      <c r="O1257" s="49" t="s">
        <v>7</v>
      </c>
      <c r="P1257" s="49">
        <v>0</v>
      </c>
      <c r="Q1257" s="51" t="s">
        <v>5002</v>
      </c>
      <c r="R1257" s="67" t="e" cm="1">
        <f t="array" ref="R1257">_xlfn.CHOOSECOLS(_xlfn.CHOOSEROWS(_xlfn._xlws.FILTER(표2[],표2[DWG No.]=C1257,""),1),6)</f>
        <v>#VALUE!</v>
      </c>
      <c r="S1257" s="67" t="e" cm="1">
        <f t="array" ref="S1257">_xlfn.CHOOSECOLS(_xlfn.CHOOSEROWS(_xlfn._xlws.FILTER(표2[],(표2[DWG No.]=C1257)*(ISNUMBER(표2[Rev.])),""),1),6)</f>
        <v>#VALUE!</v>
      </c>
    </row>
    <row r="1258" spans="1:19" ht="18" customHeight="1" x14ac:dyDescent="0.45">
      <c r="A1258" s="64">
        <v>1253</v>
      </c>
      <c r="B1258" s="49" t="s">
        <v>2912</v>
      </c>
      <c r="C1258" s="50" t="s">
        <v>4391</v>
      </c>
      <c r="D1258" s="49">
        <v>175617</v>
      </c>
      <c r="E1258" s="50" t="s">
        <v>4392</v>
      </c>
      <c r="F1258" s="49" t="s">
        <v>6</v>
      </c>
      <c r="G1258" s="48">
        <v>43075</v>
      </c>
      <c r="H1258" s="48">
        <v>43075</v>
      </c>
      <c r="I1258" s="48">
        <v>43532</v>
      </c>
      <c r="J1258" s="49" t="s">
        <v>4393</v>
      </c>
      <c r="K1258" s="58" t="s">
        <v>7</v>
      </c>
      <c r="L1258" s="49">
        <v>1</v>
      </c>
      <c r="M1258" s="48">
        <v>43556</v>
      </c>
      <c r="N1258" s="49" t="s">
        <v>4394</v>
      </c>
      <c r="O1258" s="49" t="s">
        <v>7</v>
      </c>
      <c r="P1258" s="49">
        <v>1</v>
      </c>
      <c r="Q1258" s="51" t="s">
        <v>5002</v>
      </c>
      <c r="R1258" s="67" t="e" cm="1">
        <f t="array" ref="R1258">_xlfn.CHOOSECOLS(_xlfn.CHOOSEROWS(_xlfn._xlws.FILTER(표2[],표2[DWG No.]=C1258,""),1),6)</f>
        <v>#VALUE!</v>
      </c>
      <c r="S1258" s="67" t="e" cm="1">
        <f t="array" ref="S1258">_xlfn.CHOOSECOLS(_xlfn.CHOOSEROWS(_xlfn._xlws.FILTER(표2[],(표2[DWG No.]=C1258)*(ISNUMBER(표2[Rev.])),""),1),6)</f>
        <v>#VALUE!</v>
      </c>
    </row>
    <row r="1259" spans="1:19" ht="18" customHeight="1" x14ac:dyDescent="0.45">
      <c r="A1259" s="64">
        <v>1254</v>
      </c>
      <c r="B1259" s="49" t="s">
        <v>2912</v>
      </c>
      <c r="C1259" s="50" t="s">
        <v>4395</v>
      </c>
      <c r="D1259" s="49">
        <v>175616</v>
      </c>
      <c r="E1259" s="50" t="s">
        <v>4396</v>
      </c>
      <c r="F1259" s="49" t="s">
        <v>6</v>
      </c>
      <c r="G1259" s="48">
        <v>43075</v>
      </c>
      <c r="H1259" s="48">
        <v>43075</v>
      </c>
      <c r="I1259" s="48">
        <v>43532</v>
      </c>
      <c r="J1259" s="49" t="s">
        <v>4393</v>
      </c>
      <c r="K1259" s="58" t="s">
        <v>7</v>
      </c>
      <c r="L1259" s="49">
        <v>1</v>
      </c>
      <c r="M1259" s="48">
        <v>43556</v>
      </c>
      <c r="N1259" s="49" t="s">
        <v>4394</v>
      </c>
      <c r="O1259" s="49" t="s">
        <v>7</v>
      </c>
      <c r="P1259" s="49">
        <v>1</v>
      </c>
      <c r="Q1259" s="51" t="s">
        <v>5002</v>
      </c>
      <c r="R1259" s="67" t="e" cm="1">
        <f t="array" ref="R1259">_xlfn.CHOOSECOLS(_xlfn.CHOOSEROWS(_xlfn._xlws.FILTER(표2[],표2[DWG No.]=C1259,""),1),6)</f>
        <v>#VALUE!</v>
      </c>
      <c r="S1259" s="67" t="e" cm="1">
        <f t="array" ref="S1259">_xlfn.CHOOSECOLS(_xlfn.CHOOSEROWS(_xlfn._xlws.FILTER(표2[],(표2[DWG No.]=C1259)*(ISNUMBER(표2[Rev.])),""),1),6)</f>
        <v>#VALUE!</v>
      </c>
    </row>
    <row r="1260" spans="1:19" ht="18" customHeight="1" x14ac:dyDescent="0.45">
      <c r="A1260" s="64">
        <v>1255</v>
      </c>
      <c r="B1260" s="49" t="s">
        <v>2912</v>
      </c>
      <c r="C1260" s="50" t="s">
        <v>4397</v>
      </c>
      <c r="D1260" s="49">
        <v>156020</v>
      </c>
      <c r="E1260" s="50" t="s">
        <v>4398</v>
      </c>
      <c r="F1260" s="49" t="s">
        <v>5</v>
      </c>
      <c r="G1260" s="48">
        <v>43126</v>
      </c>
      <c r="H1260" s="48">
        <v>43156</v>
      </c>
      <c r="I1260" s="48">
        <v>43087</v>
      </c>
      <c r="J1260" s="49" t="s">
        <v>4232</v>
      </c>
      <c r="K1260" s="58" t="s">
        <v>5</v>
      </c>
      <c r="L1260" s="49" t="s">
        <v>65</v>
      </c>
      <c r="M1260" s="61">
        <v>43108</v>
      </c>
      <c r="N1260" s="47" t="s">
        <v>3153</v>
      </c>
      <c r="O1260" s="58" t="s">
        <v>5</v>
      </c>
      <c r="P1260" s="47" t="s">
        <v>65</v>
      </c>
      <c r="Q1260" s="47" t="s">
        <v>160</v>
      </c>
      <c r="R1260" s="67" t="e" cm="1">
        <f t="array" ref="R1260">_xlfn.CHOOSECOLS(_xlfn.CHOOSEROWS(_xlfn._xlws.FILTER(표2[],표2[DWG No.]=C1260,""),1),6)</f>
        <v>#VALUE!</v>
      </c>
      <c r="S1260" s="67" t="e" cm="1">
        <f t="array" ref="S1260">_xlfn.CHOOSECOLS(_xlfn.CHOOSEROWS(_xlfn._xlws.FILTER(표2[],(표2[DWG No.]=C1260)*(ISNUMBER(표2[Rev.])),""),1),6)</f>
        <v>#VALUE!</v>
      </c>
    </row>
    <row r="1261" spans="1:19" ht="18" customHeight="1" x14ac:dyDescent="0.45">
      <c r="A1261" s="64">
        <v>1256</v>
      </c>
      <c r="B1261" s="49" t="s">
        <v>2912</v>
      </c>
      <c r="C1261" s="50" t="s">
        <v>4399</v>
      </c>
      <c r="D1261" s="49">
        <v>156025</v>
      </c>
      <c r="E1261" s="50" t="s">
        <v>4400</v>
      </c>
      <c r="F1261" s="49" t="s">
        <v>5</v>
      </c>
      <c r="G1261" s="48">
        <v>43126</v>
      </c>
      <c r="H1261" s="48">
        <v>43156</v>
      </c>
      <c r="I1261" s="48">
        <v>43087</v>
      </c>
      <c r="J1261" s="49" t="s">
        <v>4232</v>
      </c>
      <c r="K1261" s="58" t="s">
        <v>5</v>
      </c>
      <c r="L1261" s="49" t="s">
        <v>65</v>
      </c>
      <c r="M1261" s="61">
        <v>43108</v>
      </c>
      <c r="N1261" s="47" t="s">
        <v>3153</v>
      </c>
      <c r="O1261" s="58" t="s">
        <v>5</v>
      </c>
      <c r="P1261" s="47" t="s">
        <v>65</v>
      </c>
      <c r="Q1261" s="47" t="s">
        <v>160</v>
      </c>
      <c r="R1261" s="67" t="e" cm="1">
        <f t="array" ref="R1261">_xlfn.CHOOSECOLS(_xlfn.CHOOSEROWS(_xlfn._xlws.FILTER(표2[],표2[DWG No.]=C1261,""),1),6)</f>
        <v>#VALUE!</v>
      </c>
      <c r="S1261" s="67" t="e" cm="1">
        <f t="array" ref="S1261">_xlfn.CHOOSECOLS(_xlfn.CHOOSEROWS(_xlfn._xlws.FILTER(표2[],(표2[DWG No.]=C1261)*(ISNUMBER(표2[Rev.])),""),1),6)</f>
        <v>#VALUE!</v>
      </c>
    </row>
    <row r="1262" spans="1:19" ht="18" customHeight="1" x14ac:dyDescent="0.45">
      <c r="A1262" s="64">
        <v>1257</v>
      </c>
      <c r="B1262" s="49" t="s">
        <v>2912</v>
      </c>
      <c r="C1262" s="50" t="s">
        <v>4401</v>
      </c>
      <c r="D1262" s="49">
        <v>156030</v>
      </c>
      <c r="E1262" s="50" t="s">
        <v>4402</v>
      </c>
      <c r="F1262" s="49" t="s">
        <v>5</v>
      </c>
      <c r="G1262" s="48">
        <v>43126</v>
      </c>
      <c r="H1262" s="48">
        <v>43156</v>
      </c>
      <c r="I1262" s="48">
        <v>43087</v>
      </c>
      <c r="J1262" s="49" t="s">
        <v>4232</v>
      </c>
      <c r="K1262" s="58" t="s">
        <v>5</v>
      </c>
      <c r="L1262" s="49" t="s">
        <v>65</v>
      </c>
      <c r="M1262" s="61" t="s">
        <v>4403</v>
      </c>
      <c r="N1262" s="47" t="s">
        <v>3153</v>
      </c>
      <c r="O1262" s="58" t="s">
        <v>5</v>
      </c>
      <c r="P1262" s="47" t="s">
        <v>65</v>
      </c>
      <c r="Q1262" s="47" t="s">
        <v>2702</v>
      </c>
      <c r="R1262" s="67" t="e" cm="1">
        <f t="array" ref="R1262">_xlfn.CHOOSECOLS(_xlfn.CHOOSEROWS(_xlfn._xlws.FILTER(표2[],표2[DWG No.]=C1262,""),1),6)</f>
        <v>#VALUE!</v>
      </c>
      <c r="S1262" s="67" t="e" cm="1">
        <f t="array" ref="S1262">_xlfn.CHOOSECOLS(_xlfn.CHOOSEROWS(_xlfn._xlws.FILTER(표2[],(표2[DWG No.]=C1262)*(ISNUMBER(표2[Rev.])),""),1),6)</f>
        <v>#VALUE!</v>
      </c>
    </row>
    <row r="1263" spans="1:19" ht="18" customHeight="1" x14ac:dyDescent="0.45">
      <c r="A1263" s="64">
        <v>1258</v>
      </c>
      <c r="B1263" s="49" t="s">
        <v>2912</v>
      </c>
      <c r="C1263" s="50" t="s">
        <v>4404</v>
      </c>
      <c r="D1263" s="49">
        <v>156035</v>
      </c>
      <c r="E1263" s="50" t="s">
        <v>4405</v>
      </c>
      <c r="F1263" s="49" t="s">
        <v>5</v>
      </c>
      <c r="G1263" s="48">
        <v>43126</v>
      </c>
      <c r="H1263" s="48">
        <v>43156</v>
      </c>
      <c r="I1263" s="48">
        <v>43087</v>
      </c>
      <c r="J1263" s="49" t="s">
        <v>4232</v>
      </c>
      <c r="K1263" s="58" t="s">
        <v>5</v>
      </c>
      <c r="L1263" s="49" t="s">
        <v>65</v>
      </c>
      <c r="M1263" s="61">
        <v>43108</v>
      </c>
      <c r="N1263" s="47" t="s">
        <v>3153</v>
      </c>
      <c r="O1263" s="58" t="s">
        <v>5</v>
      </c>
      <c r="P1263" s="47" t="s">
        <v>65</v>
      </c>
      <c r="Q1263" s="47" t="s">
        <v>160</v>
      </c>
      <c r="R1263" s="67" t="e" cm="1">
        <f t="array" ref="R1263">_xlfn.CHOOSECOLS(_xlfn.CHOOSEROWS(_xlfn._xlws.FILTER(표2[],표2[DWG No.]=C1263,""),1),6)</f>
        <v>#VALUE!</v>
      </c>
      <c r="S1263" s="67" t="e" cm="1">
        <f t="array" ref="S1263">_xlfn.CHOOSECOLS(_xlfn.CHOOSEROWS(_xlfn._xlws.FILTER(표2[],(표2[DWG No.]=C1263)*(ISNUMBER(표2[Rev.])),""),1),6)</f>
        <v>#VALUE!</v>
      </c>
    </row>
    <row r="1264" spans="1:19" ht="18" customHeight="1" x14ac:dyDescent="0.45">
      <c r="A1264" s="64">
        <v>1259</v>
      </c>
      <c r="B1264" s="49" t="s">
        <v>2912</v>
      </c>
      <c r="C1264" s="50" t="s">
        <v>4406</v>
      </c>
      <c r="D1264" s="49">
        <v>156040</v>
      </c>
      <c r="E1264" s="50" t="s">
        <v>4407</v>
      </c>
      <c r="F1264" s="49" t="s">
        <v>5</v>
      </c>
      <c r="G1264" s="48">
        <v>43126</v>
      </c>
      <c r="H1264" s="48">
        <v>43156</v>
      </c>
      <c r="I1264" s="48">
        <v>43087</v>
      </c>
      <c r="J1264" s="49" t="s">
        <v>4232</v>
      </c>
      <c r="K1264" s="58" t="s">
        <v>5</v>
      </c>
      <c r="L1264" s="49" t="s">
        <v>65</v>
      </c>
      <c r="M1264" s="61">
        <v>43108</v>
      </c>
      <c r="N1264" s="47" t="s">
        <v>3153</v>
      </c>
      <c r="O1264" s="58" t="s">
        <v>5</v>
      </c>
      <c r="P1264" s="47" t="s">
        <v>65</v>
      </c>
      <c r="Q1264" s="47" t="s">
        <v>160</v>
      </c>
      <c r="R1264" s="67" t="e" cm="1">
        <f t="array" ref="R1264">_xlfn.CHOOSECOLS(_xlfn.CHOOSEROWS(_xlfn._xlws.FILTER(표2[],표2[DWG No.]=C1264,""),1),6)</f>
        <v>#VALUE!</v>
      </c>
      <c r="S1264" s="67" t="e" cm="1">
        <f t="array" ref="S1264">_xlfn.CHOOSECOLS(_xlfn.CHOOSEROWS(_xlfn._xlws.FILTER(표2[],(표2[DWG No.]=C1264)*(ISNUMBER(표2[Rev.])),""),1),6)</f>
        <v>#VALUE!</v>
      </c>
    </row>
    <row r="1265" spans="1:19" ht="18" customHeight="1" x14ac:dyDescent="0.45">
      <c r="A1265" s="64">
        <v>1260</v>
      </c>
      <c r="B1265" s="49" t="s">
        <v>2912</v>
      </c>
      <c r="C1265" s="50" t="s">
        <v>4408</v>
      </c>
      <c r="D1265" s="49">
        <v>156045</v>
      </c>
      <c r="E1265" s="50" t="s">
        <v>4409</v>
      </c>
      <c r="F1265" s="49" t="s">
        <v>5</v>
      </c>
      <c r="G1265" s="48">
        <v>43126</v>
      </c>
      <c r="H1265" s="48">
        <v>43156</v>
      </c>
      <c r="I1265" s="48">
        <v>43087</v>
      </c>
      <c r="J1265" s="49" t="s">
        <v>4232</v>
      </c>
      <c r="K1265" s="58" t="s">
        <v>5</v>
      </c>
      <c r="L1265" s="49" t="s">
        <v>65</v>
      </c>
      <c r="M1265" s="61">
        <v>43108</v>
      </c>
      <c r="N1265" s="47" t="s">
        <v>3153</v>
      </c>
      <c r="O1265" s="58" t="s">
        <v>5</v>
      </c>
      <c r="P1265" s="47" t="s">
        <v>65</v>
      </c>
      <c r="Q1265" s="47" t="s">
        <v>160</v>
      </c>
      <c r="R1265" s="67" t="e" cm="1">
        <f t="array" ref="R1265">_xlfn.CHOOSECOLS(_xlfn.CHOOSEROWS(_xlfn._xlws.FILTER(표2[],표2[DWG No.]=C1265,""),1),6)</f>
        <v>#VALUE!</v>
      </c>
      <c r="S1265" s="67" t="e" cm="1">
        <f t="array" ref="S1265">_xlfn.CHOOSECOLS(_xlfn.CHOOSEROWS(_xlfn._xlws.FILTER(표2[],(표2[DWG No.]=C1265)*(ISNUMBER(표2[Rev.])),""),1),6)</f>
        <v>#VALUE!</v>
      </c>
    </row>
    <row r="1266" spans="1:19" ht="18" customHeight="1" x14ac:dyDescent="0.45">
      <c r="A1266" s="64">
        <v>1261</v>
      </c>
      <c r="B1266" s="49" t="s">
        <v>2912</v>
      </c>
      <c r="C1266" s="50" t="s">
        <v>4410</v>
      </c>
      <c r="D1266" s="49">
        <v>156050</v>
      </c>
      <c r="E1266" s="50" t="s">
        <v>4411</v>
      </c>
      <c r="F1266" s="49" t="s">
        <v>5</v>
      </c>
      <c r="G1266" s="48">
        <v>43126</v>
      </c>
      <c r="H1266" s="48">
        <v>43156</v>
      </c>
      <c r="I1266" s="48">
        <v>43087</v>
      </c>
      <c r="J1266" s="49" t="s">
        <v>4232</v>
      </c>
      <c r="K1266" s="58" t="s">
        <v>5</v>
      </c>
      <c r="L1266" s="49" t="s">
        <v>65</v>
      </c>
      <c r="M1266" s="61">
        <v>43108</v>
      </c>
      <c r="N1266" s="47" t="s">
        <v>3153</v>
      </c>
      <c r="O1266" s="58" t="s">
        <v>5</v>
      </c>
      <c r="P1266" s="47" t="s">
        <v>65</v>
      </c>
      <c r="Q1266" s="47" t="s">
        <v>160</v>
      </c>
      <c r="R1266" s="67" t="e" cm="1">
        <f t="array" ref="R1266">_xlfn.CHOOSECOLS(_xlfn.CHOOSEROWS(_xlfn._xlws.FILTER(표2[],표2[DWG No.]=C1266,""),1),6)</f>
        <v>#VALUE!</v>
      </c>
      <c r="S1266" s="67" t="e" cm="1">
        <f t="array" ref="S1266">_xlfn.CHOOSECOLS(_xlfn.CHOOSEROWS(_xlfn._xlws.FILTER(표2[],(표2[DWG No.]=C1266)*(ISNUMBER(표2[Rev.])),""),1),6)</f>
        <v>#VALUE!</v>
      </c>
    </row>
    <row r="1267" spans="1:19" ht="18" customHeight="1" x14ac:dyDescent="0.45">
      <c r="A1267" s="64">
        <v>1262</v>
      </c>
      <c r="B1267" s="49" t="s">
        <v>2912</v>
      </c>
      <c r="C1267" s="50" t="s">
        <v>4412</v>
      </c>
      <c r="D1267" s="49">
        <v>156055</v>
      </c>
      <c r="E1267" s="50" t="s">
        <v>4413</v>
      </c>
      <c r="F1267" s="49" t="s">
        <v>5</v>
      </c>
      <c r="G1267" s="48">
        <v>43126</v>
      </c>
      <c r="H1267" s="48">
        <v>43156</v>
      </c>
      <c r="I1267" s="48">
        <v>43087</v>
      </c>
      <c r="J1267" s="49" t="s">
        <v>4232</v>
      </c>
      <c r="K1267" s="58" t="s">
        <v>5</v>
      </c>
      <c r="L1267" s="49" t="s">
        <v>65</v>
      </c>
      <c r="M1267" s="61">
        <v>43108</v>
      </c>
      <c r="N1267" s="47" t="s">
        <v>3153</v>
      </c>
      <c r="O1267" s="58" t="s">
        <v>5</v>
      </c>
      <c r="P1267" s="47" t="s">
        <v>65</v>
      </c>
      <c r="Q1267" s="47" t="s">
        <v>160</v>
      </c>
      <c r="R1267" s="67" t="e" cm="1">
        <f t="array" ref="R1267">_xlfn.CHOOSECOLS(_xlfn.CHOOSEROWS(_xlfn._xlws.FILTER(표2[],표2[DWG No.]=C1267,""),1),6)</f>
        <v>#VALUE!</v>
      </c>
      <c r="S1267" s="67" t="e" cm="1">
        <f t="array" ref="S1267">_xlfn.CHOOSECOLS(_xlfn.CHOOSEROWS(_xlfn._xlws.FILTER(표2[],(표2[DWG No.]=C1267)*(ISNUMBER(표2[Rev.])),""),1),6)</f>
        <v>#VALUE!</v>
      </c>
    </row>
    <row r="1268" spans="1:19" ht="18" customHeight="1" x14ac:dyDescent="0.45">
      <c r="A1268" s="64">
        <v>1263</v>
      </c>
      <c r="B1268" s="49" t="s">
        <v>2912</v>
      </c>
      <c r="C1268" s="50" t="s">
        <v>4414</v>
      </c>
      <c r="D1268" s="49">
        <v>156060</v>
      </c>
      <c r="E1268" s="50" t="s">
        <v>4415</v>
      </c>
      <c r="F1268" s="49" t="s">
        <v>5</v>
      </c>
      <c r="G1268" s="48">
        <v>43126</v>
      </c>
      <c r="H1268" s="48">
        <v>43156</v>
      </c>
      <c r="I1268" s="48">
        <v>43087</v>
      </c>
      <c r="J1268" s="49" t="s">
        <v>4232</v>
      </c>
      <c r="K1268" s="58" t="s">
        <v>5</v>
      </c>
      <c r="L1268" s="49" t="s">
        <v>65</v>
      </c>
      <c r="M1268" s="61">
        <v>43108</v>
      </c>
      <c r="N1268" s="47" t="s">
        <v>3153</v>
      </c>
      <c r="O1268" s="58" t="s">
        <v>5</v>
      </c>
      <c r="P1268" s="47" t="s">
        <v>65</v>
      </c>
      <c r="Q1268" s="47" t="s">
        <v>160</v>
      </c>
      <c r="R1268" s="67" t="e" cm="1">
        <f t="array" ref="R1268">_xlfn.CHOOSECOLS(_xlfn.CHOOSEROWS(_xlfn._xlws.FILTER(표2[],표2[DWG No.]=C1268,""),1),6)</f>
        <v>#VALUE!</v>
      </c>
      <c r="S1268" s="67" t="e" cm="1">
        <f t="array" ref="S1268">_xlfn.CHOOSECOLS(_xlfn.CHOOSEROWS(_xlfn._xlws.FILTER(표2[],(표2[DWG No.]=C1268)*(ISNUMBER(표2[Rev.])),""),1),6)</f>
        <v>#VALUE!</v>
      </c>
    </row>
    <row r="1269" spans="1:19" ht="18" customHeight="1" x14ac:dyDescent="0.45">
      <c r="A1269" s="64">
        <v>1264</v>
      </c>
      <c r="B1269" s="49" t="s">
        <v>2912</v>
      </c>
      <c r="C1269" s="50" t="s">
        <v>4416</v>
      </c>
      <c r="D1269" s="49">
        <v>156065</v>
      </c>
      <c r="E1269" s="50" t="s">
        <v>4417</v>
      </c>
      <c r="F1269" s="49" t="s">
        <v>5</v>
      </c>
      <c r="G1269" s="48">
        <v>43126</v>
      </c>
      <c r="H1269" s="48">
        <v>43156</v>
      </c>
      <c r="I1269" s="48">
        <v>43087</v>
      </c>
      <c r="J1269" s="49" t="s">
        <v>4232</v>
      </c>
      <c r="K1269" s="58" t="s">
        <v>5</v>
      </c>
      <c r="L1269" s="49" t="s">
        <v>65</v>
      </c>
      <c r="M1269" s="61">
        <v>43108</v>
      </c>
      <c r="N1269" s="47" t="s">
        <v>3153</v>
      </c>
      <c r="O1269" s="58" t="s">
        <v>5</v>
      </c>
      <c r="P1269" s="47" t="s">
        <v>65</v>
      </c>
      <c r="Q1269" s="47" t="s">
        <v>160</v>
      </c>
      <c r="R1269" s="67" t="e" cm="1">
        <f t="array" ref="R1269">_xlfn.CHOOSECOLS(_xlfn.CHOOSEROWS(_xlfn._xlws.FILTER(표2[],표2[DWG No.]=C1269,""),1),6)</f>
        <v>#VALUE!</v>
      </c>
      <c r="S1269" s="67" t="e" cm="1">
        <f t="array" ref="S1269">_xlfn.CHOOSECOLS(_xlfn.CHOOSEROWS(_xlfn._xlws.FILTER(표2[],(표2[DWG No.]=C1269)*(ISNUMBER(표2[Rev.])),""),1),6)</f>
        <v>#VALUE!</v>
      </c>
    </row>
    <row r="1270" spans="1:19" ht="18" customHeight="1" x14ac:dyDescent="0.45">
      <c r="A1270" s="64">
        <v>1265</v>
      </c>
      <c r="B1270" s="49" t="s">
        <v>2912</v>
      </c>
      <c r="C1270" s="50" t="s">
        <v>4418</v>
      </c>
      <c r="D1270" s="49">
        <v>156070</v>
      </c>
      <c r="E1270" s="50" t="s">
        <v>4419</v>
      </c>
      <c r="F1270" s="49" t="s">
        <v>5</v>
      </c>
      <c r="G1270" s="48">
        <v>43126</v>
      </c>
      <c r="H1270" s="48">
        <v>43156</v>
      </c>
      <c r="I1270" s="48">
        <v>43087</v>
      </c>
      <c r="J1270" s="49" t="s">
        <v>4232</v>
      </c>
      <c r="K1270" s="58" t="s">
        <v>5</v>
      </c>
      <c r="L1270" s="49" t="s">
        <v>65</v>
      </c>
      <c r="M1270" s="62">
        <v>43108</v>
      </c>
      <c r="N1270" s="52" t="s">
        <v>3153</v>
      </c>
      <c r="O1270" s="58" t="s">
        <v>5</v>
      </c>
      <c r="P1270" s="52" t="s">
        <v>65</v>
      </c>
      <c r="Q1270" s="52" t="s">
        <v>160</v>
      </c>
      <c r="R1270" s="67" t="e" cm="1">
        <f t="array" ref="R1270">_xlfn.CHOOSECOLS(_xlfn.CHOOSEROWS(_xlfn._xlws.FILTER(표2[],표2[DWG No.]=C1270,""),1),6)</f>
        <v>#VALUE!</v>
      </c>
      <c r="S1270" s="67" t="e" cm="1">
        <f t="array" ref="S1270">_xlfn.CHOOSECOLS(_xlfn.CHOOSEROWS(_xlfn._xlws.FILTER(표2[],(표2[DWG No.]=C1270)*(ISNUMBER(표2[Rev.])),""),1),6)</f>
        <v>#VALUE!</v>
      </c>
    </row>
    <row r="1271" spans="1:19" ht="18" customHeight="1" x14ac:dyDescent="0.45">
      <c r="A1271" s="64">
        <v>1266</v>
      </c>
      <c r="B1271" s="49" t="s">
        <v>2912</v>
      </c>
      <c r="C1271" s="50" t="s">
        <v>4420</v>
      </c>
      <c r="D1271" s="49">
        <v>156075</v>
      </c>
      <c r="E1271" s="50" t="s">
        <v>4421</v>
      </c>
      <c r="F1271" s="49" t="s">
        <v>5</v>
      </c>
      <c r="G1271" s="48">
        <v>43126</v>
      </c>
      <c r="H1271" s="48">
        <v>43156</v>
      </c>
      <c r="I1271" s="48">
        <v>43087</v>
      </c>
      <c r="J1271" s="49" t="s">
        <v>4232</v>
      </c>
      <c r="K1271" s="58" t="s">
        <v>5</v>
      </c>
      <c r="L1271" s="49" t="s">
        <v>65</v>
      </c>
      <c r="M1271" s="61">
        <v>43108</v>
      </c>
      <c r="N1271" s="47" t="s">
        <v>3153</v>
      </c>
      <c r="O1271" s="58" t="s">
        <v>5</v>
      </c>
      <c r="P1271" s="47" t="s">
        <v>65</v>
      </c>
      <c r="Q1271" s="47" t="s">
        <v>160</v>
      </c>
      <c r="R1271" s="67" t="e" cm="1">
        <f t="array" ref="R1271">_xlfn.CHOOSECOLS(_xlfn.CHOOSEROWS(_xlfn._xlws.FILTER(표2[],표2[DWG No.]=C1271,""),1),6)</f>
        <v>#VALUE!</v>
      </c>
      <c r="S1271" s="67" t="e" cm="1">
        <f t="array" ref="S1271">_xlfn.CHOOSECOLS(_xlfn.CHOOSEROWS(_xlfn._xlws.FILTER(표2[],(표2[DWG No.]=C1271)*(ISNUMBER(표2[Rev.])),""),1),6)</f>
        <v>#VALUE!</v>
      </c>
    </row>
    <row r="1272" spans="1:19" ht="18" customHeight="1" x14ac:dyDescent="0.45">
      <c r="A1272" s="64">
        <v>1267</v>
      </c>
      <c r="B1272" s="49" t="s">
        <v>2912</v>
      </c>
      <c r="C1272" s="50" t="s">
        <v>4422</v>
      </c>
      <c r="D1272" s="49">
        <v>156080</v>
      </c>
      <c r="E1272" s="50" t="s">
        <v>4423</v>
      </c>
      <c r="F1272" s="49" t="s">
        <v>5</v>
      </c>
      <c r="G1272" s="48">
        <v>43126</v>
      </c>
      <c r="H1272" s="48">
        <v>43156</v>
      </c>
      <c r="I1272" s="48">
        <v>43087</v>
      </c>
      <c r="J1272" s="49" t="s">
        <v>4232</v>
      </c>
      <c r="K1272" s="58" t="s">
        <v>5</v>
      </c>
      <c r="L1272" s="49" t="s">
        <v>65</v>
      </c>
      <c r="M1272" s="61">
        <v>43108</v>
      </c>
      <c r="N1272" s="47" t="s">
        <v>3153</v>
      </c>
      <c r="O1272" s="58" t="s">
        <v>5</v>
      </c>
      <c r="P1272" s="47" t="s">
        <v>65</v>
      </c>
      <c r="Q1272" s="47" t="s">
        <v>160</v>
      </c>
      <c r="R1272" s="67" t="e" cm="1">
        <f t="array" ref="R1272">_xlfn.CHOOSECOLS(_xlfn.CHOOSEROWS(_xlfn._xlws.FILTER(표2[],표2[DWG No.]=C1272,""),1),6)</f>
        <v>#VALUE!</v>
      </c>
      <c r="S1272" s="67" t="e" cm="1">
        <f t="array" ref="S1272">_xlfn.CHOOSECOLS(_xlfn.CHOOSEROWS(_xlfn._xlws.FILTER(표2[],(표2[DWG No.]=C1272)*(ISNUMBER(표2[Rev.])),""),1),6)</f>
        <v>#VALUE!</v>
      </c>
    </row>
    <row r="1273" spans="1:19" ht="18" customHeight="1" x14ac:dyDescent="0.45">
      <c r="A1273" s="64">
        <v>1268</v>
      </c>
      <c r="B1273" s="49" t="s">
        <v>2912</v>
      </c>
      <c r="C1273" s="50" t="s">
        <v>4424</v>
      </c>
      <c r="D1273" s="49">
        <v>156085</v>
      </c>
      <c r="E1273" s="50" t="s">
        <v>4425</v>
      </c>
      <c r="F1273" s="49" t="s">
        <v>5</v>
      </c>
      <c r="G1273" s="48">
        <v>43126</v>
      </c>
      <c r="H1273" s="48">
        <v>43156</v>
      </c>
      <c r="I1273" s="48">
        <v>43087</v>
      </c>
      <c r="J1273" s="49" t="s">
        <v>4232</v>
      </c>
      <c r="K1273" s="58" t="s">
        <v>5</v>
      </c>
      <c r="L1273" s="49" t="s">
        <v>65</v>
      </c>
      <c r="M1273" s="61">
        <v>43108</v>
      </c>
      <c r="N1273" s="47" t="s">
        <v>3153</v>
      </c>
      <c r="O1273" s="58" t="s">
        <v>5</v>
      </c>
      <c r="P1273" s="47" t="s">
        <v>65</v>
      </c>
      <c r="Q1273" s="47" t="s">
        <v>160</v>
      </c>
      <c r="R1273" s="67" t="e" cm="1">
        <f t="array" ref="R1273">_xlfn.CHOOSECOLS(_xlfn.CHOOSEROWS(_xlfn._xlws.FILTER(표2[],표2[DWG No.]=C1273,""),1),6)</f>
        <v>#VALUE!</v>
      </c>
      <c r="S1273" s="67" t="e" cm="1">
        <f t="array" ref="S1273">_xlfn.CHOOSECOLS(_xlfn.CHOOSEROWS(_xlfn._xlws.FILTER(표2[],(표2[DWG No.]=C1273)*(ISNUMBER(표2[Rev.])),""),1),6)</f>
        <v>#VALUE!</v>
      </c>
    </row>
    <row r="1274" spans="1:19" ht="18" customHeight="1" x14ac:dyDescent="0.45">
      <c r="A1274" s="64">
        <v>1269</v>
      </c>
      <c r="B1274" s="49" t="s">
        <v>2912</v>
      </c>
      <c r="C1274" s="50" t="s">
        <v>4426</v>
      </c>
      <c r="D1274" s="49">
        <v>156090</v>
      </c>
      <c r="E1274" s="50" t="s">
        <v>4427</v>
      </c>
      <c r="F1274" s="49" t="s">
        <v>5</v>
      </c>
      <c r="G1274" s="48">
        <v>43126</v>
      </c>
      <c r="H1274" s="48">
        <v>43156</v>
      </c>
      <c r="I1274" s="48">
        <v>43087</v>
      </c>
      <c r="J1274" s="49" t="s">
        <v>4232</v>
      </c>
      <c r="K1274" s="58" t="s">
        <v>5</v>
      </c>
      <c r="L1274" s="49" t="s">
        <v>65</v>
      </c>
      <c r="M1274" s="61">
        <v>43108</v>
      </c>
      <c r="N1274" s="47" t="s">
        <v>3153</v>
      </c>
      <c r="O1274" s="58" t="s">
        <v>5</v>
      </c>
      <c r="P1274" s="47" t="s">
        <v>65</v>
      </c>
      <c r="Q1274" s="47" t="s">
        <v>160</v>
      </c>
      <c r="R1274" s="67" t="e" cm="1">
        <f t="array" ref="R1274">_xlfn.CHOOSECOLS(_xlfn.CHOOSEROWS(_xlfn._xlws.FILTER(표2[],표2[DWG No.]=C1274,""),1),6)</f>
        <v>#VALUE!</v>
      </c>
      <c r="S1274" s="67" t="e" cm="1">
        <f t="array" ref="S1274">_xlfn.CHOOSECOLS(_xlfn.CHOOSEROWS(_xlfn._xlws.FILTER(표2[],(표2[DWG No.]=C1274)*(ISNUMBER(표2[Rev.])),""),1),6)</f>
        <v>#VALUE!</v>
      </c>
    </row>
    <row r="1275" spans="1:19" ht="18" customHeight="1" x14ac:dyDescent="0.45">
      <c r="A1275" s="64">
        <v>1270</v>
      </c>
      <c r="B1275" s="49" t="s">
        <v>2912</v>
      </c>
      <c r="C1275" s="50" t="s">
        <v>4428</v>
      </c>
      <c r="D1275" s="49">
        <v>156095</v>
      </c>
      <c r="E1275" s="50" t="s">
        <v>4429</v>
      </c>
      <c r="F1275" s="49" t="s">
        <v>5</v>
      </c>
      <c r="G1275" s="48">
        <v>43126</v>
      </c>
      <c r="H1275" s="48">
        <v>43156</v>
      </c>
      <c r="I1275" s="48">
        <v>43087</v>
      </c>
      <c r="J1275" s="49" t="s">
        <v>4232</v>
      </c>
      <c r="K1275" s="58" t="s">
        <v>5</v>
      </c>
      <c r="L1275" s="49" t="s">
        <v>65</v>
      </c>
      <c r="M1275" s="61">
        <v>43108</v>
      </c>
      <c r="N1275" s="47" t="s">
        <v>3153</v>
      </c>
      <c r="O1275" s="58" t="s">
        <v>5</v>
      </c>
      <c r="P1275" s="47" t="s">
        <v>65</v>
      </c>
      <c r="Q1275" s="47" t="s">
        <v>160</v>
      </c>
      <c r="R1275" s="67" t="e" cm="1">
        <f t="array" ref="R1275">_xlfn.CHOOSECOLS(_xlfn.CHOOSEROWS(_xlfn._xlws.FILTER(표2[],표2[DWG No.]=C1275,""),1),6)</f>
        <v>#VALUE!</v>
      </c>
      <c r="S1275" s="67" t="e" cm="1">
        <f t="array" ref="S1275">_xlfn.CHOOSECOLS(_xlfn.CHOOSEROWS(_xlfn._xlws.FILTER(표2[],(표2[DWG No.]=C1275)*(ISNUMBER(표2[Rev.])),""),1),6)</f>
        <v>#VALUE!</v>
      </c>
    </row>
    <row r="1276" spans="1:19" ht="18" customHeight="1" x14ac:dyDescent="0.45">
      <c r="A1276" s="64">
        <v>1271</v>
      </c>
      <c r="B1276" s="49" t="s">
        <v>2912</v>
      </c>
      <c r="C1276" s="50" t="s">
        <v>4430</v>
      </c>
      <c r="D1276" s="49">
        <v>156398</v>
      </c>
      <c r="E1276" s="50" t="s">
        <v>4431</v>
      </c>
      <c r="F1276" s="49" t="s">
        <v>5</v>
      </c>
      <c r="G1276" s="48">
        <v>43126</v>
      </c>
      <c r="H1276" s="48">
        <v>43156</v>
      </c>
      <c r="I1276" s="48">
        <v>43087</v>
      </c>
      <c r="J1276" s="49" t="s">
        <v>4232</v>
      </c>
      <c r="K1276" s="58" t="s">
        <v>5</v>
      </c>
      <c r="L1276" s="49" t="s">
        <v>65</v>
      </c>
      <c r="M1276" s="61">
        <v>43108</v>
      </c>
      <c r="N1276" s="47" t="s">
        <v>3153</v>
      </c>
      <c r="O1276" s="58" t="s">
        <v>5</v>
      </c>
      <c r="P1276" s="47" t="s">
        <v>65</v>
      </c>
      <c r="Q1276" s="47" t="s">
        <v>160</v>
      </c>
      <c r="R1276" s="67" t="e" cm="1">
        <f t="array" ref="R1276">_xlfn.CHOOSECOLS(_xlfn.CHOOSEROWS(_xlfn._xlws.FILTER(표2[],표2[DWG No.]=C1276,""),1),6)</f>
        <v>#VALUE!</v>
      </c>
      <c r="S1276" s="67" t="e" cm="1">
        <f t="array" ref="S1276">_xlfn.CHOOSECOLS(_xlfn.CHOOSEROWS(_xlfn._xlws.FILTER(표2[],(표2[DWG No.]=C1276)*(ISNUMBER(표2[Rev.])),""),1),6)</f>
        <v>#VALUE!</v>
      </c>
    </row>
    <row r="1277" spans="1:19" ht="18" customHeight="1" x14ac:dyDescent="0.45">
      <c r="A1277" s="64">
        <v>1272</v>
      </c>
      <c r="B1277" s="49" t="s">
        <v>2912</v>
      </c>
      <c r="C1277" s="50" t="s">
        <v>4432</v>
      </c>
      <c r="D1277" s="49">
        <v>156403</v>
      </c>
      <c r="E1277" s="50" t="s">
        <v>4433</v>
      </c>
      <c r="F1277" s="49" t="s">
        <v>5</v>
      </c>
      <c r="G1277" s="48">
        <v>43126</v>
      </c>
      <c r="H1277" s="48">
        <v>43156</v>
      </c>
      <c r="I1277" s="48">
        <v>43087</v>
      </c>
      <c r="J1277" s="49" t="s">
        <v>4232</v>
      </c>
      <c r="K1277" s="58" t="s">
        <v>5</v>
      </c>
      <c r="L1277" s="49" t="s">
        <v>65</v>
      </c>
      <c r="M1277" s="61">
        <v>43108</v>
      </c>
      <c r="N1277" s="47" t="s">
        <v>3153</v>
      </c>
      <c r="O1277" s="58" t="s">
        <v>5</v>
      </c>
      <c r="P1277" s="47" t="s">
        <v>65</v>
      </c>
      <c r="Q1277" s="47" t="s">
        <v>160</v>
      </c>
      <c r="R1277" s="67" t="e" cm="1">
        <f t="array" ref="R1277">_xlfn.CHOOSECOLS(_xlfn.CHOOSEROWS(_xlfn._xlws.FILTER(표2[],표2[DWG No.]=C1277,""),1),6)</f>
        <v>#VALUE!</v>
      </c>
      <c r="S1277" s="67" t="e" cm="1">
        <f t="array" ref="S1277">_xlfn.CHOOSECOLS(_xlfn.CHOOSEROWS(_xlfn._xlws.FILTER(표2[],(표2[DWG No.]=C1277)*(ISNUMBER(표2[Rev.])),""),1),6)</f>
        <v>#VALUE!</v>
      </c>
    </row>
    <row r="1278" spans="1:19" ht="18" customHeight="1" x14ac:dyDescent="0.45">
      <c r="A1278" s="64">
        <v>1273</v>
      </c>
      <c r="B1278" s="49" t="s">
        <v>2912</v>
      </c>
      <c r="C1278" s="50" t="s">
        <v>4434</v>
      </c>
      <c r="D1278" s="49">
        <v>156408</v>
      </c>
      <c r="E1278" s="50" t="s">
        <v>4435</v>
      </c>
      <c r="F1278" s="49" t="s">
        <v>5</v>
      </c>
      <c r="G1278" s="48">
        <v>43126</v>
      </c>
      <c r="H1278" s="48">
        <v>43156</v>
      </c>
      <c r="I1278" s="48">
        <v>43087</v>
      </c>
      <c r="J1278" s="49" t="s">
        <v>4232</v>
      </c>
      <c r="K1278" s="58" t="s">
        <v>5</v>
      </c>
      <c r="L1278" s="49" t="s">
        <v>65</v>
      </c>
      <c r="M1278" s="61">
        <v>43108</v>
      </c>
      <c r="N1278" s="47" t="s">
        <v>3153</v>
      </c>
      <c r="O1278" s="58" t="s">
        <v>5</v>
      </c>
      <c r="P1278" s="47" t="s">
        <v>65</v>
      </c>
      <c r="Q1278" s="47" t="s">
        <v>160</v>
      </c>
      <c r="R1278" s="67" t="e" cm="1">
        <f t="array" ref="R1278">_xlfn.CHOOSECOLS(_xlfn.CHOOSEROWS(_xlfn._xlws.FILTER(표2[],표2[DWG No.]=C1278,""),1),6)</f>
        <v>#VALUE!</v>
      </c>
      <c r="S1278" s="67" t="e" cm="1">
        <f t="array" ref="S1278">_xlfn.CHOOSECOLS(_xlfn.CHOOSEROWS(_xlfn._xlws.FILTER(표2[],(표2[DWG No.]=C1278)*(ISNUMBER(표2[Rev.])),""),1),6)</f>
        <v>#VALUE!</v>
      </c>
    </row>
    <row r="1279" spans="1:19" ht="18" customHeight="1" x14ac:dyDescent="0.45">
      <c r="A1279" s="64">
        <v>1274</v>
      </c>
      <c r="B1279" s="49" t="s">
        <v>2912</v>
      </c>
      <c r="C1279" s="50" t="s">
        <v>4436</v>
      </c>
      <c r="D1279" s="49">
        <v>156019</v>
      </c>
      <c r="E1279" s="50" t="s">
        <v>4437</v>
      </c>
      <c r="F1279" s="49" t="s">
        <v>5</v>
      </c>
      <c r="G1279" s="48">
        <v>43126</v>
      </c>
      <c r="H1279" s="48">
        <v>43156</v>
      </c>
      <c r="I1279" s="48">
        <v>43087</v>
      </c>
      <c r="J1279" s="49" t="s">
        <v>4232</v>
      </c>
      <c r="K1279" s="58" t="s">
        <v>5</v>
      </c>
      <c r="L1279" s="49" t="s">
        <v>65</v>
      </c>
      <c r="M1279" s="48">
        <v>43096</v>
      </c>
      <c r="N1279" s="52" t="s">
        <v>3153</v>
      </c>
      <c r="O1279" s="49" t="s">
        <v>5</v>
      </c>
      <c r="P1279" s="49" t="s">
        <v>65</v>
      </c>
      <c r="Q1279" s="49" t="s">
        <v>2702</v>
      </c>
      <c r="R1279" s="67" t="e" cm="1">
        <f t="array" ref="R1279">_xlfn.CHOOSECOLS(_xlfn.CHOOSEROWS(_xlfn._xlws.FILTER(표2[],표2[DWG No.]=C1279,""),1),6)</f>
        <v>#VALUE!</v>
      </c>
      <c r="S1279" s="67" t="e" cm="1">
        <f t="array" ref="S1279">_xlfn.CHOOSECOLS(_xlfn.CHOOSEROWS(_xlfn._xlws.FILTER(표2[],(표2[DWG No.]=C1279)*(ISNUMBER(표2[Rev.])),""),1),6)</f>
        <v>#VALUE!</v>
      </c>
    </row>
    <row r="1280" spans="1:19" ht="18" customHeight="1" x14ac:dyDescent="0.45">
      <c r="A1280" s="64">
        <v>1275</v>
      </c>
      <c r="B1280" s="49" t="s">
        <v>2912</v>
      </c>
      <c r="C1280" s="50" t="s">
        <v>4438</v>
      </c>
      <c r="D1280" s="49">
        <v>156024</v>
      </c>
      <c r="E1280" s="50" t="s">
        <v>4439</v>
      </c>
      <c r="F1280" s="49" t="s">
        <v>5</v>
      </c>
      <c r="G1280" s="48">
        <v>43126</v>
      </c>
      <c r="H1280" s="48">
        <v>43156</v>
      </c>
      <c r="I1280" s="48">
        <v>43087</v>
      </c>
      <c r="J1280" s="49" t="s">
        <v>4232</v>
      </c>
      <c r="K1280" s="58" t="s">
        <v>5</v>
      </c>
      <c r="L1280" s="49" t="s">
        <v>65</v>
      </c>
      <c r="M1280" s="48">
        <v>43096</v>
      </c>
      <c r="N1280" s="52" t="s">
        <v>3153</v>
      </c>
      <c r="O1280" s="49" t="s">
        <v>5</v>
      </c>
      <c r="P1280" s="49" t="s">
        <v>65</v>
      </c>
      <c r="Q1280" s="49" t="s">
        <v>2702</v>
      </c>
      <c r="R1280" s="67" t="e" cm="1">
        <f t="array" ref="R1280">_xlfn.CHOOSECOLS(_xlfn.CHOOSEROWS(_xlfn._xlws.FILTER(표2[],표2[DWG No.]=C1280,""),1),6)</f>
        <v>#VALUE!</v>
      </c>
      <c r="S1280" s="67" t="e" cm="1">
        <f t="array" ref="S1280">_xlfn.CHOOSECOLS(_xlfn.CHOOSEROWS(_xlfn._xlws.FILTER(표2[],(표2[DWG No.]=C1280)*(ISNUMBER(표2[Rev.])),""),1),6)</f>
        <v>#VALUE!</v>
      </c>
    </row>
    <row r="1281" spans="1:19" ht="18" customHeight="1" x14ac:dyDescent="0.45">
      <c r="A1281" s="64">
        <v>1276</v>
      </c>
      <c r="B1281" s="49" t="s">
        <v>2912</v>
      </c>
      <c r="C1281" s="50" t="s">
        <v>4440</v>
      </c>
      <c r="D1281" s="49">
        <v>156029</v>
      </c>
      <c r="E1281" s="50" t="s">
        <v>4441</v>
      </c>
      <c r="F1281" s="49" t="s">
        <v>5</v>
      </c>
      <c r="G1281" s="48">
        <v>43126</v>
      </c>
      <c r="H1281" s="48">
        <v>43156</v>
      </c>
      <c r="I1281" s="48">
        <v>43087</v>
      </c>
      <c r="J1281" s="49" t="s">
        <v>4232</v>
      </c>
      <c r="K1281" s="58" t="s">
        <v>5</v>
      </c>
      <c r="L1281" s="49" t="s">
        <v>65</v>
      </c>
      <c r="M1281" s="62">
        <v>43108</v>
      </c>
      <c r="N1281" s="52" t="s">
        <v>3153</v>
      </c>
      <c r="O1281" s="49" t="s">
        <v>5</v>
      </c>
      <c r="P1281" s="52" t="s">
        <v>65</v>
      </c>
      <c r="Q1281" s="52" t="s">
        <v>160</v>
      </c>
      <c r="R1281" s="67" t="e" cm="1">
        <f t="array" ref="R1281">_xlfn.CHOOSECOLS(_xlfn.CHOOSEROWS(_xlfn._xlws.FILTER(표2[],표2[DWG No.]=C1281,""),1),6)</f>
        <v>#VALUE!</v>
      </c>
      <c r="S1281" s="67" t="e" cm="1">
        <f t="array" ref="S1281">_xlfn.CHOOSECOLS(_xlfn.CHOOSEROWS(_xlfn._xlws.FILTER(표2[],(표2[DWG No.]=C1281)*(ISNUMBER(표2[Rev.])),""),1),6)</f>
        <v>#VALUE!</v>
      </c>
    </row>
    <row r="1282" spans="1:19" ht="18" customHeight="1" x14ac:dyDescent="0.45">
      <c r="A1282" s="64">
        <v>1277</v>
      </c>
      <c r="B1282" s="49" t="s">
        <v>2912</v>
      </c>
      <c r="C1282" s="50" t="s">
        <v>4442</v>
      </c>
      <c r="D1282" s="49">
        <v>156034</v>
      </c>
      <c r="E1282" s="50" t="s">
        <v>4443</v>
      </c>
      <c r="F1282" s="49" t="s">
        <v>5</v>
      </c>
      <c r="G1282" s="48">
        <v>43126</v>
      </c>
      <c r="H1282" s="48">
        <v>43156</v>
      </c>
      <c r="I1282" s="48">
        <v>43087</v>
      </c>
      <c r="J1282" s="49" t="s">
        <v>4232</v>
      </c>
      <c r="K1282" s="58" t="s">
        <v>5</v>
      </c>
      <c r="L1282" s="49" t="s">
        <v>65</v>
      </c>
      <c r="M1282" s="48">
        <v>43096</v>
      </c>
      <c r="N1282" s="52" t="s">
        <v>3153</v>
      </c>
      <c r="O1282" s="49" t="s">
        <v>5</v>
      </c>
      <c r="P1282" s="49" t="s">
        <v>65</v>
      </c>
      <c r="Q1282" s="49" t="s">
        <v>2702</v>
      </c>
      <c r="R1282" s="67" t="e" cm="1">
        <f t="array" ref="R1282">_xlfn.CHOOSECOLS(_xlfn.CHOOSEROWS(_xlfn._xlws.FILTER(표2[],표2[DWG No.]=C1282,""),1),6)</f>
        <v>#VALUE!</v>
      </c>
      <c r="S1282" s="67" t="e" cm="1">
        <f t="array" ref="S1282">_xlfn.CHOOSECOLS(_xlfn.CHOOSEROWS(_xlfn._xlws.FILTER(표2[],(표2[DWG No.]=C1282)*(ISNUMBER(표2[Rev.])),""),1),6)</f>
        <v>#VALUE!</v>
      </c>
    </row>
    <row r="1283" spans="1:19" ht="18" customHeight="1" x14ac:dyDescent="0.45">
      <c r="A1283" s="64">
        <v>1278</v>
      </c>
      <c r="B1283" s="49" t="s">
        <v>2912</v>
      </c>
      <c r="C1283" s="50" t="s">
        <v>4444</v>
      </c>
      <c r="D1283" s="49">
        <v>156039</v>
      </c>
      <c r="E1283" s="50" t="s">
        <v>4445</v>
      </c>
      <c r="F1283" s="49" t="s">
        <v>5</v>
      </c>
      <c r="G1283" s="48">
        <v>43126</v>
      </c>
      <c r="H1283" s="48">
        <v>43156</v>
      </c>
      <c r="I1283" s="48">
        <v>43776</v>
      </c>
      <c r="J1283" s="49" t="s">
        <v>4446</v>
      </c>
      <c r="K1283" s="58" t="s">
        <v>7</v>
      </c>
      <c r="L1283" s="49">
        <v>1</v>
      </c>
      <c r="M1283" s="62">
        <v>43790</v>
      </c>
      <c r="N1283" s="52" t="s">
        <v>3784</v>
      </c>
      <c r="O1283" s="49"/>
      <c r="P1283" s="52">
        <v>1</v>
      </c>
      <c r="Q1283" s="51" t="s">
        <v>5002</v>
      </c>
      <c r="R1283" s="67" t="e" cm="1">
        <f t="array" ref="R1283">_xlfn.CHOOSECOLS(_xlfn.CHOOSEROWS(_xlfn._xlws.FILTER(표2[],표2[DWG No.]=C1283,""),1),6)</f>
        <v>#VALUE!</v>
      </c>
      <c r="S1283" s="67" t="e" cm="1">
        <f t="array" ref="S1283">_xlfn.CHOOSECOLS(_xlfn.CHOOSEROWS(_xlfn._xlws.FILTER(표2[],(표2[DWG No.]=C1283)*(ISNUMBER(표2[Rev.])),""),1),6)</f>
        <v>#VALUE!</v>
      </c>
    </row>
    <row r="1284" spans="1:19" ht="18" customHeight="1" x14ac:dyDescent="0.45">
      <c r="A1284" s="64">
        <v>1279</v>
      </c>
      <c r="B1284" s="49" t="s">
        <v>2912</v>
      </c>
      <c r="C1284" s="50" t="s">
        <v>4447</v>
      </c>
      <c r="D1284" s="49">
        <v>156044</v>
      </c>
      <c r="E1284" s="50" t="s">
        <v>4448</v>
      </c>
      <c r="F1284" s="49" t="s">
        <v>5</v>
      </c>
      <c r="G1284" s="48">
        <v>43126</v>
      </c>
      <c r="H1284" s="48">
        <v>43156</v>
      </c>
      <c r="I1284" s="48">
        <v>43087</v>
      </c>
      <c r="J1284" s="49" t="s">
        <v>4232</v>
      </c>
      <c r="K1284" s="58" t="s">
        <v>5</v>
      </c>
      <c r="L1284" s="49" t="s">
        <v>65</v>
      </c>
      <c r="M1284" s="48">
        <v>43096</v>
      </c>
      <c r="N1284" s="52" t="s">
        <v>3153</v>
      </c>
      <c r="O1284" s="49" t="s">
        <v>5</v>
      </c>
      <c r="P1284" s="49" t="s">
        <v>65</v>
      </c>
      <c r="Q1284" s="49" t="s">
        <v>2702</v>
      </c>
      <c r="R1284" s="67" t="e" cm="1">
        <f t="array" ref="R1284">_xlfn.CHOOSECOLS(_xlfn.CHOOSEROWS(_xlfn._xlws.FILTER(표2[],표2[DWG No.]=C1284,""),1),6)</f>
        <v>#VALUE!</v>
      </c>
      <c r="S1284" s="67" t="e" cm="1">
        <f t="array" ref="S1284">_xlfn.CHOOSECOLS(_xlfn.CHOOSEROWS(_xlfn._xlws.FILTER(표2[],(표2[DWG No.]=C1284)*(ISNUMBER(표2[Rev.])),""),1),6)</f>
        <v>#VALUE!</v>
      </c>
    </row>
    <row r="1285" spans="1:19" ht="18" customHeight="1" x14ac:dyDescent="0.45">
      <c r="A1285" s="64">
        <v>1280</v>
      </c>
      <c r="B1285" s="49" t="s">
        <v>2912</v>
      </c>
      <c r="C1285" s="50" t="s">
        <v>4449</v>
      </c>
      <c r="D1285" s="49">
        <v>156049</v>
      </c>
      <c r="E1285" s="50" t="s">
        <v>4450</v>
      </c>
      <c r="F1285" s="49" t="s">
        <v>5</v>
      </c>
      <c r="G1285" s="48">
        <v>43126</v>
      </c>
      <c r="H1285" s="48">
        <v>43156</v>
      </c>
      <c r="I1285" s="48">
        <v>43776</v>
      </c>
      <c r="J1285" s="49" t="s">
        <v>4446</v>
      </c>
      <c r="K1285" s="58" t="s">
        <v>7</v>
      </c>
      <c r="L1285" s="49">
        <v>1</v>
      </c>
      <c r="M1285" s="62">
        <v>43790</v>
      </c>
      <c r="N1285" s="52" t="s">
        <v>3784</v>
      </c>
      <c r="O1285" s="49"/>
      <c r="P1285" s="52">
        <v>1</v>
      </c>
      <c r="Q1285" s="51" t="s">
        <v>5002</v>
      </c>
      <c r="R1285" s="67" t="e" cm="1">
        <f t="array" ref="R1285">_xlfn.CHOOSECOLS(_xlfn.CHOOSEROWS(_xlfn._xlws.FILTER(표2[],표2[DWG No.]=C1285,""),1),6)</f>
        <v>#VALUE!</v>
      </c>
      <c r="S1285" s="67" t="e" cm="1">
        <f t="array" ref="S1285">_xlfn.CHOOSECOLS(_xlfn.CHOOSEROWS(_xlfn._xlws.FILTER(표2[],(표2[DWG No.]=C1285)*(ISNUMBER(표2[Rev.])),""),1),6)</f>
        <v>#VALUE!</v>
      </c>
    </row>
    <row r="1286" spans="1:19" ht="18" customHeight="1" x14ac:dyDescent="0.45">
      <c r="A1286" s="64">
        <v>1281</v>
      </c>
      <c r="B1286" s="49" t="s">
        <v>2912</v>
      </c>
      <c r="C1286" s="50" t="s">
        <v>4451</v>
      </c>
      <c r="D1286" s="49">
        <v>156054</v>
      </c>
      <c r="E1286" s="50" t="s">
        <v>4452</v>
      </c>
      <c r="F1286" s="49" t="s">
        <v>5</v>
      </c>
      <c r="G1286" s="48">
        <v>43126</v>
      </c>
      <c r="H1286" s="48">
        <v>43156</v>
      </c>
      <c r="I1286" s="48">
        <v>43087</v>
      </c>
      <c r="J1286" s="49" t="s">
        <v>4232</v>
      </c>
      <c r="K1286" s="58" t="s">
        <v>5</v>
      </c>
      <c r="L1286" s="49" t="s">
        <v>65</v>
      </c>
      <c r="M1286" s="48">
        <v>43096</v>
      </c>
      <c r="N1286" s="52" t="s">
        <v>3153</v>
      </c>
      <c r="O1286" s="49" t="s">
        <v>5</v>
      </c>
      <c r="P1286" s="49" t="s">
        <v>65</v>
      </c>
      <c r="Q1286" s="49" t="s">
        <v>2702</v>
      </c>
      <c r="R1286" s="67" t="e" cm="1">
        <f t="array" ref="R1286">_xlfn.CHOOSECOLS(_xlfn.CHOOSEROWS(_xlfn._xlws.FILTER(표2[],표2[DWG No.]=C1286,""),1),6)</f>
        <v>#VALUE!</v>
      </c>
      <c r="S1286" s="67" t="e" cm="1">
        <f t="array" ref="S1286">_xlfn.CHOOSECOLS(_xlfn.CHOOSEROWS(_xlfn._xlws.FILTER(표2[],(표2[DWG No.]=C1286)*(ISNUMBER(표2[Rev.])),""),1),6)</f>
        <v>#VALUE!</v>
      </c>
    </row>
    <row r="1287" spans="1:19" ht="18" customHeight="1" x14ac:dyDescent="0.45">
      <c r="A1287" s="64">
        <v>1282</v>
      </c>
      <c r="B1287" s="49" t="s">
        <v>2912</v>
      </c>
      <c r="C1287" s="50" t="s">
        <v>4453</v>
      </c>
      <c r="D1287" s="49">
        <v>156059</v>
      </c>
      <c r="E1287" s="50" t="s">
        <v>4454</v>
      </c>
      <c r="F1287" s="49" t="s">
        <v>5</v>
      </c>
      <c r="G1287" s="48">
        <v>43126</v>
      </c>
      <c r="H1287" s="48">
        <v>43156</v>
      </c>
      <c r="I1287" s="48">
        <v>43087</v>
      </c>
      <c r="J1287" s="49" t="s">
        <v>4232</v>
      </c>
      <c r="K1287" s="58" t="s">
        <v>5</v>
      </c>
      <c r="L1287" s="49" t="s">
        <v>65</v>
      </c>
      <c r="M1287" s="48">
        <v>43096</v>
      </c>
      <c r="N1287" s="52" t="s">
        <v>3153</v>
      </c>
      <c r="O1287" s="49" t="s">
        <v>5</v>
      </c>
      <c r="P1287" s="49" t="s">
        <v>65</v>
      </c>
      <c r="Q1287" s="49" t="s">
        <v>2702</v>
      </c>
      <c r="R1287" s="67" t="e" cm="1">
        <f t="array" ref="R1287">_xlfn.CHOOSECOLS(_xlfn.CHOOSEROWS(_xlfn._xlws.FILTER(표2[],표2[DWG No.]=C1287,""),1),6)</f>
        <v>#VALUE!</v>
      </c>
      <c r="S1287" s="67" t="e" cm="1">
        <f t="array" ref="S1287">_xlfn.CHOOSECOLS(_xlfn.CHOOSEROWS(_xlfn._xlws.FILTER(표2[],(표2[DWG No.]=C1287)*(ISNUMBER(표2[Rev.])),""),1),6)</f>
        <v>#VALUE!</v>
      </c>
    </row>
    <row r="1288" spans="1:19" ht="18" customHeight="1" x14ac:dyDescent="0.45">
      <c r="A1288" s="64">
        <v>1283</v>
      </c>
      <c r="B1288" s="49" t="s">
        <v>2912</v>
      </c>
      <c r="C1288" s="50" t="s">
        <v>4455</v>
      </c>
      <c r="D1288" s="49">
        <v>156064</v>
      </c>
      <c r="E1288" s="50" t="s">
        <v>4456</v>
      </c>
      <c r="F1288" s="49" t="s">
        <v>5</v>
      </c>
      <c r="G1288" s="48">
        <v>43126</v>
      </c>
      <c r="H1288" s="48">
        <v>43156</v>
      </c>
      <c r="I1288" s="48">
        <v>43776</v>
      </c>
      <c r="J1288" s="49" t="s">
        <v>4446</v>
      </c>
      <c r="K1288" s="58" t="s">
        <v>7</v>
      </c>
      <c r="L1288" s="49">
        <v>1</v>
      </c>
      <c r="M1288" s="62">
        <v>43790</v>
      </c>
      <c r="N1288" s="52" t="s">
        <v>3784</v>
      </c>
      <c r="O1288" s="49"/>
      <c r="P1288" s="52">
        <v>1</v>
      </c>
      <c r="Q1288" s="51" t="s">
        <v>5002</v>
      </c>
      <c r="R1288" s="67" t="e" cm="1">
        <f t="array" ref="R1288">_xlfn.CHOOSECOLS(_xlfn.CHOOSEROWS(_xlfn._xlws.FILTER(표2[],표2[DWG No.]=C1288,""),1),6)</f>
        <v>#VALUE!</v>
      </c>
      <c r="S1288" s="67" t="e" cm="1">
        <f t="array" ref="S1288">_xlfn.CHOOSECOLS(_xlfn.CHOOSEROWS(_xlfn._xlws.FILTER(표2[],(표2[DWG No.]=C1288)*(ISNUMBER(표2[Rev.])),""),1),6)</f>
        <v>#VALUE!</v>
      </c>
    </row>
    <row r="1289" spans="1:19" ht="18" customHeight="1" x14ac:dyDescent="0.45">
      <c r="A1289" s="64">
        <v>1284</v>
      </c>
      <c r="B1289" s="49" t="s">
        <v>2912</v>
      </c>
      <c r="C1289" s="50" t="s">
        <v>4457</v>
      </c>
      <c r="D1289" s="49">
        <v>156069</v>
      </c>
      <c r="E1289" s="50" t="s">
        <v>4458</v>
      </c>
      <c r="F1289" s="49" t="s">
        <v>5</v>
      </c>
      <c r="G1289" s="48">
        <v>43126</v>
      </c>
      <c r="H1289" s="48">
        <v>43156</v>
      </c>
      <c r="I1289" s="48">
        <v>43087</v>
      </c>
      <c r="J1289" s="49" t="s">
        <v>4232</v>
      </c>
      <c r="K1289" s="58" t="s">
        <v>5</v>
      </c>
      <c r="L1289" s="49" t="s">
        <v>65</v>
      </c>
      <c r="M1289" s="48">
        <v>43096</v>
      </c>
      <c r="N1289" s="52" t="s">
        <v>3153</v>
      </c>
      <c r="O1289" s="49" t="s">
        <v>5</v>
      </c>
      <c r="P1289" s="52" t="s">
        <v>65</v>
      </c>
      <c r="Q1289" s="49" t="s">
        <v>2702</v>
      </c>
      <c r="R1289" s="67" t="e" cm="1">
        <f t="array" ref="R1289">_xlfn.CHOOSECOLS(_xlfn.CHOOSEROWS(_xlfn._xlws.FILTER(표2[],표2[DWG No.]=C1289,""),1),6)</f>
        <v>#VALUE!</v>
      </c>
      <c r="S1289" s="67" t="e" cm="1">
        <f t="array" ref="S1289">_xlfn.CHOOSECOLS(_xlfn.CHOOSEROWS(_xlfn._xlws.FILTER(표2[],(표2[DWG No.]=C1289)*(ISNUMBER(표2[Rev.])),""),1),6)</f>
        <v>#VALUE!</v>
      </c>
    </row>
    <row r="1290" spans="1:19" ht="18" customHeight="1" x14ac:dyDescent="0.45">
      <c r="A1290" s="64">
        <v>1285</v>
      </c>
      <c r="B1290" s="49" t="s">
        <v>2912</v>
      </c>
      <c r="C1290" s="50" t="s">
        <v>4459</v>
      </c>
      <c r="D1290" s="49">
        <v>156074</v>
      </c>
      <c r="E1290" s="50" t="s">
        <v>4460</v>
      </c>
      <c r="F1290" s="49" t="s">
        <v>5</v>
      </c>
      <c r="G1290" s="48">
        <v>43126</v>
      </c>
      <c r="H1290" s="48">
        <v>43156</v>
      </c>
      <c r="I1290" s="48">
        <v>43087</v>
      </c>
      <c r="J1290" s="49" t="s">
        <v>4232</v>
      </c>
      <c r="K1290" s="58" t="s">
        <v>5</v>
      </c>
      <c r="L1290" s="49" t="s">
        <v>65</v>
      </c>
      <c r="M1290" s="48">
        <v>43096</v>
      </c>
      <c r="N1290" s="52" t="s">
        <v>3153</v>
      </c>
      <c r="O1290" s="49" t="s">
        <v>5</v>
      </c>
      <c r="P1290" s="52" t="s">
        <v>65</v>
      </c>
      <c r="Q1290" s="49" t="s">
        <v>2702</v>
      </c>
      <c r="R1290" s="67" t="e" cm="1">
        <f t="array" ref="R1290">_xlfn.CHOOSECOLS(_xlfn.CHOOSEROWS(_xlfn._xlws.FILTER(표2[],표2[DWG No.]=C1290,""),1),6)</f>
        <v>#VALUE!</v>
      </c>
      <c r="S1290" s="67" t="e" cm="1">
        <f t="array" ref="S1290">_xlfn.CHOOSECOLS(_xlfn.CHOOSEROWS(_xlfn._xlws.FILTER(표2[],(표2[DWG No.]=C1290)*(ISNUMBER(표2[Rev.])),""),1),6)</f>
        <v>#VALUE!</v>
      </c>
    </row>
    <row r="1291" spans="1:19" ht="18" customHeight="1" x14ac:dyDescent="0.45">
      <c r="A1291" s="64">
        <v>1286</v>
      </c>
      <c r="B1291" s="49" t="s">
        <v>2912</v>
      </c>
      <c r="C1291" s="50" t="s">
        <v>4461</v>
      </c>
      <c r="D1291" s="49">
        <v>156079</v>
      </c>
      <c r="E1291" s="50" t="s">
        <v>4462</v>
      </c>
      <c r="F1291" s="49" t="s">
        <v>5</v>
      </c>
      <c r="G1291" s="48">
        <v>43126</v>
      </c>
      <c r="H1291" s="48">
        <v>43156</v>
      </c>
      <c r="I1291" s="48">
        <v>43087</v>
      </c>
      <c r="J1291" s="49" t="s">
        <v>4232</v>
      </c>
      <c r="K1291" s="58" t="s">
        <v>5</v>
      </c>
      <c r="L1291" s="49" t="s">
        <v>65</v>
      </c>
      <c r="M1291" s="48">
        <v>43096</v>
      </c>
      <c r="N1291" s="52" t="s">
        <v>3153</v>
      </c>
      <c r="O1291" s="49" t="s">
        <v>5</v>
      </c>
      <c r="P1291" s="52" t="s">
        <v>65</v>
      </c>
      <c r="Q1291" s="49" t="s">
        <v>2702</v>
      </c>
      <c r="R1291" s="67" t="e" cm="1">
        <f t="array" ref="R1291">_xlfn.CHOOSECOLS(_xlfn.CHOOSEROWS(_xlfn._xlws.FILTER(표2[],표2[DWG No.]=C1291,""),1),6)</f>
        <v>#VALUE!</v>
      </c>
      <c r="S1291" s="67" t="e" cm="1">
        <f t="array" ref="S1291">_xlfn.CHOOSECOLS(_xlfn.CHOOSEROWS(_xlfn._xlws.FILTER(표2[],(표2[DWG No.]=C1291)*(ISNUMBER(표2[Rev.])),""),1),6)</f>
        <v>#VALUE!</v>
      </c>
    </row>
    <row r="1292" spans="1:19" ht="18" customHeight="1" x14ac:dyDescent="0.45">
      <c r="A1292" s="64">
        <v>1287</v>
      </c>
      <c r="B1292" s="49" t="s">
        <v>2912</v>
      </c>
      <c r="C1292" s="50" t="s">
        <v>4463</v>
      </c>
      <c r="D1292" s="49">
        <v>156084</v>
      </c>
      <c r="E1292" s="50" t="s">
        <v>4464</v>
      </c>
      <c r="F1292" s="49" t="s">
        <v>5</v>
      </c>
      <c r="G1292" s="48">
        <v>43126</v>
      </c>
      <c r="H1292" s="48">
        <v>43156</v>
      </c>
      <c r="I1292" s="48">
        <v>43087</v>
      </c>
      <c r="J1292" s="49" t="s">
        <v>4232</v>
      </c>
      <c r="K1292" s="58" t="s">
        <v>5</v>
      </c>
      <c r="L1292" s="49" t="s">
        <v>65</v>
      </c>
      <c r="M1292" s="48">
        <v>43096</v>
      </c>
      <c r="N1292" s="52" t="s">
        <v>3153</v>
      </c>
      <c r="O1292" s="49" t="s">
        <v>5</v>
      </c>
      <c r="P1292" s="52" t="s">
        <v>65</v>
      </c>
      <c r="Q1292" s="49" t="s">
        <v>2702</v>
      </c>
      <c r="R1292" s="67" t="e" cm="1">
        <f t="array" ref="R1292">_xlfn.CHOOSECOLS(_xlfn.CHOOSEROWS(_xlfn._xlws.FILTER(표2[],표2[DWG No.]=C1292,""),1),6)</f>
        <v>#VALUE!</v>
      </c>
      <c r="S1292" s="67" t="e" cm="1">
        <f t="array" ref="S1292">_xlfn.CHOOSECOLS(_xlfn.CHOOSEROWS(_xlfn._xlws.FILTER(표2[],(표2[DWG No.]=C1292)*(ISNUMBER(표2[Rev.])),""),1),6)</f>
        <v>#VALUE!</v>
      </c>
    </row>
    <row r="1293" spans="1:19" ht="18" customHeight="1" x14ac:dyDescent="0.45">
      <c r="A1293" s="64">
        <v>1288</v>
      </c>
      <c r="B1293" s="49" t="s">
        <v>2912</v>
      </c>
      <c r="C1293" s="50" t="s">
        <v>4465</v>
      </c>
      <c r="D1293" s="49">
        <v>156089</v>
      </c>
      <c r="E1293" s="50" t="s">
        <v>4466</v>
      </c>
      <c r="F1293" s="49" t="s">
        <v>5</v>
      </c>
      <c r="G1293" s="48">
        <v>43126</v>
      </c>
      <c r="H1293" s="48">
        <v>43156</v>
      </c>
      <c r="I1293" s="48">
        <v>43087</v>
      </c>
      <c r="J1293" s="49" t="s">
        <v>4232</v>
      </c>
      <c r="K1293" s="58" t="s">
        <v>5</v>
      </c>
      <c r="L1293" s="49" t="s">
        <v>65</v>
      </c>
      <c r="M1293" s="48">
        <v>43096</v>
      </c>
      <c r="N1293" s="52" t="s">
        <v>3153</v>
      </c>
      <c r="O1293" s="49" t="s">
        <v>5</v>
      </c>
      <c r="P1293" s="52" t="s">
        <v>65</v>
      </c>
      <c r="Q1293" s="49" t="s">
        <v>2702</v>
      </c>
      <c r="R1293" s="67" t="e" cm="1">
        <f t="array" ref="R1293">_xlfn.CHOOSECOLS(_xlfn.CHOOSEROWS(_xlfn._xlws.FILTER(표2[],표2[DWG No.]=C1293,""),1),6)</f>
        <v>#VALUE!</v>
      </c>
      <c r="S1293" s="67" t="e" cm="1">
        <f t="array" ref="S1293">_xlfn.CHOOSECOLS(_xlfn.CHOOSEROWS(_xlfn._xlws.FILTER(표2[],(표2[DWG No.]=C1293)*(ISNUMBER(표2[Rev.])),""),1),6)</f>
        <v>#VALUE!</v>
      </c>
    </row>
    <row r="1294" spans="1:19" ht="18" customHeight="1" x14ac:dyDescent="0.45">
      <c r="A1294" s="64">
        <v>1289</v>
      </c>
      <c r="B1294" s="49" t="s">
        <v>2912</v>
      </c>
      <c r="C1294" s="50" t="s">
        <v>4467</v>
      </c>
      <c r="D1294" s="49">
        <v>156094</v>
      </c>
      <c r="E1294" s="50" t="s">
        <v>4468</v>
      </c>
      <c r="F1294" s="49" t="s">
        <v>5</v>
      </c>
      <c r="G1294" s="48">
        <v>43126</v>
      </c>
      <c r="H1294" s="48">
        <v>43156</v>
      </c>
      <c r="I1294" s="48">
        <v>43087</v>
      </c>
      <c r="J1294" s="49" t="s">
        <v>4232</v>
      </c>
      <c r="K1294" s="58" t="s">
        <v>5</v>
      </c>
      <c r="L1294" s="49" t="s">
        <v>65</v>
      </c>
      <c r="M1294" s="48">
        <v>43096</v>
      </c>
      <c r="N1294" s="52" t="s">
        <v>3153</v>
      </c>
      <c r="O1294" s="49" t="s">
        <v>5</v>
      </c>
      <c r="P1294" s="52" t="s">
        <v>65</v>
      </c>
      <c r="Q1294" s="49" t="s">
        <v>2702</v>
      </c>
      <c r="R1294" s="67" t="e" cm="1">
        <f t="array" ref="R1294">_xlfn.CHOOSECOLS(_xlfn.CHOOSEROWS(_xlfn._xlws.FILTER(표2[],표2[DWG No.]=C1294,""),1),6)</f>
        <v>#VALUE!</v>
      </c>
      <c r="S1294" s="67" t="e" cm="1">
        <f t="array" ref="S1294">_xlfn.CHOOSECOLS(_xlfn.CHOOSEROWS(_xlfn._xlws.FILTER(표2[],(표2[DWG No.]=C1294)*(ISNUMBER(표2[Rev.])),""),1),6)</f>
        <v>#VALUE!</v>
      </c>
    </row>
    <row r="1295" spans="1:19" ht="18" customHeight="1" x14ac:dyDescent="0.45">
      <c r="A1295" s="64">
        <v>1290</v>
      </c>
      <c r="B1295" s="49" t="s">
        <v>2912</v>
      </c>
      <c r="C1295" s="50" t="s">
        <v>4469</v>
      </c>
      <c r="D1295" s="49">
        <v>156099</v>
      </c>
      <c r="E1295" s="50" t="s">
        <v>4470</v>
      </c>
      <c r="F1295" s="49" t="s">
        <v>5</v>
      </c>
      <c r="G1295" s="48">
        <v>43076</v>
      </c>
      <c r="H1295" s="48">
        <v>43106</v>
      </c>
      <c r="I1295" s="48">
        <v>43076</v>
      </c>
      <c r="J1295" s="49" t="s">
        <v>4337</v>
      </c>
      <c r="K1295" s="58" t="s">
        <v>5</v>
      </c>
      <c r="L1295" s="49" t="s">
        <v>65</v>
      </c>
      <c r="M1295" s="48">
        <v>43096</v>
      </c>
      <c r="N1295" s="52" t="s">
        <v>3153</v>
      </c>
      <c r="O1295" s="49" t="s">
        <v>5</v>
      </c>
      <c r="P1295" s="52" t="s">
        <v>65</v>
      </c>
      <c r="Q1295" s="49" t="s">
        <v>2702</v>
      </c>
      <c r="R1295" s="67" t="e" cm="1">
        <f t="array" ref="R1295">_xlfn.CHOOSECOLS(_xlfn.CHOOSEROWS(_xlfn._xlws.FILTER(표2[],표2[DWG No.]=C1295,""),1),6)</f>
        <v>#VALUE!</v>
      </c>
      <c r="S1295" s="67" t="e" cm="1">
        <f t="array" ref="S1295">_xlfn.CHOOSECOLS(_xlfn.CHOOSEROWS(_xlfn._xlws.FILTER(표2[],(표2[DWG No.]=C1295)*(ISNUMBER(표2[Rev.])),""),1),6)</f>
        <v>#VALUE!</v>
      </c>
    </row>
    <row r="1296" spans="1:19" ht="18" customHeight="1" x14ac:dyDescent="0.45">
      <c r="A1296" s="64">
        <v>1291</v>
      </c>
      <c r="B1296" s="49" t="s">
        <v>2912</v>
      </c>
      <c r="C1296" s="50" t="s">
        <v>4471</v>
      </c>
      <c r="D1296" s="49">
        <v>156104</v>
      </c>
      <c r="E1296" s="50" t="s">
        <v>4472</v>
      </c>
      <c r="F1296" s="49" t="s">
        <v>5</v>
      </c>
      <c r="G1296" s="48">
        <v>43126</v>
      </c>
      <c r="H1296" s="48">
        <v>43156</v>
      </c>
      <c r="I1296" s="48">
        <v>43087</v>
      </c>
      <c r="J1296" s="49" t="s">
        <v>4232</v>
      </c>
      <c r="K1296" s="58" t="s">
        <v>5</v>
      </c>
      <c r="L1296" s="49" t="s">
        <v>65</v>
      </c>
      <c r="M1296" s="48">
        <v>43096</v>
      </c>
      <c r="N1296" s="52" t="s">
        <v>3153</v>
      </c>
      <c r="O1296" s="49" t="s">
        <v>5</v>
      </c>
      <c r="P1296" s="52" t="s">
        <v>65</v>
      </c>
      <c r="Q1296" s="49" t="s">
        <v>2702</v>
      </c>
      <c r="R1296" s="67" t="e" cm="1">
        <f t="array" ref="R1296">_xlfn.CHOOSECOLS(_xlfn.CHOOSEROWS(_xlfn._xlws.FILTER(표2[],표2[DWG No.]=C1296,""),1),6)</f>
        <v>#VALUE!</v>
      </c>
      <c r="S1296" s="67" t="e" cm="1">
        <f t="array" ref="S1296">_xlfn.CHOOSECOLS(_xlfn.CHOOSEROWS(_xlfn._xlws.FILTER(표2[],(표2[DWG No.]=C1296)*(ISNUMBER(표2[Rev.])),""),1),6)</f>
        <v>#VALUE!</v>
      </c>
    </row>
    <row r="1297" spans="1:19" ht="18" customHeight="1" x14ac:dyDescent="0.45">
      <c r="A1297" s="64">
        <v>1292</v>
      </c>
      <c r="B1297" s="49" t="s">
        <v>2912</v>
      </c>
      <c r="C1297" s="50" t="s">
        <v>4473</v>
      </c>
      <c r="D1297" s="49">
        <v>156109</v>
      </c>
      <c r="E1297" s="50" t="s">
        <v>4474</v>
      </c>
      <c r="F1297" s="49" t="s">
        <v>5</v>
      </c>
      <c r="G1297" s="48">
        <v>43126</v>
      </c>
      <c r="H1297" s="48">
        <v>43156</v>
      </c>
      <c r="I1297" s="48">
        <v>43087</v>
      </c>
      <c r="J1297" s="49" t="s">
        <v>4232</v>
      </c>
      <c r="K1297" s="58" t="s">
        <v>5</v>
      </c>
      <c r="L1297" s="49" t="s">
        <v>65</v>
      </c>
      <c r="M1297" s="48">
        <v>43096</v>
      </c>
      <c r="N1297" s="52" t="s">
        <v>3153</v>
      </c>
      <c r="O1297" s="49" t="s">
        <v>5</v>
      </c>
      <c r="P1297" s="52" t="s">
        <v>65</v>
      </c>
      <c r="Q1297" s="49" t="s">
        <v>2702</v>
      </c>
      <c r="R1297" s="67" t="e" cm="1">
        <f t="array" ref="R1297">_xlfn.CHOOSECOLS(_xlfn.CHOOSEROWS(_xlfn._xlws.FILTER(표2[],표2[DWG No.]=C1297,""),1),6)</f>
        <v>#VALUE!</v>
      </c>
      <c r="S1297" s="67" t="e" cm="1">
        <f t="array" ref="S1297">_xlfn.CHOOSECOLS(_xlfn.CHOOSEROWS(_xlfn._xlws.FILTER(표2[],(표2[DWG No.]=C1297)*(ISNUMBER(표2[Rev.])),""),1),6)</f>
        <v>#VALUE!</v>
      </c>
    </row>
    <row r="1298" spans="1:19" ht="18" customHeight="1" x14ac:dyDescent="0.45">
      <c r="A1298" s="64">
        <v>1293</v>
      </c>
      <c r="B1298" s="49" t="s">
        <v>2912</v>
      </c>
      <c r="C1298" s="53" t="s">
        <v>4475</v>
      </c>
      <c r="D1298" s="49">
        <v>175610</v>
      </c>
      <c r="E1298" s="53" t="s">
        <v>4476</v>
      </c>
      <c r="F1298" s="49" t="s">
        <v>6</v>
      </c>
      <c r="G1298" s="48">
        <v>43104</v>
      </c>
      <c r="H1298" s="48">
        <v>43104</v>
      </c>
      <c r="I1298" s="48">
        <v>43133</v>
      </c>
      <c r="J1298" s="51" t="s">
        <v>3595</v>
      </c>
      <c r="K1298" s="58" t="s">
        <v>7</v>
      </c>
      <c r="L1298" s="51">
        <v>0</v>
      </c>
      <c r="M1298" s="61">
        <v>43143</v>
      </c>
      <c r="N1298" s="52" t="s">
        <v>3153</v>
      </c>
      <c r="O1298" s="49" t="s">
        <v>7</v>
      </c>
      <c r="P1298" s="52">
        <v>0</v>
      </c>
      <c r="Q1298" s="51" t="s">
        <v>5002</v>
      </c>
      <c r="R1298" s="67" t="e" cm="1">
        <f t="array" ref="R1298">_xlfn.CHOOSECOLS(_xlfn.CHOOSEROWS(_xlfn._xlws.FILTER(표2[],표2[DWG No.]=C1298,""),1),6)</f>
        <v>#VALUE!</v>
      </c>
      <c r="S1298" s="67" t="e" cm="1">
        <f t="array" ref="S1298">_xlfn.CHOOSECOLS(_xlfn.CHOOSEROWS(_xlfn._xlws.FILTER(표2[],(표2[DWG No.]=C1298)*(ISNUMBER(표2[Rev.])),""),1),6)</f>
        <v>#VALUE!</v>
      </c>
    </row>
    <row r="1299" spans="1:19" ht="18" customHeight="1" x14ac:dyDescent="0.45">
      <c r="A1299" s="64">
        <v>1294</v>
      </c>
      <c r="B1299" s="49" t="s">
        <v>2912</v>
      </c>
      <c r="C1299" s="53" t="s">
        <v>4477</v>
      </c>
      <c r="D1299" s="49">
        <v>175611</v>
      </c>
      <c r="E1299" s="53" t="s">
        <v>4478</v>
      </c>
      <c r="F1299" s="49" t="s">
        <v>6</v>
      </c>
      <c r="G1299" s="48">
        <v>43104</v>
      </c>
      <c r="H1299" s="48">
        <v>43104</v>
      </c>
      <c r="I1299" s="48">
        <v>43473</v>
      </c>
      <c r="J1299" s="51" t="s">
        <v>4479</v>
      </c>
      <c r="K1299" s="58" t="s">
        <v>7</v>
      </c>
      <c r="L1299" s="51">
        <v>2</v>
      </c>
      <c r="M1299" s="61">
        <v>43487</v>
      </c>
      <c r="N1299" s="51" t="s">
        <v>3534</v>
      </c>
      <c r="O1299" s="49" t="s">
        <v>7</v>
      </c>
      <c r="P1299" s="51">
        <v>2</v>
      </c>
      <c r="Q1299" s="52" t="s">
        <v>160</v>
      </c>
      <c r="R1299" s="67" t="e" cm="1">
        <f t="array" ref="R1299">_xlfn.CHOOSECOLS(_xlfn.CHOOSEROWS(_xlfn._xlws.FILTER(표2[],표2[DWG No.]=C1299,""),1),6)</f>
        <v>#VALUE!</v>
      </c>
      <c r="S1299" s="67" t="e" cm="1">
        <f t="array" ref="S1299">_xlfn.CHOOSECOLS(_xlfn.CHOOSEROWS(_xlfn._xlws.FILTER(표2[],(표2[DWG No.]=C1299)*(ISNUMBER(표2[Rev.])),""),1),6)</f>
        <v>#VALUE!</v>
      </c>
    </row>
    <row r="1300" spans="1:19" ht="18" customHeight="1" x14ac:dyDescent="0.45">
      <c r="A1300" s="64">
        <v>1295</v>
      </c>
      <c r="B1300" s="49" t="s">
        <v>2912</v>
      </c>
      <c r="C1300" s="53" t="s">
        <v>4480</v>
      </c>
      <c r="D1300" s="49">
        <v>175612</v>
      </c>
      <c r="E1300" s="53" t="s">
        <v>4481</v>
      </c>
      <c r="F1300" s="49" t="s">
        <v>6</v>
      </c>
      <c r="G1300" s="48">
        <v>43104</v>
      </c>
      <c r="H1300" s="48">
        <v>43104</v>
      </c>
      <c r="I1300" s="48">
        <v>43473</v>
      </c>
      <c r="J1300" s="51" t="s">
        <v>4479</v>
      </c>
      <c r="K1300" s="58" t="s">
        <v>7</v>
      </c>
      <c r="L1300" s="51">
        <v>2</v>
      </c>
      <c r="M1300" s="61">
        <v>43487</v>
      </c>
      <c r="N1300" s="51" t="s">
        <v>3534</v>
      </c>
      <c r="O1300" s="49" t="s">
        <v>7</v>
      </c>
      <c r="P1300" s="51">
        <v>2</v>
      </c>
      <c r="Q1300" s="52" t="s">
        <v>160</v>
      </c>
      <c r="R1300" s="67" t="e" cm="1">
        <f t="array" ref="R1300">_xlfn.CHOOSECOLS(_xlfn.CHOOSEROWS(_xlfn._xlws.FILTER(표2[],표2[DWG No.]=C1300,""),1),6)</f>
        <v>#VALUE!</v>
      </c>
      <c r="S1300" s="67" t="e" cm="1">
        <f t="array" ref="S1300">_xlfn.CHOOSECOLS(_xlfn.CHOOSEROWS(_xlfn._xlws.FILTER(표2[],(표2[DWG No.]=C1300)*(ISNUMBER(표2[Rev.])),""),1),6)</f>
        <v>#VALUE!</v>
      </c>
    </row>
    <row r="1301" spans="1:19" ht="18" customHeight="1" x14ac:dyDescent="0.45">
      <c r="A1301" s="64">
        <v>1296</v>
      </c>
      <c r="B1301" s="49" t="s">
        <v>2912</v>
      </c>
      <c r="C1301" s="53" t="s">
        <v>4482</v>
      </c>
      <c r="D1301" s="49">
        <v>175613</v>
      </c>
      <c r="E1301" s="53" t="s">
        <v>4483</v>
      </c>
      <c r="F1301" s="49" t="s">
        <v>6</v>
      </c>
      <c r="G1301" s="48">
        <v>43104</v>
      </c>
      <c r="H1301" s="48">
        <v>43104</v>
      </c>
      <c r="I1301" s="48">
        <v>43473</v>
      </c>
      <c r="J1301" s="51" t="s">
        <v>4479</v>
      </c>
      <c r="K1301" s="58" t="s">
        <v>7</v>
      </c>
      <c r="L1301" s="51">
        <v>2</v>
      </c>
      <c r="M1301" s="61">
        <v>43487</v>
      </c>
      <c r="N1301" s="51" t="s">
        <v>3534</v>
      </c>
      <c r="O1301" s="49" t="s">
        <v>7</v>
      </c>
      <c r="P1301" s="51">
        <v>2</v>
      </c>
      <c r="Q1301" s="52" t="s">
        <v>160</v>
      </c>
      <c r="R1301" s="67" t="e" cm="1">
        <f t="array" ref="R1301">_xlfn.CHOOSECOLS(_xlfn.CHOOSEROWS(_xlfn._xlws.FILTER(표2[],표2[DWG No.]=C1301,""),1),6)</f>
        <v>#VALUE!</v>
      </c>
      <c r="S1301" s="67" t="e" cm="1">
        <f t="array" ref="S1301">_xlfn.CHOOSECOLS(_xlfn.CHOOSEROWS(_xlfn._xlws.FILTER(표2[],(표2[DWG No.]=C1301)*(ISNUMBER(표2[Rev.])),""),1),6)</f>
        <v>#VALUE!</v>
      </c>
    </row>
    <row r="1302" spans="1:19" ht="18" customHeight="1" x14ac:dyDescent="0.45">
      <c r="A1302" s="64">
        <v>1297</v>
      </c>
      <c r="B1302" s="49" t="s">
        <v>2912</v>
      </c>
      <c r="C1302" s="53" t="s">
        <v>4484</v>
      </c>
      <c r="D1302" s="49">
        <v>175614</v>
      </c>
      <c r="E1302" s="53" t="s">
        <v>4485</v>
      </c>
      <c r="F1302" s="49" t="s">
        <v>6</v>
      </c>
      <c r="G1302" s="48">
        <v>43104</v>
      </c>
      <c r="H1302" s="48">
        <v>43104</v>
      </c>
      <c r="I1302" s="48">
        <v>43473</v>
      </c>
      <c r="J1302" s="51" t="s">
        <v>4479</v>
      </c>
      <c r="K1302" s="58" t="s">
        <v>7</v>
      </c>
      <c r="L1302" s="51">
        <v>2</v>
      </c>
      <c r="M1302" s="61">
        <v>43487</v>
      </c>
      <c r="N1302" s="51" t="s">
        <v>3534</v>
      </c>
      <c r="O1302" s="49" t="s">
        <v>7</v>
      </c>
      <c r="P1302" s="51">
        <v>2</v>
      </c>
      <c r="Q1302" s="52" t="s">
        <v>160</v>
      </c>
      <c r="R1302" s="67" t="e" cm="1">
        <f t="array" ref="R1302">_xlfn.CHOOSECOLS(_xlfn.CHOOSEROWS(_xlfn._xlws.FILTER(표2[],표2[DWG No.]=C1302,""),1),6)</f>
        <v>#VALUE!</v>
      </c>
      <c r="S1302" s="67" t="e" cm="1">
        <f t="array" ref="S1302">_xlfn.CHOOSECOLS(_xlfn.CHOOSEROWS(_xlfn._xlws.FILTER(표2[],(표2[DWG No.]=C1302)*(ISNUMBER(표2[Rev.])),""),1),6)</f>
        <v>#VALUE!</v>
      </c>
    </row>
    <row r="1303" spans="1:19" ht="18" customHeight="1" x14ac:dyDescent="0.45">
      <c r="A1303" s="64">
        <v>1298</v>
      </c>
      <c r="B1303" s="49" t="s">
        <v>2912</v>
      </c>
      <c r="C1303" s="53" t="s">
        <v>4486</v>
      </c>
      <c r="D1303" s="51">
        <v>175615</v>
      </c>
      <c r="E1303" s="53" t="s">
        <v>4487</v>
      </c>
      <c r="F1303" s="49" t="s">
        <v>6</v>
      </c>
      <c r="G1303" s="48">
        <v>43075</v>
      </c>
      <c r="H1303" s="48">
        <v>43075</v>
      </c>
      <c r="I1303" s="48">
        <v>43075</v>
      </c>
      <c r="J1303" s="49" t="s">
        <v>4488</v>
      </c>
      <c r="K1303" s="58" t="s">
        <v>7</v>
      </c>
      <c r="L1303" s="49">
        <v>0</v>
      </c>
      <c r="M1303" s="48">
        <v>43077</v>
      </c>
      <c r="N1303" s="49" t="s">
        <v>2917</v>
      </c>
      <c r="O1303" s="49" t="s">
        <v>7</v>
      </c>
      <c r="P1303" s="49">
        <v>0</v>
      </c>
      <c r="Q1303" s="51" t="s">
        <v>5002</v>
      </c>
      <c r="R1303" s="67" t="e" cm="1">
        <f t="array" ref="R1303">_xlfn.CHOOSECOLS(_xlfn.CHOOSEROWS(_xlfn._xlws.FILTER(표2[],표2[DWG No.]=C1303,""),1),6)</f>
        <v>#VALUE!</v>
      </c>
      <c r="S1303" s="67" t="e" cm="1">
        <f t="array" ref="S1303">_xlfn.CHOOSECOLS(_xlfn.CHOOSEROWS(_xlfn._xlws.FILTER(표2[],(표2[DWG No.]=C1303)*(ISNUMBER(표2[Rev.])),""),1),6)</f>
        <v>#VALUE!</v>
      </c>
    </row>
    <row r="1304" spans="1:19" ht="18" customHeight="1" x14ac:dyDescent="0.45">
      <c r="A1304" s="64">
        <v>1299</v>
      </c>
      <c r="B1304" s="49" t="s">
        <v>2912</v>
      </c>
      <c r="C1304" s="54" t="s">
        <v>4489</v>
      </c>
      <c r="D1304" s="49">
        <v>125501</v>
      </c>
      <c r="E1304" s="54" t="s">
        <v>4490</v>
      </c>
      <c r="F1304" s="49" t="s">
        <v>6</v>
      </c>
      <c r="G1304" s="48">
        <v>42896</v>
      </c>
      <c r="H1304" s="48">
        <v>43024</v>
      </c>
      <c r="I1304" s="48">
        <v>43024</v>
      </c>
      <c r="J1304" s="49" t="s">
        <v>3249</v>
      </c>
      <c r="K1304" s="58" t="s">
        <v>7</v>
      </c>
      <c r="L1304" s="49">
        <v>0</v>
      </c>
      <c r="M1304" s="48">
        <v>43025</v>
      </c>
      <c r="N1304" s="49" t="s">
        <v>2917</v>
      </c>
      <c r="O1304" s="49" t="s">
        <v>7</v>
      </c>
      <c r="P1304" s="49">
        <v>0</v>
      </c>
      <c r="Q1304" s="51" t="s">
        <v>5002</v>
      </c>
      <c r="R1304" s="67" t="e" cm="1">
        <f t="array" ref="R1304">_xlfn.CHOOSECOLS(_xlfn.CHOOSEROWS(_xlfn._xlws.FILTER(표2[],표2[DWG No.]=C1304,""),1),6)</f>
        <v>#VALUE!</v>
      </c>
      <c r="S1304" s="67" t="e" cm="1">
        <f t="array" ref="S1304">_xlfn.CHOOSECOLS(_xlfn.CHOOSEROWS(_xlfn._xlws.FILTER(표2[],(표2[DWG No.]=C1304)*(ISNUMBER(표2[Rev.])),""),1),6)</f>
        <v>#VALUE!</v>
      </c>
    </row>
    <row r="1305" spans="1:19" ht="18" customHeight="1" x14ac:dyDescent="0.45">
      <c r="A1305" s="64">
        <v>1300</v>
      </c>
      <c r="B1305" s="49" t="s">
        <v>2912</v>
      </c>
      <c r="C1305" s="54" t="s">
        <v>4491</v>
      </c>
      <c r="D1305" s="49">
        <v>120003</v>
      </c>
      <c r="E1305" s="54" t="s">
        <v>4492</v>
      </c>
      <c r="F1305" s="49" t="s">
        <v>6</v>
      </c>
      <c r="G1305" s="48">
        <v>43048</v>
      </c>
      <c r="H1305" s="48">
        <v>43018</v>
      </c>
      <c r="I1305" s="48">
        <v>43018</v>
      </c>
      <c r="J1305" s="49" t="s">
        <v>3386</v>
      </c>
      <c r="K1305" s="58" t="s">
        <v>7</v>
      </c>
      <c r="L1305" s="49">
        <v>0</v>
      </c>
      <c r="M1305" s="48">
        <v>43018</v>
      </c>
      <c r="N1305" s="49" t="s">
        <v>2917</v>
      </c>
      <c r="O1305" s="49" t="s">
        <v>7</v>
      </c>
      <c r="P1305" s="49">
        <v>0</v>
      </c>
      <c r="Q1305" s="51" t="s">
        <v>5002</v>
      </c>
      <c r="R1305" s="67" t="e" cm="1">
        <f t="array" ref="R1305">_xlfn.CHOOSECOLS(_xlfn.CHOOSEROWS(_xlfn._xlws.FILTER(표2[],표2[DWG No.]=C1305,""),1),6)</f>
        <v>#VALUE!</v>
      </c>
      <c r="S1305" s="67" t="e" cm="1">
        <f t="array" ref="S1305">_xlfn.CHOOSECOLS(_xlfn.CHOOSEROWS(_xlfn._xlws.FILTER(표2[],(표2[DWG No.]=C1305)*(ISNUMBER(표2[Rev.])),""),1),6)</f>
        <v>#VALUE!</v>
      </c>
    </row>
    <row r="1306" spans="1:19" ht="18" customHeight="1" x14ac:dyDescent="0.45">
      <c r="A1306" s="64">
        <v>1301</v>
      </c>
      <c r="B1306" s="49" t="s">
        <v>2912</v>
      </c>
      <c r="C1306" s="54" t="s">
        <v>4493</v>
      </c>
      <c r="D1306" s="49">
        <v>120007</v>
      </c>
      <c r="E1306" s="54" t="s">
        <v>4494</v>
      </c>
      <c r="F1306" s="49" t="s">
        <v>6</v>
      </c>
      <c r="G1306" s="48">
        <v>43048</v>
      </c>
      <c r="H1306" s="48">
        <v>43018</v>
      </c>
      <c r="I1306" s="48">
        <v>43018</v>
      </c>
      <c r="J1306" s="49" t="s">
        <v>3386</v>
      </c>
      <c r="K1306" s="58" t="s">
        <v>7</v>
      </c>
      <c r="L1306" s="49">
        <v>0</v>
      </c>
      <c r="M1306" s="48">
        <v>43018</v>
      </c>
      <c r="N1306" s="49" t="s">
        <v>2917</v>
      </c>
      <c r="O1306" s="49" t="s">
        <v>7</v>
      </c>
      <c r="P1306" s="49">
        <v>0</v>
      </c>
      <c r="Q1306" s="51" t="s">
        <v>5002</v>
      </c>
      <c r="R1306" s="67" t="e" cm="1">
        <f t="array" ref="R1306">_xlfn.CHOOSECOLS(_xlfn.CHOOSEROWS(_xlfn._xlws.FILTER(표2[],표2[DWG No.]=C1306,""),1),6)</f>
        <v>#VALUE!</v>
      </c>
      <c r="S1306" s="67" t="e" cm="1">
        <f t="array" ref="S1306">_xlfn.CHOOSECOLS(_xlfn.CHOOSEROWS(_xlfn._xlws.FILTER(표2[],(표2[DWG No.]=C1306)*(ISNUMBER(표2[Rev.])),""),1),6)</f>
        <v>#VALUE!</v>
      </c>
    </row>
    <row r="1307" spans="1:19" ht="18" customHeight="1" x14ac:dyDescent="0.45">
      <c r="A1307" s="64">
        <v>1302</v>
      </c>
      <c r="B1307" s="49" t="s">
        <v>2912</v>
      </c>
      <c r="C1307" s="54" t="s">
        <v>4495</v>
      </c>
      <c r="D1307" s="49">
        <v>120010</v>
      </c>
      <c r="E1307" s="54" t="s">
        <v>4496</v>
      </c>
      <c r="F1307" s="49" t="s">
        <v>6</v>
      </c>
      <c r="G1307" s="48">
        <v>43048</v>
      </c>
      <c r="H1307" s="48">
        <v>43018</v>
      </c>
      <c r="I1307" s="48">
        <v>43018</v>
      </c>
      <c r="J1307" s="49" t="s">
        <v>3386</v>
      </c>
      <c r="K1307" s="58" t="s">
        <v>7</v>
      </c>
      <c r="L1307" s="49">
        <v>0</v>
      </c>
      <c r="M1307" s="48">
        <v>43018</v>
      </c>
      <c r="N1307" s="49" t="s">
        <v>2917</v>
      </c>
      <c r="O1307" s="49" t="s">
        <v>7</v>
      </c>
      <c r="P1307" s="49">
        <v>0</v>
      </c>
      <c r="Q1307" s="51" t="s">
        <v>5002</v>
      </c>
      <c r="R1307" s="67" t="e" cm="1">
        <f t="array" ref="R1307">_xlfn.CHOOSECOLS(_xlfn.CHOOSEROWS(_xlfn._xlws.FILTER(표2[],표2[DWG No.]=C1307,""),1),6)</f>
        <v>#VALUE!</v>
      </c>
      <c r="S1307" s="67" t="e" cm="1">
        <f t="array" ref="S1307">_xlfn.CHOOSECOLS(_xlfn.CHOOSEROWS(_xlfn._xlws.FILTER(표2[],(표2[DWG No.]=C1307)*(ISNUMBER(표2[Rev.])),""),1),6)</f>
        <v>#VALUE!</v>
      </c>
    </row>
    <row r="1308" spans="1:19" ht="18" customHeight="1" x14ac:dyDescent="0.45">
      <c r="A1308" s="64">
        <v>1303</v>
      </c>
      <c r="B1308" s="49" t="s">
        <v>2912</v>
      </c>
      <c r="C1308" s="54" t="s">
        <v>4497</v>
      </c>
      <c r="D1308" s="49">
        <v>120018</v>
      </c>
      <c r="E1308" s="54" t="s">
        <v>4498</v>
      </c>
      <c r="F1308" s="49" t="s">
        <v>6</v>
      </c>
      <c r="G1308" s="48">
        <v>43048</v>
      </c>
      <c r="H1308" s="48">
        <v>43018</v>
      </c>
      <c r="I1308" s="48">
        <v>43018</v>
      </c>
      <c r="J1308" s="49" t="s">
        <v>3386</v>
      </c>
      <c r="K1308" s="58" t="s">
        <v>7</v>
      </c>
      <c r="L1308" s="49">
        <v>0</v>
      </c>
      <c r="M1308" s="48">
        <v>43018</v>
      </c>
      <c r="N1308" s="49" t="s">
        <v>2917</v>
      </c>
      <c r="O1308" s="49" t="s">
        <v>7</v>
      </c>
      <c r="P1308" s="49">
        <v>0</v>
      </c>
      <c r="Q1308" s="51" t="s">
        <v>5002</v>
      </c>
      <c r="R1308" s="67" t="e" cm="1">
        <f t="array" ref="R1308">_xlfn.CHOOSECOLS(_xlfn.CHOOSEROWS(_xlfn._xlws.FILTER(표2[],표2[DWG No.]=C1308,""),1),6)</f>
        <v>#VALUE!</v>
      </c>
      <c r="S1308" s="67" t="e" cm="1">
        <f t="array" ref="S1308">_xlfn.CHOOSECOLS(_xlfn.CHOOSEROWS(_xlfn._xlws.FILTER(표2[],(표2[DWG No.]=C1308)*(ISNUMBER(표2[Rev.])),""),1),6)</f>
        <v>#VALUE!</v>
      </c>
    </row>
    <row r="1309" spans="1:19" ht="18" customHeight="1" x14ac:dyDescent="0.45">
      <c r="A1309" s="64">
        <v>1304</v>
      </c>
      <c r="B1309" s="49" t="s">
        <v>2912</v>
      </c>
      <c r="C1309" s="54" t="s">
        <v>4499</v>
      </c>
      <c r="D1309" s="49">
        <v>120004</v>
      </c>
      <c r="E1309" s="54" t="s">
        <v>4500</v>
      </c>
      <c r="F1309" s="49" t="s">
        <v>6</v>
      </c>
      <c r="G1309" s="48">
        <v>43048</v>
      </c>
      <c r="H1309" s="48">
        <v>43018</v>
      </c>
      <c r="I1309" s="48">
        <v>43018</v>
      </c>
      <c r="J1309" s="49" t="s">
        <v>3386</v>
      </c>
      <c r="K1309" s="58" t="s">
        <v>7</v>
      </c>
      <c r="L1309" s="49">
        <v>0</v>
      </c>
      <c r="M1309" s="48">
        <v>43018</v>
      </c>
      <c r="N1309" s="49" t="s">
        <v>2917</v>
      </c>
      <c r="O1309" s="49" t="s">
        <v>7</v>
      </c>
      <c r="P1309" s="49">
        <v>0</v>
      </c>
      <c r="Q1309" s="51" t="s">
        <v>5002</v>
      </c>
      <c r="R1309" s="67" t="e" cm="1">
        <f t="array" ref="R1309">_xlfn.CHOOSECOLS(_xlfn.CHOOSEROWS(_xlfn._xlws.FILTER(표2[],표2[DWG No.]=C1309,""),1),6)</f>
        <v>#VALUE!</v>
      </c>
      <c r="S1309" s="67" t="e" cm="1">
        <f t="array" ref="S1309">_xlfn.CHOOSECOLS(_xlfn.CHOOSEROWS(_xlfn._xlws.FILTER(표2[],(표2[DWG No.]=C1309)*(ISNUMBER(표2[Rev.])),""),1),6)</f>
        <v>#VALUE!</v>
      </c>
    </row>
    <row r="1310" spans="1:19" ht="18" customHeight="1" x14ac:dyDescent="0.45">
      <c r="A1310" s="64">
        <v>1305</v>
      </c>
      <c r="B1310" s="49" t="s">
        <v>2912</v>
      </c>
      <c r="C1310" s="54" t="s">
        <v>4501</v>
      </c>
      <c r="D1310" s="49">
        <v>120005</v>
      </c>
      <c r="E1310" s="54" t="s">
        <v>4502</v>
      </c>
      <c r="F1310" s="49" t="s">
        <v>6</v>
      </c>
      <c r="G1310" s="48">
        <v>43048</v>
      </c>
      <c r="H1310" s="48">
        <v>43018</v>
      </c>
      <c r="I1310" s="48">
        <v>43018</v>
      </c>
      <c r="J1310" s="49" t="s">
        <v>3386</v>
      </c>
      <c r="K1310" s="58" t="s">
        <v>7</v>
      </c>
      <c r="L1310" s="49">
        <v>0</v>
      </c>
      <c r="M1310" s="48">
        <v>43018</v>
      </c>
      <c r="N1310" s="49" t="s">
        <v>2917</v>
      </c>
      <c r="O1310" s="49" t="s">
        <v>7</v>
      </c>
      <c r="P1310" s="49">
        <v>0</v>
      </c>
      <c r="Q1310" s="51" t="s">
        <v>5002</v>
      </c>
      <c r="R1310" s="67" t="e" cm="1">
        <f t="array" ref="R1310">_xlfn.CHOOSECOLS(_xlfn.CHOOSEROWS(_xlfn._xlws.FILTER(표2[],표2[DWG No.]=C1310,""),1),6)</f>
        <v>#VALUE!</v>
      </c>
      <c r="S1310" s="67" t="e" cm="1">
        <f t="array" ref="S1310">_xlfn.CHOOSECOLS(_xlfn.CHOOSEROWS(_xlfn._xlws.FILTER(표2[],(표2[DWG No.]=C1310)*(ISNUMBER(표2[Rev.])),""),1),6)</f>
        <v>#VALUE!</v>
      </c>
    </row>
    <row r="1311" spans="1:19" ht="18" customHeight="1" x14ac:dyDescent="0.45">
      <c r="A1311" s="64">
        <v>1306</v>
      </c>
      <c r="B1311" s="49" t="s">
        <v>2912</v>
      </c>
      <c r="C1311" s="54" t="s">
        <v>4503</v>
      </c>
      <c r="D1311" s="49">
        <v>120006</v>
      </c>
      <c r="E1311" s="54" t="s">
        <v>4504</v>
      </c>
      <c r="F1311" s="49" t="s">
        <v>6</v>
      </c>
      <c r="G1311" s="48">
        <v>43048</v>
      </c>
      <c r="H1311" s="48">
        <v>43018</v>
      </c>
      <c r="I1311" s="48">
        <v>43018</v>
      </c>
      <c r="J1311" s="49" t="s">
        <v>3386</v>
      </c>
      <c r="K1311" s="58" t="s">
        <v>7</v>
      </c>
      <c r="L1311" s="49">
        <v>0</v>
      </c>
      <c r="M1311" s="48">
        <v>43018</v>
      </c>
      <c r="N1311" s="49" t="s">
        <v>2917</v>
      </c>
      <c r="O1311" s="49" t="s">
        <v>7</v>
      </c>
      <c r="P1311" s="49">
        <v>0</v>
      </c>
      <c r="Q1311" s="51" t="s">
        <v>5002</v>
      </c>
      <c r="R1311" s="67" t="e" cm="1">
        <f t="array" ref="R1311">_xlfn.CHOOSECOLS(_xlfn.CHOOSEROWS(_xlfn._xlws.FILTER(표2[],표2[DWG No.]=C1311,""),1),6)</f>
        <v>#VALUE!</v>
      </c>
      <c r="S1311" s="67" t="e" cm="1">
        <f t="array" ref="S1311">_xlfn.CHOOSECOLS(_xlfn.CHOOSEROWS(_xlfn._xlws.FILTER(표2[],(표2[DWG No.]=C1311)*(ISNUMBER(표2[Rev.])),""),1),6)</f>
        <v>#VALUE!</v>
      </c>
    </row>
    <row r="1312" spans="1:19" ht="18" customHeight="1" x14ac:dyDescent="0.45">
      <c r="A1312" s="64">
        <v>1307</v>
      </c>
      <c r="B1312" s="49" t="s">
        <v>2912</v>
      </c>
      <c r="C1312" s="54" t="s">
        <v>4505</v>
      </c>
      <c r="D1312" s="49">
        <v>120017</v>
      </c>
      <c r="E1312" s="54" t="s">
        <v>4506</v>
      </c>
      <c r="F1312" s="49" t="s">
        <v>6</v>
      </c>
      <c r="G1312" s="48">
        <v>43048</v>
      </c>
      <c r="H1312" s="48">
        <v>43018</v>
      </c>
      <c r="I1312" s="48">
        <v>43018</v>
      </c>
      <c r="J1312" s="49" t="s">
        <v>3386</v>
      </c>
      <c r="K1312" s="58" t="s">
        <v>7</v>
      </c>
      <c r="L1312" s="49">
        <v>0</v>
      </c>
      <c r="M1312" s="48">
        <v>43018</v>
      </c>
      <c r="N1312" s="49" t="s">
        <v>2917</v>
      </c>
      <c r="O1312" s="49" t="s">
        <v>7</v>
      </c>
      <c r="P1312" s="49">
        <v>0</v>
      </c>
      <c r="Q1312" s="51" t="s">
        <v>5002</v>
      </c>
      <c r="R1312" s="67" t="e" cm="1">
        <f t="array" ref="R1312">_xlfn.CHOOSECOLS(_xlfn.CHOOSEROWS(_xlfn._xlws.FILTER(표2[],표2[DWG No.]=C1312,""),1),6)</f>
        <v>#VALUE!</v>
      </c>
      <c r="S1312" s="67" t="e" cm="1">
        <f t="array" ref="S1312">_xlfn.CHOOSECOLS(_xlfn.CHOOSEROWS(_xlfn._xlws.FILTER(표2[],(표2[DWG No.]=C1312)*(ISNUMBER(표2[Rev.])),""),1),6)</f>
        <v>#VALUE!</v>
      </c>
    </row>
    <row r="1313" spans="1:19" ht="18" customHeight="1" x14ac:dyDescent="0.45">
      <c r="A1313" s="64">
        <v>1308</v>
      </c>
      <c r="B1313" s="49" t="s">
        <v>2912</v>
      </c>
      <c r="C1313" s="54" t="s">
        <v>4507</v>
      </c>
      <c r="D1313" s="49">
        <v>120032</v>
      </c>
      <c r="E1313" s="54" t="s">
        <v>4508</v>
      </c>
      <c r="F1313" s="49" t="s">
        <v>5</v>
      </c>
      <c r="G1313" s="48">
        <v>42805</v>
      </c>
      <c r="H1313" s="48">
        <v>42805</v>
      </c>
      <c r="I1313" s="48">
        <v>42805</v>
      </c>
      <c r="J1313" s="49" t="s">
        <v>3240</v>
      </c>
      <c r="K1313" s="58" t="s">
        <v>5</v>
      </c>
      <c r="L1313" s="49" t="s">
        <v>65</v>
      </c>
      <c r="M1313" s="48">
        <v>43068</v>
      </c>
      <c r="N1313" s="49" t="s">
        <v>4509</v>
      </c>
      <c r="O1313" s="49" t="s">
        <v>5</v>
      </c>
      <c r="P1313" s="49" t="s">
        <v>65</v>
      </c>
      <c r="Q1313" s="49" t="s">
        <v>2702</v>
      </c>
      <c r="R1313" s="67" t="e" cm="1">
        <f t="array" ref="R1313">_xlfn.CHOOSECOLS(_xlfn.CHOOSEROWS(_xlfn._xlws.FILTER(표2[],표2[DWG No.]=C1313,""),1),6)</f>
        <v>#VALUE!</v>
      </c>
      <c r="S1313" s="67" t="e" cm="1">
        <f t="array" ref="S1313">_xlfn.CHOOSECOLS(_xlfn.CHOOSEROWS(_xlfn._xlws.FILTER(표2[],(표2[DWG No.]=C1313)*(ISNUMBER(표2[Rev.])),""),1),6)</f>
        <v>#VALUE!</v>
      </c>
    </row>
    <row r="1314" spans="1:19" ht="18" customHeight="1" x14ac:dyDescent="0.45">
      <c r="A1314" s="64">
        <v>1309</v>
      </c>
      <c r="B1314" s="49" t="s">
        <v>2912</v>
      </c>
      <c r="C1314" s="54" t="s">
        <v>4510</v>
      </c>
      <c r="D1314" s="49">
        <v>120034</v>
      </c>
      <c r="E1314" s="54" t="s">
        <v>4511</v>
      </c>
      <c r="F1314" s="49" t="s">
        <v>5</v>
      </c>
      <c r="G1314" s="48">
        <v>42805</v>
      </c>
      <c r="H1314" s="48">
        <v>42805</v>
      </c>
      <c r="I1314" s="48">
        <v>42805</v>
      </c>
      <c r="J1314" s="49" t="s">
        <v>3240</v>
      </c>
      <c r="K1314" s="58" t="s">
        <v>5</v>
      </c>
      <c r="L1314" s="49" t="s">
        <v>65</v>
      </c>
      <c r="M1314" s="48">
        <v>43068</v>
      </c>
      <c r="N1314" s="49" t="s">
        <v>4509</v>
      </c>
      <c r="O1314" s="49" t="s">
        <v>5</v>
      </c>
      <c r="P1314" s="49" t="s">
        <v>65</v>
      </c>
      <c r="Q1314" s="49" t="s">
        <v>2702</v>
      </c>
      <c r="R1314" s="67" t="e" cm="1">
        <f t="array" ref="R1314">_xlfn.CHOOSECOLS(_xlfn.CHOOSEROWS(_xlfn._xlws.FILTER(표2[],표2[DWG No.]=C1314,""),1),6)</f>
        <v>#VALUE!</v>
      </c>
      <c r="S1314" s="67" t="e" cm="1">
        <f t="array" ref="S1314">_xlfn.CHOOSECOLS(_xlfn.CHOOSEROWS(_xlfn._xlws.FILTER(표2[],(표2[DWG No.]=C1314)*(ISNUMBER(표2[Rev.])),""),1),6)</f>
        <v>#VALUE!</v>
      </c>
    </row>
    <row r="1315" spans="1:19" ht="18" customHeight="1" x14ac:dyDescent="0.45">
      <c r="A1315" s="64">
        <v>1310</v>
      </c>
      <c r="B1315" s="49" t="s">
        <v>2912</v>
      </c>
      <c r="C1315" s="54" t="s">
        <v>4512</v>
      </c>
      <c r="D1315" s="49">
        <v>120035</v>
      </c>
      <c r="E1315" s="54" t="s">
        <v>4513</v>
      </c>
      <c r="F1315" s="49" t="s">
        <v>5</v>
      </c>
      <c r="G1315" s="48">
        <v>42805</v>
      </c>
      <c r="H1315" s="48">
        <v>42805</v>
      </c>
      <c r="I1315" s="48">
        <v>42805</v>
      </c>
      <c r="J1315" s="49" t="s">
        <v>3240</v>
      </c>
      <c r="K1315" s="58" t="s">
        <v>5</v>
      </c>
      <c r="L1315" s="49" t="s">
        <v>65</v>
      </c>
      <c r="M1315" s="48">
        <v>43068</v>
      </c>
      <c r="N1315" s="49" t="s">
        <v>4509</v>
      </c>
      <c r="O1315" s="49" t="s">
        <v>5</v>
      </c>
      <c r="P1315" s="49" t="s">
        <v>65</v>
      </c>
      <c r="Q1315" s="49" t="s">
        <v>2702</v>
      </c>
      <c r="R1315" s="67" t="e" cm="1">
        <f t="array" ref="R1315">_xlfn.CHOOSECOLS(_xlfn.CHOOSEROWS(_xlfn._xlws.FILTER(표2[],표2[DWG No.]=C1315,""),1),6)</f>
        <v>#VALUE!</v>
      </c>
      <c r="S1315" s="67" t="e" cm="1">
        <f t="array" ref="S1315">_xlfn.CHOOSECOLS(_xlfn.CHOOSEROWS(_xlfn._xlws.FILTER(표2[],(표2[DWG No.]=C1315)*(ISNUMBER(표2[Rev.])),""),1),6)</f>
        <v>#VALUE!</v>
      </c>
    </row>
    <row r="1316" spans="1:19" ht="18" customHeight="1" x14ac:dyDescent="0.45">
      <c r="A1316" s="64">
        <v>1311</v>
      </c>
      <c r="B1316" s="49" t="s">
        <v>2912</v>
      </c>
      <c r="C1316" s="54" t="s">
        <v>4514</v>
      </c>
      <c r="D1316" s="49">
        <v>120002</v>
      </c>
      <c r="E1316" s="54" t="s">
        <v>4515</v>
      </c>
      <c r="F1316" s="49" t="s">
        <v>5</v>
      </c>
      <c r="G1316" s="48">
        <v>42805</v>
      </c>
      <c r="H1316" s="48">
        <v>42805</v>
      </c>
      <c r="I1316" s="48">
        <v>42805</v>
      </c>
      <c r="J1316" s="49" t="s">
        <v>3240</v>
      </c>
      <c r="K1316" s="58" t="s">
        <v>5</v>
      </c>
      <c r="L1316" s="49" t="s">
        <v>65</v>
      </c>
      <c r="M1316" s="48">
        <v>43068</v>
      </c>
      <c r="N1316" s="49" t="s">
        <v>4509</v>
      </c>
      <c r="O1316" s="49" t="s">
        <v>5</v>
      </c>
      <c r="P1316" s="49" t="s">
        <v>65</v>
      </c>
      <c r="Q1316" s="49" t="s">
        <v>2702</v>
      </c>
      <c r="R1316" s="67" t="e" cm="1">
        <f t="array" ref="R1316">_xlfn.CHOOSECOLS(_xlfn.CHOOSEROWS(_xlfn._xlws.FILTER(표2[],표2[DWG No.]=C1316,""),1),6)</f>
        <v>#VALUE!</v>
      </c>
      <c r="S1316" s="67" t="e" cm="1">
        <f t="array" ref="S1316">_xlfn.CHOOSECOLS(_xlfn.CHOOSEROWS(_xlfn._xlws.FILTER(표2[],(표2[DWG No.]=C1316)*(ISNUMBER(표2[Rev.])),""),1),6)</f>
        <v>#VALUE!</v>
      </c>
    </row>
    <row r="1317" spans="1:19" ht="18" customHeight="1" x14ac:dyDescent="0.45">
      <c r="A1317" s="64">
        <v>1312</v>
      </c>
      <c r="B1317" s="49" t="s">
        <v>2912</v>
      </c>
      <c r="C1317" s="54" t="s">
        <v>4516</v>
      </c>
      <c r="D1317" s="49">
        <v>120033</v>
      </c>
      <c r="E1317" s="54" t="s">
        <v>4517</v>
      </c>
      <c r="F1317" s="49" t="s">
        <v>5</v>
      </c>
      <c r="G1317" s="48">
        <v>43053</v>
      </c>
      <c r="H1317" s="48">
        <v>43053</v>
      </c>
      <c r="I1317" s="48">
        <v>43053</v>
      </c>
      <c r="J1317" s="49" t="s">
        <v>3240</v>
      </c>
      <c r="K1317" s="58" t="s">
        <v>5</v>
      </c>
      <c r="L1317" s="49" t="s">
        <v>65</v>
      </c>
      <c r="M1317" s="48">
        <v>43068</v>
      </c>
      <c r="N1317" s="49" t="s">
        <v>4509</v>
      </c>
      <c r="O1317" s="49" t="s">
        <v>5</v>
      </c>
      <c r="P1317" s="49" t="s">
        <v>65</v>
      </c>
      <c r="Q1317" s="49" t="s">
        <v>2702</v>
      </c>
      <c r="R1317" s="67" t="e" cm="1">
        <f t="array" ref="R1317">_xlfn.CHOOSECOLS(_xlfn.CHOOSEROWS(_xlfn._xlws.FILTER(표2[],표2[DWG No.]=C1317,""),1),6)</f>
        <v>#VALUE!</v>
      </c>
      <c r="S1317" s="67" t="e" cm="1">
        <f t="array" ref="S1317">_xlfn.CHOOSECOLS(_xlfn.CHOOSEROWS(_xlfn._xlws.FILTER(표2[],(표2[DWG No.]=C1317)*(ISNUMBER(표2[Rev.])),""),1),6)</f>
        <v>#VALUE!</v>
      </c>
    </row>
    <row r="1318" spans="1:19" ht="18" customHeight="1" x14ac:dyDescent="0.45">
      <c r="A1318" s="64">
        <v>1313</v>
      </c>
      <c r="B1318" s="49" t="s">
        <v>2912</v>
      </c>
      <c r="C1318" s="54" t="s">
        <v>4518</v>
      </c>
      <c r="D1318" s="49">
        <v>120036</v>
      </c>
      <c r="E1318" s="54" t="s">
        <v>4519</v>
      </c>
      <c r="F1318" s="49" t="s">
        <v>5</v>
      </c>
      <c r="G1318" s="48">
        <v>43053</v>
      </c>
      <c r="H1318" s="48">
        <v>43053</v>
      </c>
      <c r="I1318" s="48">
        <v>43053</v>
      </c>
      <c r="J1318" s="49" t="s">
        <v>4213</v>
      </c>
      <c r="K1318" s="58" t="s">
        <v>5</v>
      </c>
      <c r="L1318" s="49" t="s">
        <v>65</v>
      </c>
      <c r="M1318" s="48">
        <v>43068</v>
      </c>
      <c r="N1318" s="49" t="s">
        <v>4509</v>
      </c>
      <c r="O1318" s="49" t="s">
        <v>5</v>
      </c>
      <c r="P1318" s="49" t="s">
        <v>65</v>
      </c>
      <c r="Q1318" s="49" t="s">
        <v>2702</v>
      </c>
      <c r="R1318" s="67" t="e" cm="1">
        <f t="array" ref="R1318">_xlfn.CHOOSECOLS(_xlfn.CHOOSEROWS(_xlfn._xlws.FILTER(표2[],표2[DWG No.]=C1318,""),1),6)</f>
        <v>#VALUE!</v>
      </c>
      <c r="S1318" s="67" t="e" cm="1">
        <f t="array" ref="S1318">_xlfn.CHOOSECOLS(_xlfn.CHOOSEROWS(_xlfn._xlws.FILTER(표2[],(표2[DWG No.]=C1318)*(ISNUMBER(표2[Rev.])),""),1),6)</f>
        <v>#VALUE!</v>
      </c>
    </row>
    <row r="1319" spans="1:19" ht="18" customHeight="1" x14ac:dyDescent="0.45">
      <c r="A1319" s="64">
        <v>1314</v>
      </c>
      <c r="B1319" s="49" t="s">
        <v>2912</v>
      </c>
      <c r="C1319" s="54" t="s">
        <v>4520</v>
      </c>
      <c r="D1319" s="49">
        <v>120037</v>
      </c>
      <c r="E1319" s="54" t="s">
        <v>4521</v>
      </c>
      <c r="F1319" s="49" t="s">
        <v>5</v>
      </c>
      <c r="G1319" s="48">
        <v>43053</v>
      </c>
      <c r="H1319" s="48">
        <v>43053</v>
      </c>
      <c r="I1319" s="48">
        <v>43053</v>
      </c>
      <c r="J1319" s="49" t="s">
        <v>4213</v>
      </c>
      <c r="K1319" s="58" t="s">
        <v>5</v>
      </c>
      <c r="L1319" s="49" t="s">
        <v>65</v>
      </c>
      <c r="M1319" s="48">
        <v>43068</v>
      </c>
      <c r="N1319" s="49" t="s">
        <v>4509</v>
      </c>
      <c r="O1319" s="49" t="s">
        <v>5</v>
      </c>
      <c r="P1319" s="49" t="s">
        <v>65</v>
      </c>
      <c r="Q1319" s="49" t="s">
        <v>2702</v>
      </c>
      <c r="R1319" s="67" t="e" cm="1">
        <f t="array" ref="R1319">_xlfn.CHOOSECOLS(_xlfn.CHOOSEROWS(_xlfn._xlws.FILTER(표2[],표2[DWG No.]=C1319,""),1),6)</f>
        <v>#VALUE!</v>
      </c>
      <c r="S1319" s="67" t="e" cm="1">
        <f t="array" ref="S1319">_xlfn.CHOOSECOLS(_xlfn.CHOOSEROWS(_xlfn._xlws.FILTER(표2[],(표2[DWG No.]=C1319)*(ISNUMBER(표2[Rev.])),""),1),6)</f>
        <v>#VALUE!</v>
      </c>
    </row>
    <row r="1320" spans="1:19" ht="18" customHeight="1" x14ac:dyDescent="0.45">
      <c r="A1320" s="64">
        <v>1315</v>
      </c>
      <c r="B1320" s="49" t="s">
        <v>2912</v>
      </c>
      <c r="C1320" s="54" t="s">
        <v>4522</v>
      </c>
      <c r="D1320" s="49">
        <v>120038</v>
      </c>
      <c r="E1320" s="54" t="s">
        <v>4523</v>
      </c>
      <c r="F1320" s="49" t="s">
        <v>5</v>
      </c>
      <c r="G1320" s="48">
        <v>43053</v>
      </c>
      <c r="H1320" s="48">
        <v>43053</v>
      </c>
      <c r="I1320" s="48">
        <v>43053</v>
      </c>
      <c r="J1320" s="49" t="s">
        <v>4213</v>
      </c>
      <c r="K1320" s="58" t="s">
        <v>5</v>
      </c>
      <c r="L1320" s="49" t="s">
        <v>65</v>
      </c>
      <c r="M1320" s="48">
        <v>43068</v>
      </c>
      <c r="N1320" s="49" t="s">
        <v>4509</v>
      </c>
      <c r="O1320" s="49" t="s">
        <v>5</v>
      </c>
      <c r="P1320" s="49" t="s">
        <v>65</v>
      </c>
      <c r="Q1320" s="49" t="s">
        <v>2702</v>
      </c>
      <c r="R1320" s="67" t="e" cm="1">
        <f t="array" ref="R1320">_xlfn.CHOOSECOLS(_xlfn.CHOOSEROWS(_xlfn._xlws.FILTER(표2[],표2[DWG No.]=C1320,""),1),6)</f>
        <v>#VALUE!</v>
      </c>
      <c r="S1320" s="67" t="e" cm="1">
        <f t="array" ref="S1320">_xlfn.CHOOSECOLS(_xlfn.CHOOSEROWS(_xlfn._xlws.FILTER(표2[],(표2[DWG No.]=C1320)*(ISNUMBER(표2[Rev.])),""),1),6)</f>
        <v>#VALUE!</v>
      </c>
    </row>
    <row r="1321" spans="1:19" ht="18" customHeight="1" x14ac:dyDescent="0.45">
      <c r="A1321" s="64">
        <v>1316</v>
      </c>
      <c r="B1321" s="49" t="s">
        <v>2912</v>
      </c>
      <c r="C1321" s="54" t="s">
        <v>4524</v>
      </c>
      <c r="D1321" s="49">
        <v>120039</v>
      </c>
      <c r="E1321" s="54" t="s">
        <v>4525</v>
      </c>
      <c r="F1321" s="49" t="s">
        <v>5</v>
      </c>
      <c r="G1321" s="48">
        <v>43053</v>
      </c>
      <c r="H1321" s="48">
        <v>43053</v>
      </c>
      <c r="I1321" s="48">
        <v>43053</v>
      </c>
      <c r="J1321" s="49" t="s">
        <v>4213</v>
      </c>
      <c r="K1321" s="58" t="s">
        <v>5</v>
      </c>
      <c r="L1321" s="49" t="s">
        <v>65</v>
      </c>
      <c r="M1321" s="48">
        <v>43068</v>
      </c>
      <c r="N1321" s="49" t="s">
        <v>4509</v>
      </c>
      <c r="O1321" s="49" t="s">
        <v>5</v>
      </c>
      <c r="P1321" s="49" t="s">
        <v>65</v>
      </c>
      <c r="Q1321" s="49" t="s">
        <v>2702</v>
      </c>
      <c r="R1321" s="67" t="e" cm="1">
        <f t="array" ref="R1321">_xlfn.CHOOSECOLS(_xlfn.CHOOSEROWS(_xlfn._xlws.FILTER(표2[],표2[DWG No.]=C1321,""),1),6)</f>
        <v>#VALUE!</v>
      </c>
      <c r="S1321" s="67" t="e" cm="1">
        <f t="array" ref="S1321">_xlfn.CHOOSECOLS(_xlfn.CHOOSEROWS(_xlfn._xlws.FILTER(표2[],(표2[DWG No.]=C1321)*(ISNUMBER(표2[Rev.])),""),1),6)</f>
        <v>#VALUE!</v>
      </c>
    </row>
    <row r="1322" spans="1:19" ht="18" customHeight="1" x14ac:dyDescent="0.45">
      <c r="A1322" s="64">
        <v>1317</v>
      </c>
      <c r="B1322" s="49" t="s">
        <v>2912</v>
      </c>
      <c r="C1322" s="54" t="s">
        <v>4526</v>
      </c>
      <c r="D1322" s="49">
        <v>145568</v>
      </c>
      <c r="E1322" s="54" t="s">
        <v>4527</v>
      </c>
      <c r="F1322" s="49" t="s">
        <v>5</v>
      </c>
      <c r="G1322" s="48">
        <v>43028</v>
      </c>
      <c r="H1322" s="48">
        <v>43028</v>
      </c>
      <c r="I1322" s="48">
        <v>43028</v>
      </c>
      <c r="J1322" s="49" t="s">
        <v>4528</v>
      </c>
      <c r="K1322" s="58" t="s">
        <v>5</v>
      </c>
      <c r="L1322" s="49" t="s">
        <v>65</v>
      </c>
      <c r="M1322" s="48">
        <v>42927</v>
      </c>
      <c r="N1322" s="49" t="s">
        <v>2986</v>
      </c>
      <c r="O1322" s="49" t="s">
        <v>5</v>
      </c>
      <c r="P1322" s="49" t="s">
        <v>65</v>
      </c>
      <c r="Q1322" s="49" t="s">
        <v>2702</v>
      </c>
      <c r="R1322" s="67" t="e" cm="1">
        <f t="array" ref="R1322">_xlfn.CHOOSECOLS(_xlfn.CHOOSEROWS(_xlfn._xlws.FILTER(표2[],표2[DWG No.]=C1322,""),1),6)</f>
        <v>#VALUE!</v>
      </c>
      <c r="S1322" s="67" t="e" cm="1">
        <f t="array" ref="S1322">_xlfn.CHOOSECOLS(_xlfn.CHOOSEROWS(_xlfn._xlws.FILTER(표2[],(표2[DWG No.]=C1322)*(ISNUMBER(표2[Rev.])),""),1),6)</f>
        <v>#VALUE!</v>
      </c>
    </row>
    <row r="1323" spans="1:19" ht="18" customHeight="1" x14ac:dyDescent="0.45">
      <c r="A1323" s="64">
        <v>1318</v>
      </c>
      <c r="B1323" s="49" t="s">
        <v>2912</v>
      </c>
      <c r="C1323" s="55" t="s">
        <v>4529</v>
      </c>
      <c r="D1323" s="49">
        <v>145571</v>
      </c>
      <c r="E1323" s="54" t="s">
        <v>4530</v>
      </c>
      <c r="F1323" s="49" t="s">
        <v>5</v>
      </c>
      <c r="G1323" s="48">
        <v>43028</v>
      </c>
      <c r="H1323" s="48">
        <v>43028</v>
      </c>
      <c r="I1323" s="48">
        <v>43028</v>
      </c>
      <c r="J1323" s="49" t="s">
        <v>4528</v>
      </c>
      <c r="K1323" s="58" t="s">
        <v>5</v>
      </c>
      <c r="L1323" s="49" t="s">
        <v>65</v>
      </c>
      <c r="M1323" s="48">
        <v>42927</v>
      </c>
      <c r="N1323" s="49" t="s">
        <v>2986</v>
      </c>
      <c r="O1323" s="49" t="s">
        <v>5</v>
      </c>
      <c r="P1323" s="49" t="s">
        <v>65</v>
      </c>
      <c r="Q1323" s="49" t="s">
        <v>2702</v>
      </c>
      <c r="R1323" s="67" t="e" cm="1">
        <f t="array" ref="R1323">_xlfn.CHOOSECOLS(_xlfn.CHOOSEROWS(_xlfn._xlws.FILTER(표2[],표2[DWG No.]=C1323,""),1),6)</f>
        <v>#VALUE!</v>
      </c>
      <c r="S1323" s="67" t="e" cm="1">
        <f t="array" ref="S1323">_xlfn.CHOOSECOLS(_xlfn.CHOOSEROWS(_xlfn._xlws.FILTER(표2[],(표2[DWG No.]=C1323)*(ISNUMBER(표2[Rev.])),""),1),6)</f>
        <v>#VALUE!</v>
      </c>
    </row>
    <row r="1324" spans="1:19" ht="18" customHeight="1" x14ac:dyDescent="0.45">
      <c r="A1324" s="64">
        <v>1319</v>
      </c>
      <c r="B1324" s="49" t="s">
        <v>2912</v>
      </c>
      <c r="C1324" s="55" t="s">
        <v>4531</v>
      </c>
      <c r="D1324" s="49" t="s">
        <v>4532</v>
      </c>
      <c r="E1324" s="55" t="s">
        <v>4533</v>
      </c>
      <c r="F1324" s="49" t="s">
        <v>6</v>
      </c>
      <c r="G1324" s="48">
        <v>42896</v>
      </c>
      <c r="H1324" s="48">
        <v>42896</v>
      </c>
      <c r="I1324" s="48">
        <v>43024</v>
      </c>
      <c r="J1324" s="49" t="s">
        <v>3249</v>
      </c>
      <c r="K1324" s="58" t="s">
        <v>7</v>
      </c>
      <c r="L1324" s="49">
        <v>0</v>
      </c>
      <c r="M1324" s="48">
        <v>43025</v>
      </c>
      <c r="N1324" s="49" t="s">
        <v>2917</v>
      </c>
      <c r="O1324" s="49" t="s">
        <v>7</v>
      </c>
      <c r="P1324" s="49">
        <v>0</v>
      </c>
      <c r="Q1324" s="51" t="s">
        <v>5002</v>
      </c>
      <c r="R1324" s="67" t="e" cm="1">
        <f t="array" ref="R1324">_xlfn.CHOOSECOLS(_xlfn.CHOOSEROWS(_xlfn._xlws.FILTER(표2[],표2[DWG No.]=C1324,""),1),6)</f>
        <v>#VALUE!</v>
      </c>
      <c r="S1324" s="67" t="e" cm="1">
        <f t="array" ref="S1324">_xlfn.CHOOSECOLS(_xlfn.CHOOSEROWS(_xlfn._xlws.FILTER(표2[],(표2[DWG No.]=C1324)*(ISNUMBER(표2[Rev.])),""),1),6)</f>
        <v>#VALUE!</v>
      </c>
    </row>
    <row r="1325" spans="1:19" ht="18" customHeight="1" x14ac:dyDescent="0.45">
      <c r="A1325" s="64">
        <v>1320</v>
      </c>
      <c r="B1325" s="49" t="s">
        <v>2912</v>
      </c>
      <c r="C1325" s="55" t="s">
        <v>4534</v>
      </c>
      <c r="D1325" s="49" t="s">
        <v>4535</v>
      </c>
      <c r="E1325" s="56" t="s">
        <v>4536</v>
      </c>
      <c r="F1325" s="49" t="s">
        <v>5</v>
      </c>
      <c r="G1325" s="48">
        <v>43133</v>
      </c>
      <c r="H1325" s="48">
        <v>43147</v>
      </c>
      <c r="I1325" s="48">
        <v>43539</v>
      </c>
      <c r="J1325" s="49" t="s">
        <v>3274</v>
      </c>
      <c r="K1325" s="58" t="s">
        <v>7</v>
      </c>
      <c r="L1325" s="49">
        <v>0</v>
      </c>
      <c r="M1325" s="62">
        <v>43539</v>
      </c>
      <c r="N1325" s="52" t="s">
        <v>3275</v>
      </c>
      <c r="O1325" s="49" t="s">
        <v>7</v>
      </c>
      <c r="P1325" s="52">
        <v>0</v>
      </c>
      <c r="Q1325" s="51" t="s">
        <v>5002</v>
      </c>
      <c r="R1325" s="67" t="e" cm="1">
        <f t="array" ref="R1325">_xlfn.CHOOSECOLS(_xlfn.CHOOSEROWS(_xlfn._xlws.FILTER(표2[],표2[DWG No.]=C1325,""),1),6)</f>
        <v>#VALUE!</v>
      </c>
      <c r="S1325" s="67" t="e" cm="1">
        <f t="array" ref="S1325">_xlfn.CHOOSECOLS(_xlfn.CHOOSEROWS(_xlfn._xlws.FILTER(표2[],(표2[DWG No.]=C1325)*(ISNUMBER(표2[Rev.])),""),1),6)</f>
        <v>#VALUE!</v>
      </c>
    </row>
    <row r="1326" spans="1:19" ht="18" customHeight="1" x14ac:dyDescent="0.45">
      <c r="A1326" s="64">
        <v>1321</v>
      </c>
      <c r="B1326" s="49" t="s">
        <v>2912</v>
      </c>
      <c r="C1326" s="55" t="s">
        <v>4537</v>
      </c>
      <c r="D1326" s="49" t="s">
        <v>4538</v>
      </c>
      <c r="E1326" s="56" t="s">
        <v>4539</v>
      </c>
      <c r="F1326" s="49" t="s">
        <v>5</v>
      </c>
      <c r="G1326" s="48">
        <v>43133</v>
      </c>
      <c r="H1326" s="48">
        <v>43147</v>
      </c>
      <c r="I1326" s="48">
        <v>43539</v>
      </c>
      <c r="J1326" s="49" t="s">
        <v>3274</v>
      </c>
      <c r="K1326" s="58" t="s">
        <v>7</v>
      </c>
      <c r="L1326" s="49">
        <v>0</v>
      </c>
      <c r="M1326" s="62">
        <v>43539</v>
      </c>
      <c r="N1326" s="52" t="s">
        <v>3275</v>
      </c>
      <c r="O1326" s="49" t="s">
        <v>7</v>
      </c>
      <c r="P1326" s="52">
        <v>0</v>
      </c>
      <c r="Q1326" s="51" t="s">
        <v>5002</v>
      </c>
      <c r="R1326" s="67" t="e" cm="1">
        <f t="array" ref="R1326">_xlfn.CHOOSECOLS(_xlfn.CHOOSEROWS(_xlfn._xlws.FILTER(표2[],표2[DWG No.]=C1326,""),1),6)</f>
        <v>#VALUE!</v>
      </c>
      <c r="S1326" s="67" t="e" cm="1">
        <f t="array" ref="S1326">_xlfn.CHOOSECOLS(_xlfn.CHOOSEROWS(_xlfn._xlws.FILTER(표2[],(표2[DWG No.]=C1326)*(ISNUMBER(표2[Rev.])),""),1),6)</f>
        <v>#VALUE!</v>
      </c>
    </row>
    <row r="1327" spans="1:19" ht="18" customHeight="1" x14ac:dyDescent="0.45">
      <c r="A1327" s="64">
        <v>1322</v>
      </c>
      <c r="B1327" s="49" t="s">
        <v>2912</v>
      </c>
      <c r="C1327" s="55" t="s">
        <v>4540</v>
      </c>
      <c r="D1327" s="49">
        <v>155848</v>
      </c>
      <c r="E1327" s="56" t="s">
        <v>4541</v>
      </c>
      <c r="F1327" s="49" t="s">
        <v>5</v>
      </c>
      <c r="G1327" s="48">
        <v>43133</v>
      </c>
      <c r="H1327" s="48">
        <v>43147</v>
      </c>
      <c r="I1327" s="48">
        <v>43539</v>
      </c>
      <c r="J1327" s="49" t="s">
        <v>3274</v>
      </c>
      <c r="K1327" s="58" t="s">
        <v>7</v>
      </c>
      <c r="L1327" s="49">
        <v>0</v>
      </c>
      <c r="M1327" s="62">
        <v>43539</v>
      </c>
      <c r="N1327" s="52" t="s">
        <v>3275</v>
      </c>
      <c r="O1327" s="49" t="s">
        <v>7</v>
      </c>
      <c r="P1327" s="52">
        <v>0</v>
      </c>
      <c r="Q1327" s="51" t="s">
        <v>5002</v>
      </c>
      <c r="R1327" s="67" t="e" cm="1">
        <f t="array" ref="R1327">_xlfn.CHOOSECOLS(_xlfn.CHOOSEROWS(_xlfn._xlws.FILTER(표2[],표2[DWG No.]=C1327,""),1),6)</f>
        <v>#VALUE!</v>
      </c>
      <c r="S1327" s="67" t="e" cm="1">
        <f t="array" ref="S1327">_xlfn.CHOOSECOLS(_xlfn.CHOOSEROWS(_xlfn._xlws.FILTER(표2[],(표2[DWG No.]=C1327)*(ISNUMBER(표2[Rev.])),""),1),6)</f>
        <v>#VALUE!</v>
      </c>
    </row>
    <row r="1328" spans="1:19" ht="18" customHeight="1" x14ac:dyDescent="0.45">
      <c r="A1328" s="64">
        <v>1323</v>
      </c>
      <c r="B1328" s="49" t="s">
        <v>2912</v>
      </c>
      <c r="C1328" s="55" t="s">
        <v>4542</v>
      </c>
      <c r="D1328" s="49">
        <v>155849</v>
      </c>
      <c r="E1328" s="56" t="s">
        <v>4543</v>
      </c>
      <c r="F1328" s="49" t="s">
        <v>5</v>
      </c>
      <c r="G1328" s="48">
        <v>43133</v>
      </c>
      <c r="H1328" s="48">
        <v>43147</v>
      </c>
      <c r="I1328" s="48">
        <v>43475</v>
      </c>
      <c r="J1328" s="49" t="s">
        <v>4544</v>
      </c>
      <c r="K1328" s="58" t="s">
        <v>7</v>
      </c>
      <c r="L1328" s="49" t="s">
        <v>349</v>
      </c>
      <c r="M1328" s="62">
        <v>43487</v>
      </c>
      <c r="N1328" s="52" t="s">
        <v>3534</v>
      </c>
      <c r="O1328" s="49" t="s">
        <v>7</v>
      </c>
      <c r="P1328" s="52" t="s">
        <v>209</v>
      </c>
      <c r="Q1328" s="51" t="s">
        <v>5002</v>
      </c>
      <c r="R1328" s="67" t="e" cm="1">
        <f t="array" ref="R1328">_xlfn.CHOOSECOLS(_xlfn.CHOOSEROWS(_xlfn._xlws.FILTER(표2[],표2[DWG No.]=C1328,""),1),6)</f>
        <v>#VALUE!</v>
      </c>
      <c r="S1328" s="67" t="e" cm="1">
        <f t="array" ref="S1328">_xlfn.CHOOSECOLS(_xlfn.CHOOSEROWS(_xlfn._xlws.FILTER(표2[],(표2[DWG No.]=C1328)*(ISNUMBER(표2[Rev.])),""),1),6)</f>
        <v>#VALUE!</v>
      </c>
    </row>
    <row r="1329" spans="1:19" ht="18" customHeight="1" x14ac:dyDescent="0.45">
      <c r="A1329" s="64">
        <v>1324</v>
      </c>
      <c r="B1329" s="49" t="s">
        <v>2912</v>
      </c>
      <c r="C1329" s="55" t="s">
        <v>4545</v>
      </c>
      <c r="D1329" s="49" t="s">
        <v>4546</v>
      </c>
      <c r="E1329" s="56" t="s">
        <v>4547</v>
      </c>
      <c r="F1329" s="49" t="s">
        <v>5</v>
      </c>
      <c r="G1329" s="48">
        <v>43133</v>
      </c>
      <c r="H1329" s="48">
        <v>43147</v>
      </c>
      <c r="I1329" s="48">
        <v>43133</v>
      </c>
      <c r="J1329" s="49" t="s">
        <v>4548</v>
      </c>
      <c r="K1329" s="58" t="s">
        <v>7</v>
      </c>
      <c r="L1329" s="49">
        <v>0</v>
      </c>
      <c r="M1329" s="62">
        <v>43146</v>
      </c>
      <c r="N1329" s="52" t="s">
        <v>3153</v>
      </c>
      <c r="O1329" s="49" t="s">
        <v>5</v>
      </c>
      <c r="P1329" s="52">
        <v>0</v>
      </c>
      <c r="Q1329" s="52" t="s">
        <v>160</v>
      </c>
      <c r="R1329" s="67" t="e" cm="1">
        <f t="array" ref="R1329">_xlfn.CHOOSECOLS(_xlfn.CHOOSEROWS(_xlfn._xlws.FILTER(표2[],표2[DWG No.]=C1329,""),1),6)</f>
        <v>#VALUE!</v>
      </c>
      <c r="S1329" s="67" t="e" cm="1">
        <f t="array" ref="S1329">_xlfn.CHOOSECOLS(_xlfn.CHOOSEROWS(_xlfn._xlws.FILTER(표2[],(표2[DWG No.]=C1329)*(ISNUMBER(표2[Rev.])),""),1),6)</f>
        <v>#VALUE!</v>
      </c>
    </row>
    <row r="1330" spans="1:19" ht="18" customHeight="1" x14ac:dyDescent="0.45">
      <c r="A1330" s="64">
        <v>1325</v>
      </c>
      <c r="B1330" s="49" t="s">
        <v>2912</v>
      </c>
      <c r="C1330" s="55" t="s">
        <v>4549</v>
      </c>
      <c r="D1330" s="49" t="s">
        <v>4550</v>
      </c>
      <c r="E1330" s="56" t="s">
        <v>4551</v>
      </c>
      <c r="F1330" s="49" t="s">
        <v>5</v>
      </c>
      <c r="G1330" s="48">
        <v>43133</v>
      </c>
      <c r="H1330" s="48">
        <v>43147</v>
      </c>
      <c r="I1330" s="48">
        <v>43133</v>
      </c>
      <c r="J1330" s="49" t="s">
        <v>4548</v>
      </c>
      <c r="K1330" s="58" t="s">
        <v>7</v>
      </c>
      <c r="L1330" s="49">
        <v>0</v>
      </c>
      <c r="M1330" s="62">
        <v>43146</v>
      </c>
      <c r="N1330" s="52" t="s">
        <v>3153</v>
      </c>
      <c r="O1330" s="49" t="s">
        <v>5</v>
      </c>
      <c r="P1330" s="52">
        <v>0</v>
      </c>
      <c r="Q1330" s="52" t="s">
        <v>160</v>
      </c>
      <c r="R1330" s="67" t="e" cm="1">
        <f t="array" ref="R1330">_xlfn.CHOOSECOLS(_xlfn.CHOOSEROWS(_xlfn._xlws.FILTER(표2[],표2[DWG No.]=C1330,""),1),6)</f>
        <v>#VALUE!</v>
      </c>
      <c r="S1330" s="67" t="e" cm="1">
        <f t="array" ref="S1330">_xlfn.CHOOSECOLS(_xlfn.CHOOSEROWS(_xlfn._xlws.FILTER(표2[],(표2[DWG No.]=C1330)*(ISNUMBER(표2[Rev.])),""),1),6)</f>
        <v>#VALUE!</v>
      </c>
    </row>
    <row r="1331" spans="1:19" ht="18" customHeight="1" x14ac:dyDescent="0.45">
      <c r="A1331" s="64">
        <v>1326</v>
      </c>
      <c r="B1331" s="49" t="s">
        <v>2912</v>
      </c>
      <c r="C1331" s="55" t="s">
        <v>4552</v>
      </c>
      <c r="D1331" s="49" t="s">
        <v>4553</v>
      </c>
      <c r="E1331" s="56" t="s">
        <v>4554</v>
      </c>
      <c r="F1331" s="49" t="s">
        <v>5</v>
      </c>
      <c r="G1331" s="48">
        <v>43133</v>
      </c>
      <c r="H1331" s="48">
        <v>43147</v>
      </c>
      <c r="I1331" s="48">
        <v>43133</v>
      </c>
      <c r="J1331" s="49" t="s">
        <v>4548</v>
      </c>
      <c r="K1331" s="58" t="s">
        <v>7</v>
      </c>
      <c r="L1331" s="49">
        <v>0</v>
      </c>
      <c r="M1331" s="62">
        <v>43146</v>
      </c>
      <c r="N1331" s="52" t="s">
        <v>3153</v>
      </c>
      <c r="O1331" s="49" t="s">
        <v>5</v>
      </c>
      <c r="P1331" s="52">
        <v>0</v>
      </c>
      <c r="Q1331" s="52" t="s">
        <v>160</v>
      </c>
      <c r="R1331" s="67" t="e" cm="1">
        <f t="array" ref="R1331">_xlfn.CHOOSECOLS(_xlfn.CHOOSEROWS(_xlfn._xlws.FILTER(표2[],표2[DWG No.]=C1331,""),1),6)</f>
        <v>#VALUE!</v>
      </c>
      <c r="S1331" s="67" t="e" cm="1">
        <f t="array" ref="S1331">_xlfn.CHOOSECOLS(_xlfn.CHOOSEROWS(_xlfn._xlws.FILTER(표2[],(표2[DWG No.]=C1331)*(ISNUMBER(표2[Rev.])),""),1),6)</f>
        <v>#VALUE!</v>
      </c>
    </row>
    <row r="1332" spans="1:19" ht="18" customHeight="1" x14ac:dyDescent="0.45">
      <c r="A1332" s="64">
        <v>1327</v>
      </c>
      <c r="B1332" s="49" t="s">
        <v>2912</v>
      </c>
      <c r="C1332" s="55" t="s">
        <v>4555</v>
      </c>
      <c r="D1332" s="49" t="s">
        <v>4556</v>
      </c>
      <c r="E1332" s="56" t="s">
        <v>4557</v>
      </c>
      <c r="F1332" s="49" t="s">
        <v>5</v>
      </c>
      <c r="G1332" s="48">
        <v>43133</v>
      </c>
      <c r="H1332" s="48">
        <v>43147</v>
      </c>
      <c r="I1332" s="48">
        <v>43133</v>
      </c>
      <c r="J1332" s="49" t="s">
        <v>4548</v>
      </c>
      <c r="K1332" s="58" t="s">
        <v>7</v>
      </c>
      <c r="L1332" s="49">
        <v>0</v>
      </c>
      <c r="M1332" s="62">
        <v>43146</v>
      </c>
      <c r="N1332" s="52" t="s">
        <v>3153</v>
      </c>
      <c r="O1332" s="49" t="s">
        <v>5</v>
      </c>
      <c r="P1332" s="52">
        <v>0</v>
      </c>
      <c r="Q1332" s="52" t="s">
        <v>160</v>
      </c>
      <c r="R1332" s="67" t="e" cm="1">
        <f t="array" ref="R1332">_xlfn.CHOOSECOLS(_xlfn.CHOOSEROWS(_xlfn._xlws.FILTER(표2[],표2[DWG No.]=C1332,""),1),6)</f>
        <v>#VALUE!</v>
      </c>
      <c r="S1332" s="67" t="e" cm="1">
        <f t="array" ref="S1332">_xlfn.CHOOSECOLS(_xlfn.CHOOSEROWS(_xlfn._xlws.FILTER(표2[],(표2[DWG No.]=C1332)*(ISNUMBER(표2[Rev.])),""),1),6)</f>
        <v>#VALUE!</v>
      </c>
    </row>
    <row r="1333" spans="1:19" ht="18" customHeight="1" x14ac:dyDescent="0.45">
      <c r="A1333" s="64">
        <v>1328</v>
      </c>
      <c r="B1333" s="49" t="s">
        <v>2912</v>
      </c>
      <c r="C1333" s="55" t="s">
        <v>4558</v>
      </c>
      <c r="D1333" s="49" t="s">
        <v>4559</v>
      </c>
      <c r="E1333" s="56" t="s">
        <v>4560</v>
      </c>
      <c r="F1333" s="49" t="s">
        <v>5</v>
      </c>
      <c r="G1333" s="48">
        <v>43133</v>
      </c>
      <c r="H1333" s="48">
        <v>43147</v>
      </c>
      <c r="I1333" s="48">
        <v>43133</v>
      </c>
      <c r="J1333" s="49" t="s">
        <v>4548</v>
      </c>
      <c r="K1333" s="58" t="s">
        <v>7</v>
      </c>
      <c r="L1333" s="49">
        <v>0</v>
      </c>
      <c r="M1333" s="62">
        <v>43146</v>
      </c>
      <c r="N1333" s="52" t="s">
        <v>3153</v>
      </c>
      <c r="O1333" s="49" t="s">
        <v>5</v>
      </c>
      <c r="P1333" s="52">
        <v>0</v>
      </c>
      <c r="Q1333" s="52" t="s">
        <v>160</v>
      </c>
      <c r="R1333" s="67" t="e" cm="1">
        <f t="array" ref="R1333">_xlfn.CHOOSECOLS(_xlfn.CHOOSEROWS(_xlfn._xlws.FILTER(표2[],표2[DWG No.]=C1333,""),1),6)</f>
        <v>#VALUE!</v>
      </c>
      <c r="S1333" s="67" t="e" cm="1">
        <f t="array" ref="S1333">_xlfn.CHOOSECOLS(_xlfn.CHOOSEROWS(_xlfn._xlws.FILTER(표2[],(표2[DWG No.]=C1333)*(ISNUMBER(표2[Rev.])),""),1),6)</f>
        <v>#VALUE!</v>
      </c>
    </row>
    <row r="1334" spans="1:19" ht="18" customHeight="1" x14ac:dyDescent="0.45">
      <c r="A1334" s="64">
        <v>1329</v>
      </c>
      <c r="B1334" s="49" t="s">
        <v>2912</v>
      </c>
      <c r="C1334" s="55" t="s">
        <v>4561</v>
      </c>
      <c r="D1334" s="49" t="s">
        <v>4562</v>
      </c>
      <c r="E1334" s="56" t="s">
        <v>4563</v>
      </c>
      <c r="F1334" s="49" t="s">
        <v>5</v>
      </c>
      <c r="G1334" s="48">
        <v>43133</v>
      </c>
      <c r="H1334" s="48">
        <v>43147</v>
      </c>
      <c r="I1334" s="48">
        <v>43133</v>
      </c>
      <c r="J1334" s="49" t="s">
        <v>4548</v>
      </c>
      <c r="K1334" s="58" t="s">
        <v>7</v>
      </c>
      <c r="L1334" s="49">
        <v>0</v>
      </c>
      <c r="M1334" s="62">
        <v>43146</v>
      </c>
      <c r="N1334" s="52" t="s">
        <v>3153</v>
      </c>
      <c r="O1334" s="49" t="s">
        <v>5</v>
      </c>
      <c r="P1334" s="52">
        <v>0</v>
      </c>
      <c r="Q1334" s="52" t="s">
        <v>160</v>
      </c>
      <c r="R1334" s="67" t="e" cm="1">
        <f t="array" ref="R1334">_xlfn.CHOOSECOLS(_xlfn.CHOOSEROWS(_xlfn._xlws.FILTER(표2[],표2[DWG No.]=C1334,""),1),6)</f>
        <v>#VALUE!</v>
      </c>
      <c r="S1334" s="67" t="e" cm="1">
        <f t="array" ref="S1334">_xlfn.CHOOSECOLS(_xlfn.CHOOSEROWS(_xlfn._xlws.FILTER(표2[],(표2[DWG No.]=C1334)*(ISNUMBER(표2[Rev.])),""),1),6)</f>
        <v>#VALUE!</v>
      </c>
    </row>
    <row r="1335" spans="1:19" ht="18" customHeight="1" x14ac:dyDescent="0.45">
      <c r="A1335" s="64">
        <v>1330</v>
      </c>
      <c r="B1335" s="49" t="s">
        <v>2912</v>
      </c>
      <c r="C1335" s="55" t="s">
        <v>4564</v>
      </c>
      <c r="D1335" s="49" t="s">
        <v>4565</v>
      </c>
      <c r="E1335" s="56" t="s">
        <v>4566</v>
      </c>
      <c r="F1335" s="49" t="s">
        <v>5</v>
      </c>
      <c r="G1335" s="48">
        <v>43133</v>
      </c>
      <c r="H1335" s="48">
        <v>43147</v>
      </c>
      <c r="I1335" s="48">
        <v>43133</v>
      </c>
      <c r="J1335" s="49" t="s">
        <v>4548</v>
      </c>
      <c r="K1335" s="58" t="s">
        <v>7</v>
      </c>
      <c r="L1335" s="49">
        <v>0</v>
      </c>
      <c r="M1335" s="62">
        <v>43146</v>
      </c>
      <c r="N1335" s="52" t="s">
        <v>3153</v>
      </c>
      <c r="O1335" s="49" t="s">
        <v>5</v>
      </c>
      <c r="P1335" s="52">
        <v>0</v>
      </c>
      <c r="Q1335" s="52" t="s">
        <v>160</v>
      </c>
      <c r="R1335" s="67" t="e" cm="1">
        <f t="array" ref="R1335">_xlfn.CHOOSECOLS(_xlfn.CHOOSEROWS(_xlfn._xlws.FILTER(표2[],표2[DWG No.]=C1335,""),1),6)</f>
        <v>#VALUE!</v>
      </c>
      <c r="S1335" s="67" t="e" cm="1">
        <f t="array" ref="S1335">_xlfn.CHOOSECOLS(_xlfn.CHOOSEROWS(_xlfn._xlws.FILTER(표2[],(표2[DWG No.]=C1335)*(ISNUMBER(표2[Rev.])),""),1),6)</f>
        <v>#VALUE!</v>
      </c>
    </row>
    <row r="1336" spans="1:19" ht="18" customHeight="1" x14ac:dyDescent="0.45">
      <c r="A1336" s="64">
        <v>1331</v>
      </c>
      <c r="B1336" s="49" t="s">
        <v>2912</v>
      </c>
      <c r="C1336" s="55" t="s">
        <v>4567</v>
      </c>
      <c r="D1336" s="49" t="s">
        <v>4568</v>
      </c>
      <c r="E1336" s="56" t="s">
        <v>4569</v>
      </c>
      <c r="F1336" s="49" t="s">
        <v>5</v>
      </c>
      <c r="G1336" s="48">
        <v>43133</v>
      </c>
      <c r="H1336" s="48">
        <v>43147</v>
      </c>
      <c r="I1336" s="48">
        <v>43133</v>
      </c>
      <c r="J1336" s="49" t="s">
        <v>4548</v>
      </c>
      <c r="K1336" s="58" t="s">
        <v>7</v>
      </c>
      <c r="L1336" s="49">
        <v>0</v>
      </c>
      <c r="M1336" s="62">
        <v>43146</v>
      </c>
      <c r="N1336" s="52" t="s">
        <v>3153</v>
      </c>
      <c r="O1336" s="49" t="s">
        <v>5</v>
      </c>
      <c r="P1336" s="52">
        <v>0</v>
      </c>
      <c r="Q1336" s="52" t="s">
        <v>160</v>
      </c>
      <c r="R1336" s="67" t="e" cm="1">
        <f t="array" ref="R1336">_xlfn.CHOOSECOLS(_xlfn.CHOOSEROWS(_xlfn._xlws.FILTER(표2[],표2[DWG No.]=C1336,""),1),6)</f>
        <v>#VALUE!</v>
      </c>
      <c r="S1336" s="67" t="e" cm="1">
        <f t="array" ref="S1336">_xlfn.CHOOSECOLS(_xlfn.CHOOSEROWS(_xlfn._xlws.FILTER(표2[],(표2[DWG No.]=C1336)*(ISNUMBER(표2[Rev.])),""),1),6)</f>
        <v>#VALUE!</v>
      </c>
    </row>
    <row r="1337" spans="1:19" ht="18" customHeight="1" x14ac:dyDescent="0.45">
      <c r="A1337" s="64">
        <v>1332</v>
      </c>
      <c r="B1337" s="49" t="s">
        <v>2912</v>
      </c>
      <c r="C1337" s="55" t="s">
        <v>4570</v>
      </c>
      <c r="D1337" s="72" t="s">
        <v>4571</v>
      </c>
      <c r="E1337" s="56" t="s">
        <v>4572</v>
      </c>
      <c r="F1337" s="49" t="s">
        <v>5</v>
      </c>
      <c r="G1337" s="48">
        <v>43133</v>
      </c>
      <c r="H1337" s="48">
        <v>43147</v>
      </c>
      <c r="I1337" s="48">
        <v>43133</v>
      </c>
      <c r="J1337" s="49" t="s">
        <v>4548</v>
      </c>
      <c r="K1337" s="58" t="s">
        <v>5</v>
      </c>
      <c r="L1337" s="49" t="s">
        <v>160</v>
      </c>
      <c r="M1337" s="62">
        <v>43146</v>
      </c>
      <c r="N1337" s="52" t="s">
        <v>3153</v>
      </c>
      <c r="O1337" s="49" t="s">
        <v>6</v>
      </c>
      <c r="P1337" s="52">
        <v>0</v>
      </c>
      <c r="Q1337" s="52" t="s">
        <v>160</v>
      </c>
      <c r="R1337" s="67" t="e" cm="1">
        <f t="array" ref="R1337">_xlfn.CHOOSECOLS(_xlfn.CHOOSEROWS(_xlfn._xlws.FILTER(표2[],표2[DWG No.]=C1337,""),1),6)</f>
        <v>#VALUE!</v>
      </c>
      <c r="S1337" s="67" t="e" cm="1">
        <f t="array" ref="S1337">_xlfn.CHOOSECOLS(_xlfn.CHOOSEROWS(_xlfn._xlws.FILTER(표2[],(표2[DWG No.]=C1337)*(ISNUMBER(표2[Rev.])),""),1),6)</f>
        <v>#VALUE!</v>
      </c>
    </row>
    <row r="1338" spans="1:19" ht="18" customHeight="1" x14ac:dyDescent="0.45">
      <c r="A1338" s="64">
        <v>1333</v>
      </c>
      <c r="B1338" s="49" t="s">
        <v>2912</v>
      </c>
      <c r="C1338" s="55" t="s">
        <v>4573</v>
      </c>
      <c r="D1338" s="49" t="s">
        <v>4574</v>
      </c>
      <c r="E1338" s="56" t="s">
        <v>4575</v>
      </c>
      <c r="F1338" s="49" t="s">
        <v>6</v>
      </c>
      <c r="G1338" s="48">
        <v>43136</v>
      </c>
      <c r="H1338" s="48">
        <v>43150</v>
      </c>
      <c r="I1338" s="48">
        <v>43412</v>
      </c>
      <c r="J1338" s="51" t="s">
        <v>4253</v>
      </c>
      <c r="K1338" s="58" t="s">
        <v>7</v>
      </c>
      <c r="L1338" s="49">
        <v>1</v>
      </c>
      <c r="M1338" s="61">
        <v>43418</v>
      </c>
      <c r="N1338" s="51" t="s">
        <v>3153</v>
      </c>
      <c r="O1338" s="49" t="s">
        <v>7</v>
      </c>
      <c r="P1338" s="51">
        <v>1</v>
      </c>
      <c r="Q1338" s="51" t="s">
        <v>160</v>
      </c>
      <c r="R1338" s="67" t="e" cm="1">
        <f t="array" ref="R1338">_xlfn.CHOOSECOLS(_xlfn.CHOOSEROWS(_xlfn._xlws.FILTER(표2[],표2[DWG No.]=C1338,""),1),6)</f>
        <v>#VALUE!</v>
      </c>
      <c r="S1338" s="67" t="e" cm="1">
        <f t="array" ref="S1338">_xlfn.CHOOSECOLS(_xlfn.CHOOSEROWS(_xlfn._xlws.FILTER(표2[],(표2[DWG No.]=C1338)*(ISNUMBER(표2[Rev.])),""),1),6)</f>
        <v>#VALUE!</v>
      </c>
    </row>
    <row r="1339" spans="1:19" ht="18" customHeight="1" x14ac:dyDescent="0.45">
      <c r="A1339" s="64">
        <v>1334</v>
      </c>
      <c r="B1339" s="49" t="s">
        <v>2912</v>
      </c>
      <c r="C1339" s="55" t="s">
        <v>4576</v>
      </c>
      <c r="D1339" s="49" t="s">
        <v>4577</v>
      </c>
      <c r="E1339" s="56" t="s">
        <v>4578</v>
      </c>
      <c r="F1339" s="49" t="s">
        <v>6</v>
      </c>
      <c r="G1339" s="48">
        <v>43136</v>
      </c>
      <c r="H1339" s="48">
        <v>43150</v>
      </c>
      <c r="I1339" s="48">
        <v>43136</v>
      </c>
      <c r="J1339" s="49" t="s">
        <v>4579</v>
      </c>
      <c r="K1339" s="58" t="s">
        <v>5032</v>
      </c>
      <c r="L1339" s="49" t="s">
        <v>65</v>
      </c>
      <c r="M1339" s="48">
        <v>43146</v>
      </c>
      <c r="N1339" s="52" t="s">
        <v>4580</v>
      </c>
      <c r="O1339" s="49" t="s">
        <v>6</v>
      </c>
      <c r="P1339" s="49" t="s">
        <v>65</v>
      </c>
      <c r="Q1339" s="51" t="s">
        <v>65</v>
      </c>
      <c r="R1339" s="67" t="e" cm="1">
        <f t="array" ref="R1339">_xlfn.CHOOSECOLS(_xlfn.CHOOSEROWS(_xlfn._xlws.FILTER(표2[],표2[DWG No.]=C1339,""),1),6)</f>
        <v>#VALUE!</v>
      </c>
      <c r="S1339" s="67" t="e" cm="1">
        <f t="array" ref="S1339">_xlfn.CHOOSECOLS(_xlfn.CHOOSEROWS(_xlfn._xlws.FILTER(표2[],(표2[DWG No.]=C1339)*(ISNUMBER(표2[Rev.])),""),1),6)</f>
        <v>#VALUE!</v>
      </c>
    </row>
    <row r="1340" spans="1:19" ht="18" customHeight="1" x14ac:dyDescent="0.45">
      <c r="A1340" s="64">
        <v>1335</v>
      </c>
      <c r="B1340" s="49" t="s">
        <v>2912</v>
      </c>
      <c r="C1340" s="55" t="s">
        <v>4581</v>
      </c>
      <c r="D1340" s="49" t="s">
        <v>4582</v>
      </c>
      <c r="E1340" s="56" t="s">
        <v>4583</v>
      </c>
      <c r="F1340" s="49" t="s">
        <v>6</v>
      </c>
      <c r="G1340" s="48">
        <v>43136</v>
      </c>
      <c r="H1340" s="48">
        <v>43150</v>
      </c>
      <c r="I1340" s="48">
        <v>43532</v>
      </c>
      <c r="J1340" s="49" t="s">
        <v>4584</v>
      </c>
      <c r="K1340" s="58" t="s">
        <v>7</v>
      </c>
      <c r="L1340" s="49">
        <v>0</v>
      </c>
      <c r="M1340" s="48"/>
      <c r="N1340" s="49" t="s">
        <v>4585</v>
      </c>
      <c r="O1340" s="58" t="s">
        <v>7</v>
      </c>
      <c r="P1340" s="49"/>
      <c r="Q1340" s="51" t="s">
        <v>5002</v>
      </c>
      <c r="R1340" s="67" t="e" cm="1">
        <f t="array" ref="R1340">_xlfn.CHOOSECOLS(_xlfn.CHOOSEROWS(_xlfn._xlws.FILTER(표2[],표2[DWG No.]=C1340,""),1),6)</f>
        <v>#VALUE!</v>
      </c>
      <c r="S1340" s="67" t="e" cm="1">
        <f t="array" ref="S1340">_xlfn.CHOOSECOLS(_xlfn.CHOOSEROWS(_xlfn._xlws.FILTER(표2[],(표2[DWG No.]=C1340)*(ISNUMBER(표2[Rev.])),""),1),6)</f>
        <v>#VALUE!</v>
      </c>
    </row>
    <row r="1341" spans="1:19" ht="18" customHeight="1" x14ac:dyDescent="0.45">
      <c r="A1341" s="64">
        <v>1336</v>
      </c>
      <c r="B1341" s="49" t="s">
        <v>2912</v>
      </c>
      <c r="C1341" s="55" t="s">
        <v>4586</v>
      </c>
      <c r="D1341" s="49" t="s">
        <v>4587</v>
      </c>
      <c r="E1341" s="56" t="s">
        <v>4588</v>
      </c>
      <c r="F1341" s="49" t="s">
        <v>6</v>
      </c>
      <c r="G1341" s="48">
        <v>43136</v>
      </c>
      <c r="H1341" s="48">
        <v>43150</v>
      </c>
      <c r="I1341" s="48">
        <v>43532</v>
      </c>
      <c r="J1341" s="49" t="s">
        <v>4584</v>
      </c>
      <c r="K1341" s="58" t="s">
        <v>7</v>
      </c>
      <c r="L1341" s="49">
        <v>0</v>
      </c>
      <c r="M1341" s="61"/>
      <c r="N1341" s="49" t="s">
        <v>4585</v>
      </c>
      <c r="O1341" s="58" t="s">
        <v>7</v>
      </c>
      <c r="P1341" s="51"/>
      <c r="Q1341" s="51" t="s">
        <v>5002</v>
      </c>
      <c r="R1341" s="67" t="e" cm="1">
        <f t="array" ref="R1341">_xlfn.CHOOSECOLS(_xlfn.CHOOSEROWS(_xlfn._xlws.FILTER(표2[],표2[DWG No.]=C1341,""),1),6)</f>
        <v>#VALUE!</v>
      </c>
      <c r="S1341" s="67" t="e" cm="1">
        <f t="array" ref="S1341">_xlfn.CHOOSECOLS(_xlfn.CHOOSEROWS(_xlfn._xlws.FILTER(표2[],(표2[DWG No.]=C1341)*(ISNUMBER(표2[Rev.])),""),1),6)</f>
        <v>#VALUE!</v>
      </c>
    </row>
    <row r="1342" spans="1:19" ht="18" customHeight="1" x14ac:dyDescent="0.45">
      <c r="A1342" s="64">
        <v>1337</v>
      </c>
      <c r="B1342" s="49" t="s">
        <v>2912</v>
      </c>
      <c r="C1342" s="55" t="s">
        <v>4589</v>
      </c>
      <c r="D1342" s="49" t="s">
        <v>4590</v>
      </c>
      <c r="E1342" s="56" t="s">
        <v>4591</v>
      </c>
      <c r="F1342" s="49" t="s">
        <v>6</v>
      </c>
      <c r="G1342" s="48">
        <v>43136</v>
      </c>
      <c r="H1342" s="48">
        <v>43150</v>
      </c>
      <c r="I1342" s="48">
        <v>43532</v>
      </c>
      <c r="J1342" s="49" t="s">
        <v>4584</v>
      </c>
      <c r="K1342" s="58" t="s">
        <v>7</v>
      </c>
      <c r="L1342" s="49">
        <v>0</v>
      </c>
      <c r="M1342" s="61"/>
      <c r="N1342" s="49" t="s">
        <v>4585</v>
      </c>
      <c r="O1342" s="58" t="s">
        <v>7</v>
      </c>
      <c r="P1342" s="51"/>
      <c r="Q1342" s="51" t="s">
        <v>5002</v>
      </c>
      <c r="R1342" s="67" t="e" cm="1">
        <f t="array" ref="R1342">_xlfn.CHOOSECOLS(_xlfn.CHOOSEROWS(_xlfn._xlws.FILTER(표2[],표2[DWG No.]=C1342,""),1),6)</f>
        <v>#VALUE!</v>
      </c>
      <c r="S1342" s="67" t="e" cm="1">
        <f t="array" ref="S1342">_xlfn.CHOOSECOLS(_xlfn.CHOOSEROWS(_xlfn._xlws.FILTER(표2[],(표2[DWG No.]=C1342)*(ISNUMBER(표2[Rev.])),""),1),6)</f>
        <v>#VALUE!</v>
      </c>
    </row>
    <row r="1343" spans="1:19" ht="18" customHeight="1" x14ac:dyDescent="0.45">
      <c r="A1343" s="64">
        <v>1338</v>
      </c>
      <c r="B1343" s="49" t="s">
        <v>2912</v>
      </c>
      <c r="C1343" s="55" t="s">
        <v>4592</v>
      </c>
      <c r="D1343" s="49" t="s">
        <v>4593</v>
      </c>
      <c r="E1343" s="56" t="s">
        <v>4594</v>
      </c>
      <c r="F1343" s="49" t="s">
        <v>6</v>
      </c>
      <c r="G1343" s="48">
        <v>43136</v>
      </c>
      <c r="H1343" s="48">
        <v>43150</v>
      </c>
      <c r="I1343" s="48">
        <v>43136</v>
      </c>
      <c r="J1343" s="49" t="s">
        <v>4579</v>
      </c>
      <c r="K1343" s="58" t="s">
        <v>5032</v>
      </c>
      <c r="L1343" s="49" t="s">
        <v>65</v>
      </c>
      <c r="M1343" s="48">
        <v>43146</v>
      </c>
      <c r="N1343" s="52" t="s">
        <v>4580</v>
      </c>
      <c r="O1343" s="49" t="s">
        <v>6</v>
      </c>
      <c r="P1343" s="49" t="s">
        <v>65</v>
      </c>
      <c r="Q1343" s="51" t="s">
        <v>65</v>
      </c>
      <c r="R1343" s="67" t="e" cm="1">
        <f t="array" ref="R1343">_xlfn.CHOOSECOLS(_xlfn.CHOOSEROWS(_xlfn._xlws.FILTER(표2[],표2[DWG No.]=C1343,""),1),6)</f>
        <v>#VALUE!</v>
      </c>
      <c r="S1343" s="67" t="e" cm="1">
        <f t="array" ref="S1343">_xlfn.CHOOSECOLS(_xlfn.CHOOSEROWS(_xlfn._xlws.FILTER(표2[],(표2[DWG No.]=C1343)*(ISNUMBER(표2[Rev.])),""),1),6)</f>
        <v>#VALUE!</v>
      </c>
    </row>
    <row r="1344" spans="1:19" ht="18" customHeight="1" x14ac:dyDescent="0.45">
      <c r="A1344" s="64">
        <v>1339</v>
      </c>
      <c r="B1344" s="49" t="s">
        <v>2912</v>
      </c>
      <c r="C1344" s="55" t="s">
        <v>4595</v>
      </c>
      <c r="D1344" s="49" t="s">
        <v>4596</v>
      </c>
      <c r="E1344" s="56" t="s">
        <v>4597</v>
      </c>
      <c r="F1344" s="49" t="s">
        <v>6</v>
      </c>
      <c r="G1344" s="48">
        <v>43136</v>
      </c>
      <c r="H1344" s="48">
        <v>43150</v>
      </c>
      <c r="I1344" s="48">
        <v>43532</v>
      </c>
      <c r="J1344" s="49" t="s">
        <v>4584</v>
      </c>
      <c r="K1344" s="58" t="s">
        <v>7</v>
      </c>
      <c r="L1344" s="49">
        <v>0</v>
      </c>
      <c r="M1344" s="61"/>
      <c r="N1344" s="49" t="s">
        <v>4585</v>
      </c>
      <c r="O1344" s="49" t="s">
        <v>7</v>
      </c>
      <c r="P1344" s="51"/>
      <c r="Q1344" s="51" t="s">
        <v>5002</v>
      </c>
      <c r="R1344" s="67" t="e" cm="1">
        <f t="array" ref="R1344">_xlfn.CHOOSECOLS(_xlfn.CHOOSEROWS(_xlfn._xlws.FILTER(표2[],표2[DWG No.]=C1344,""),1),6)</f>
        <v>#VALUE!</v>
      </c>
      <c r="S1344" s="67" t="e" cm="1">
        <f t="array" ref="S1344">_xlfn.CHOOSECOLS(_xlfn.CHOOSEROWS(_xlfn._xlws.FILTER(표2[],(표2[DWG No.]=C1344)*(ISNUMBER(표2[Rev.])),""),1),6)</f>
        <v>#VALUE!</v>
      </c>
    </row>
    <row r="1345" spans="1:19" ht="18" customHeight="1" x14ac:dyDescent="0.45">
      <c r="A1345" s="64">
        <v>1340</v>
      </c>
      <c r="B1345" s="49" t="s">
        <v>2912</v>
      </c>
      <c r="C1345" s="55" t="s">
        <v>4598</v>
      </c>
      <c r="D1345" s="49" t="s">
        <v>4599</v>
      </c>
      <c r="E1345" s="56" t="s">
        <v>4600</v>
      </c>
      <c r="F1345" s="49" t="s">
        <v>6</v>
      </c>
      <c r="G1345" s="48">
        <v>43136</v>
      </c>
      <c r="H1345" s="48">
        <v>43150</v>
      </c>
      <c r="I1345" s="48">
        <v>43222</v>
      </c>
      <c r="J1345" s="49" t="s">
        <v>4601</v>
      </c>
      <c r="K1345" s="58" t="s">
        <v>7</v>
      </c>
      <c r="L1345" s="49">
        <v>0</v>
      </c>
      <c r="M1345" s="48">
        <v>43238</v>
      </c>
      <c r="N1345" s="52" t="s">
        <v>3153</v>
      </c>
      <c r="O1345" s="49" t="s">
        <v>7</v>
      </c>
      <c r="P1345" s="49">
        <v>0</v>
      </c>
      <c r="Q1345" s="51" t="s">
        <v>5002</v>
      </c>
      <c r="R1345" s="67" t="e" cm="1">
        <f t="array" ref="R1345">_xlfn.CHOOSECOLS(_xlfn.CHOOSEROWS(_xlfn._xlws.FILTER(표2[],표2[DWG No.]=C1345,""),1),6)</f>
        <v>#VALUE!</v>
      </c>
      <c r="S1345" s="67" t="e" cm="1">
        <f t="array" ref="S1345">_xlfn.CHOOSECOLS(_xlfn.CHOOSEROWS(_xlfn._xlws.FILTER(표2[],(표2[DWG No.]=C1345)*(ISNUMBER(표2[Rev.])),""),1),6)</f>
        <v>#VALUE!</v>
      </c>
    </row>
    <row r="1346" spans="1:19" ht="18" customHeight="1" x14ac:dyDescent="0.45">
      <c r="A1346" s="64">
        <v>1341</v>
      </c>
      <c r="B1346" s="49" t="s">
        <v>2912</v>
      </c>
      <c r="C1346" s="55" t="s">
        <v>4602</v>
      </c>
      <c r="D1346" s="49" t="s">
        <v>4603</v>
      </c>
      <c r="E1346" s="56" t="s">
        <v>4604</v>
      </c>
      <c r="F1346" s="49" t="s">
        <v>6</v>
      </c>
      <c r="G1346" s="48">
        <v>43136</v>
      </c>
      <c r="H1346" s="48">
        <v>43150</v>
      </c>
      <c r="I1346" s="48">
        <v>43136</v>
      </c>
      <c r="J1346" s="49" t="s">
        <v>4579</v>
      </c>
      <c r="K1346" s="58" t="s">
        <v>5032</v>
      </c>
      <c r="L1346" s="49" t="s">
        <v>65</v>
      </c>
      <c r="M1346" s="48">
        <v>43146</v>
      </c>
      <c r="N1346" s="52" t="s">
        <v>4580</v>
      </c>
      <c r="O1346" s="49" t="s">
        <v>6</v>
      </c>
      <c r="P1346" s="49" t="s">
        <v>65</v>
      </c>
      <c r="Q1346" s="52" t="s">
        <v>160</v>
      </c>
      <c r="R1346" s="67" t="e" cm="1">
        <f t="array" ref="R1346">_xlfn.CHOOSECOLS(_xlfn.CHOOSEROWS(_xlfn._xlws.FILTER(표2[],표2[DWG No.]=C1346,""),1),6)</f>
        <v>#VALUE!</v>
      </c>
      <c r="S1346" s="67" t="e" cm="1">
        <f t="array" ref="S1346">_xlfn.CHOOSECOLS(_xlfn.CHOOSEROWS(_xlfn._xlws.FILTER(표2[],(표2[DWG No.]=C1346)*(ISNUMBER(표2[Rev.])),""),1),6)</f>
        <v>#VALUE!</v>
      </c>
    </row>
    <row r="1347" spans="1:19" ht="18" customHeight="1" x14ac:dyDescent="0.45">
      <c r="A1347" s="64">
        <v>1342</v>
      </c>
      <c r="B1347" s="49" t="s">
        <v>2912</v>
      </c>
      <c r="C1347" s="55" t="s">
        <v>4605</v>
      </c>
      <c r="D1347" s="49" t="s">
        <v>4606</v>
      </c>
      <c r="E1347" s="56" t="s">
        <v>4607</v>
      </c>
      <c r="F1347" s="49" t="s">
        <v>6</v>
      </c>
      <c r="G1347" s="48">
        <v>43136</v>
      </c>
      <c r="H1347" s="48">
        <v>43150</v>
      </c>
      <c r="I1347" s="48">
        <v>43228</v>
      </c>
      <c r="J1347" s="51" t="s">
        <v>4608</v>
      </c>
      <c r="K1347" s="58" t="s">
        <v>7</v>
      </c>
      <c r="L1347" s="49">
        <v>0</v>
      </c>
      <c r="M1347" s="61">
        <v>43243</v>
      </c>
      <c r="N1347" s="51" t="s">
        <v>3153</v>
      </c>
      <c r="O1347" s="49" t="s">
        <v>7</v>
      </c>
      <c r="P1347" s="51">
        <v>0</v>
      </c>
      <c r="Q1347" s="51" t="s">
        <v>5002</v>
      </c>
      <c r="R1347" s="67" t="e" cm="1">
        <f t="array" ref="R1347">_xlfn.CHOOSECOLS(_xlfn.CHOOSEROWS(_xlfn._xlws.FILTER(표2[],표2[DWG No.]=C1347,""),1),6)</f>
        <v>#VALUE!</v>
      </c>
      <c r="S1347" s="67" t="e" cm="1">
        <f t="array" ref="S1347">_xlfn.CHOOSECOLS(_xlfn.CHOOSEROWS(_xlfn._xlws.FILTER(표2[],(표2[DWG No.]=C1347)*(ISNUMBER(표2[Rev.])),""),1),6)</f>
        <v>#VALUE!</v>
      </c>
    </row>
    <row r="1348" spans="1:19" ht="18" customHeight="1" x14ac:dyDescent="0.45">
      <c r="A1348" s="64">
        <v>1343</v>
      </c>
      <c r="B1348" s="49" t="s">
        <v>2912</v>
      </c>
      <c r="C1348" s="55" t="s">
        <v>4609</v>
      </c>
      <c r="D1348" s="49" t="s">
        <v>4610</v>
      </c>
      <c r="E1348" s="56" t="s">
        <v>4611</v>
      </c>
      <c r="F1348" s="49" t="s">
        <v>6</v>
      </c>
      <c r="G1348" s="48">
        <v>43136</v>
      </c>
      <c r="H1348" s="48">
        <v>43150</v>
      </c>
      <c r="I1348" s="48">
        <v>43136</v>
      </c>
      <c r="J1348" s="49" t="s">
        <v>4579</v>
      </c>
      <c r="K1348" s="58" t="s">
        <v>5</v>
      </c>
      <c r="L1348" s="49" t="s">
        <v>65</v>
      </c>
      <c r="M1348" s="48">
        <v>43152</v>
      </c>
      <c r="N1348" s="52" t="s">
        <v>4580</v>
      </c>
      <c r="O1348" s="49" t="s">
        <v>6</v>
      </c>
      <c r="P1348" s="49" t="s">
        <v>65</v>
      </c>
      <c r="Q1348" s="52" t="s">
        <v>2702</v>
      </c>
      <c r="R1348" s="67" t="e" cm="1">
        <f t="array" ref="R1348">_xlfn.CHOOSECOLS(_xlfn.CHOOSEROWS(_xlfn._xlws.FILTER(표2[],표2[DWG No.]=C1348,""),1),6)</f>
        <v>#VALUE!</v>
      </c>
      <c r="S1348" s="67" t="e" cm="1">
        <f t="array" ref="S1348">_xlfn.CHOOSECOLS(_xlfn.CHOOSEROWS(_xlfn._xlws.FILTER(표2[],(표2[DWG No.]=C1348)*(ISNUMBER(표2[Rev.])),""),1),6)</f>
        <v>#VALUE!</v>
      </c>
    </row>
    <row r="1349" spans="1:19" ht="18" customHeight="1" x14ac:dyDescent="0.45">
      <c r="A1349" s="64">
        <v>1344</v>
      </c>
      <c r="B1349" s="49" t="s">
        <v>2912</v>
      </c>
      <c r="C1349" s="55" t="s">
        <v>4612</v>
      </c>
      <c r="D1349" s="49" t="s">
        <v>4613</v>
      </c>
      <c r="E1349" s="56" t="s">
        <v>4614</v>
      </c>
      <c r="F1349" s="49" t="s">
        <v>6</v>
      </c>
      <c r="G1349" s="48">
        <v>43136</v>
      </c>
      <c r="H1349" s="48">
        <v>43150</v>
      </c>
      <c r="I1349" s="48">
        <v>43136</v>
      </c>
      <c r="J1349" s="49" t="s">
        <v>4579</v>
      </c>
      <c r="K1349" s="58" t="s">
        <v>5032</v>
      </c>
      <c r="L1349" s="49" t="s">
        <v>65</v>
      </c>
      <c r="M1349" s="48">
        <v>43152</v>
      </c>
      <c r="N1349" s="52" t="s">
        <v>3153</v>
      </c>
      <c r="O1349" s="49" t="s">
        <v>6</v>
      </c>
      <c r="P1349" s="49" t="s">
        <v>65</v>
      </c>
      <c r="Q1349" s="52" t="s">
        <v>160</v>
      </c>
      <c r="R1349" s="67" t="e" cm="1">
        <f t="array" ref="R1349">_xlfn.CHOOSECOLS(_xlfn.CHOOSEROWS(_xlfn._xlws.FILTER(표2[],표2[DWG No.]=C1349,""),1),6)</f>
        <v>#VALUE!</v>
      </c>
      <c r="S1349" s="67" t="e" cm="1">
        <f t="array" ref="S1349">_xlfn.CHOOSECOLS(_xlfn.CHOOSEROWS(_xlfn._xlws.FILTER(표2[],(표2[DWG No.]=C1349)*(ISNUMBER(표2[Rev.])),""),1),6)</f>
        <v>#VALUE!</v>
      </c>
    </row>
    <row r="1350" spans="1:19" ht="18" customHeight="1" x14ac:dyDescent="0.45">
      <c r="A1350" s="64">
        <v>1345</v>
      </c>
      <c r="B1350" s="49" t="s">
        <v>2912</v>
      </c>
      <c r="C1350" s="55" t="s">
        <v>4615</v>
      </c>
      <c r="D1350" s="49" t="s">
        <v>4616</v>
      </c>
      <c r="E1350" s="56" t="s">
        <v>4617</v>
      </c>
      <c r="F1350" s="49" t="s">
        <v>6</v>
      </c>
      <c r="G1350" s="48">
        <v>43136</v>
      </c>
      <c r="H1350" s="48">
        <v>43150</v>
      </c>
      <c r="I1350" s="48">
        <v>43798</v>
      </c>
      <c r="J1350" s="49" t="s">
        <v>3325</v>
      </c>
      <c r="K1350" s="58" t="s">
        <v>5032</v>
      </c>
      <c r="L1350" s="49" t="s">
        <v>160</v>
      </c>
      <c r="M1350" s="48">
        <v>43798</v>
      </c>
      <c r="N1350" s="52" t="s">
        <v>3191</v>
      </c>
      <c r="O1350" s="49" t="s">
        <v>6</v>
      </c>
      <c r="P1350" s="49" t="s">
        <v>160</v>
      </c>
      <c r="Q1350" s="52" t="s">
        <v>160</v>
      </c>
      <c r="R1350" s="67" t="e" cm="1">
        <f t="array" ref="R1350">_xlfn.CHOOSECOLS(_xlfn.CHOOSEROWS(_xlfn._xlws.FILTER(표2[],표2[DWG No.]=C1350,""),1),6)</f>
        <v>#VALUE!</v>
      </c>
      <c r="S1350" s="67" t="e" cm="1">
        <f t="array" ref="S1350">_xlfn.CHOOSECOLS(_xlfn.CHOOSEROWS(_xlfn._xlws.FILTER(표2[],(표2[DWG No.]=C1350)*(ISNUMBER(표2[Rev.])),""),1),6)</f>
        <v>#VALUE!</v>
      </c>
    </row>
    <row r="1351" spans="1:19" ht="18" customHeight="1" x14ac:dyDescent="0.45">
      <c r="A1351" s="64">
        <v>1346</v>
      </c>
      <c r="B1351" s="49" t="s">
        <v>2912</v>
      </c>
      <c r="C1351" s="55" t="s">
        <v>4618</v>
      </c>
      <c r="D1351" s="49" t="s">
        <v>4619</v>
      </c>
      <c r="E1351" s="56" t="s">
        <v>4620</v>
      </c>
      <c r="F1351" s="49" t="s">
        <v>6</v>
      </c>
      <c r="G1351" s="48">
        <v>43136</v>
      </c>
      <c r="H1351" s="48">
        <v>43150</v>
      </c>
      <c r="I1351" s="48">
        <v>43798</v>
      </c>
      <c r="J1351" s="49" t="s">
        <v>3325</v>
      </c>
      <c r="K1351" s="58" t="s">
        <v>5032</v>
      </c>
      <c r="L1351" s="49" t="s">
        <v>160</v>
      </c>
      <c r="M1351" s="48">
        <v>43798</v>
      </c>
      <c r="N1351" s="52" t="s">
        <v>3191</v>
      </c>
      <c r="O1351" s="49" t="s">
        <v>6</v>
      </c>
      <c r="P1351" s="49" t="s">
        <v>160</v>
      </c>
      <c r="Q1351" s="52" t="s">
        <v>160</v>
      </c>
      <c r="R1351" s="67" t="e" cm="1">
        <f t="array" ref="R1351">_xlfn.CHOOSECOLS(_xlfn.CHOOSEROWS(_xlfn._xlws.FILTER(표2[],표2[DWG No.]=C1351,""),1),6)</f>
        <v>#VALUE!</v>
      </c>
      <c r="S1351" s="67" t="e" cm="1">
        <f t="array" ref="S1351">_xlfn.CHOOSECOLS(_xlfn.CHOOSEROWS(_xlfn._xlws.FILTER(표2[],(표2[DWG No.]=C1351)*(ISNUMBER(표2[Rev.])),""),1),6)</f>
        <v>#VALUE!</v>
      </c>
    </row>
    <row r="1352" spans="1:19" ht="18" customHeight="1" x14ac:dyDescent="0.45">
      <c r="A1352" s="64">
        <v>1347</v>
      </c>
      <c r="B1352" s="49" t="s">
        <v>2912</v>
      </c>
      <c r="C1352" s="55" t="s">
        <v>4621</v>
      </c>
      <c r="D1352" s="49" t="s">
        <v>4622</v>
      </c>
      <c r="E1352" s="56" t="s">
        <v>4623</v>
      </c>
      <c r="F1352" s="49" t="s">
        <v>6</v>
      </c>
      <c r="G1352" s="48">
        <v>43136</v>
      </c>
      <c r="H1352" s="48">
        <v>43150</v>
      </c>
      <c r="I1352" s="48">
        <v>43187</v>
      </c>
      <c r="J1352" s="49" t="s">
        <v>4202</v>
      </c>
      <c r="K1352" s="58" t="s">
        <v>7</v>
      </c>
      <c r="L1352" s="49">
        <v>0</v>
      </c>
      <c r="M1352" s="61">
        <v>43208</v>
      </c>
      <c r="N1352" s="51" t="s">
        <v>4203</v>
      </c>
      <c r="O1352" s="49" t="s">
        <v>7</v>
      </c>
      <c r="P1352" s="51">
        <v>0</v>
      </c>
      <c r="Q1352" s="51" t="s">
        <v>5002</v>
      </c>
      <c r="R1352" s="67" t="e" cm="1">
        <f t="array" ref="R1352">_xlfn.CHOOSECOLS(_xlfn.CHOOSEROWS(_xlfn._xlws.FILTER(표2[],표2[DWG No.]=C1352,""),1),6)</f>
        <v>#VALUE!</v>
      </c>
      <c r="S1352" s="67" t="e" cm="1">
        <f t="array" ref="S1352">_xlfn.CHOOSECOLS(_xlfn.CHOOSEROWS(_xlfn._xlws.FILTER(표2[],(표2[DWG No.]=C1352)*(ISNUMBER(표2[Rev.])),""),1),6)</f>
        <v>#VALUE!</v>
      </c>
    </row>
    <row r="1353" spans="1:19" ht="18" customHeight="1" x14ac:dyDescent="0.45">
      <c r="A1353" s="64">
        <v>1348</v>
      </c>
      <c r="B1353" s="49" t="s">
        <v>2912</v>
      </c>
      <c r="C1353" s="55" t="s">
        <v>4624</v>
      </c>
      <c r="D1353" s="49" t="s">
        <v>4625</v>
      </c>
      <c r="E1353" s="56" t="s">
        <v>4626</v>
      </c>
      <c r="F1353" s="49" t="s">
        <v>6</v>
      </c>
      <c r="G1353" s="48">
        <v>43136</v>
      </c>
      <c r="H1353" s="48">
        <v>43150</v>
      </c>
      <c r="I1353" s="48">
        <v>43808</v>
      </c>
      <c r="J1353" s="49" t="s">
        <v>4627</v>
      </c>
      <c r="K1353" s="58" t="s">
        <v>5032</v>
      </c>
      <c r="L1353" s="49" t="s">
        <v>164</v>
      </c>
      <c r="M1353" s="62"/>
      <c r="N1353" s="52"/>
      <c r="O1353" s="49" t="s">
        <v>6</v>
      </c>
      <c r="P1353" s="52" t="s">
        <v>164</v>
      </c>
      <c r="Q1353" s="52" t="s">
        <v>65</v>
      </c>
      <c r="R1353" s="67" t="e" cm="1">
        <f t="array" ref="R1353">_xlfn.CHOOSECOLS(_xlfn.CHOOSEROWS(_xlfn._xlws.FILTER(표2[],표2[DWG No.]=C1353,""),1),6)</f>
        <v>#VALUE!</v>
      </c>
      <c r="S1353" s="67" t="e" cm="1">
        <f t="array" ref="S1353">_xlfn.CHOOSECOLS(_xlfn.CHOOSEROWS(_xlfn._xlws.FILTER(표2[],(표2[DWG No.]=C1353)*(ISNUMBER(표2[Rev.])),""),1),6)</f>
        <v>#VALUE!</v>
      </c>
    </row>
    <row r="1354" spans="1:19" ht="18" customHeight="1" x14ac:dyDescent="0.45">
      <c r="A1354" s="64">
        <v>1349</v>
      </c>
      <c r="B1354" s="49" t="s">
        <v>2912</v>
      </c>
      <c r="C1354" s="55" t="s">
        <v>4628</v>
      </c>
      <c r="D1354" s="49" t="s">
        <v>4629</v>
      </c>
      <c r="E1354" s="56" t="s">
        <v>4630</v>
      </c>
      <c r="F1354" s="49" t="s">
        <v>6</v>
      </c>
      <c r="G1354" s="48">
        <v>43136</v>
      </c>
      <c r="H1354" s="48">
        <v>43150</v>
      </c>
      <c r="I1354" s="48">
        <v>43222</v>
      </c>
      <c r="J1354" s="49" t="s">
        <v>4019</v>
      </c>
      <c r="K1354" s="58" t="s">
        <v>7</v>
      </c>
      <c r="L1354" s="49">
        <v>0</v>
      </c>
      <c r="M1354" s="62">
        <v>43238</v>
      </c>
      <c r="N1354" s="52" t="s">
        <v>3153</v>
      </c>
      <c r="O1354" s="49" t="s">
        <v>7</v>
      </c>
      <c r="P1354" s="52">
        <v>0</v>
      </c>
      <c r="Q1354" s="51" t="s">
        <v>5002</v>
      </c>
      <c r="R1354" s="67" t="e" cm="1">
        <f t="array" ref="R1354">_xlfn.CHOOSECOLS(_xlfn.CHOOSEROWS(_xlfn._xlws.FILTER(표2[],표2[DWG No.]=C1354,""),1),6)</f>
        <v>#VALUE!</v>
      </c>
      <c r="S1354" s="67" t="e" cm="1">
        <f t="array" ref="S1354">_xlfn.CHOOSECOLS(_xlfn.CHOOSEROWS(_xlfn._xlws.FILTER(표2[],(표2[DWG No.]=C1354)*(ISNUMBER(표2[Rev.])),""),1),6)</f>
        <v>#VALUE!</v>
      </c>
    </row>
    <row r="1355" spans="1:19" ht="18" customHeight="1" x14ac:dyDescent="0.45">
      <c r="A1355" s="64">
        <v>1350</v>
      </c>
      <c r="B1355" s="49" t="s">
        <v>2912</v>
      </c>
      <c r="C1355" s="55" t="s">
        <v>4631</v>
      </c>
      <c r="D1355" s="49" t="s">
        <v>4632</v>
      </c>
      <c r="E1355" s="56" t="s">
        <v>4633</v>
      </c>
      <c r="F1355" s="49" t="s">
        <v>6</v>
      </c>
      <c r="G1355" s="48">
        <v>43136</v>
      </c>
      <c r="H1355" s="48">
        <v>43150</v>
      </c>
      <c r="I1355" s="48">
        <v>43798</v>
      </c>
      <c r="J1355" s="49" t="s">
        <v>4634</v>
      </c>
      <c r="K1355" s="58" t="s">
        <v>5032</v>
      </c>
      <c r="L1355" s="49" t="s">
        <v>160</v>
      </c>
      <c r="M1355" s="62">
        <v>43798</v>
      </c>
      <c r="N1355" s="52" t="s">
        <v>3191</v>
      </c>
      <c r="O1355" s="49" t="s">
        <v>6</v>
      </c>
      <c r="P1355" s="52" t="s">
        <v>160</v>
      </c>
      <c r="Q1355" s="52" t="s">
        <v>160</v>
      </c>
      <c r="R1355" s="67" t="e" cm="1">
        <f t="array" ref="R1355">_xlfn.CHOOSECOLS(_xlfn.CHOOSEROWS(_xlfn._xlws.FILTER(표2[],표2[DWG No.]=C1355,""),1),6)</f>
        <v>#VALUE!</v>
      </c>
      <c r="S1355" s="67" t="e" cm="1">
        <f t="array" ref="S1355">_xlfn.CHOOSECOLS(_xlfn.CHOOSEROWS(_xlfn._xlws.FILTER(표2[],(표2[DWG No.]=C1355)*(ISNUMBER(표2[Rev.])),""),1),6)</f>
        <v>#VALUE!</v>
      </c>
    </row>
    <row r="1356" spans="1:19" ht="18" customHeight="1" x14ac:dyDescent="0.45">
      <c r="A1356" s="64">
        <v>1351</v>
      </c>
      <c r="B1356" s="49" t="s">
        <v>2912</v>
      </c>
      <c r="C1356" s="55" t="s">
        <v>4635</v>
      </c>
      <c r="D1356" s="49" t="s">
        <v>4636</v>
      </c>
      <c r="E1356" s="56" t="s">
        <v>4637</v>
      </c>
      <c r="F1356" s="49" t="s">
        <v>6</v>
      </c>
      <c r="G1356" s="48">
        <v>43136</v>
      </c>
      <c r="H1356" s="48">
        <v>43150</v>
      </c>
      <c r="I1356" s="48">
        <v>43798</v>
      </c>
      <c r="J1356" s="49" t="s">
        <v>4638</v>
      </c>
      <c r="K1356" s="58" t="s">
        <v>7</v>
      </c>
      <c r="L1356" s="49">
        <v>1</v>
      </c>
      <c r="M1356" s="61">
        <v>43798</v>
      </c>
      <c r="N1356" s="51" t="s">
        <v>3191</v>
      </c>
      <c r="O1356" s="49" t="s">
        <v>7</v>
      </c>
      <c r="P1356" s="51">
        <v>1</v>
      </c>
      <c r="Q1356" s="51" t="s">
        <v>5002</v>
      </c>
      <c r="R1356" s="67" t="e" cm="1">
        <f t="array" ref="R1356">_xlfn.CHOOSECOLS(_xlfn.CHOOSEROWS(_xlfn._xlws.FILTER(표2[],표2[DWG No.]=C1356,""),1),6)</f>
        <v>#VALUE!</v>
      </c>
      <c r="S1356" s="67" t="e" cm="1">
        <f t="array" ref="S1356">_xlfn.CHOOSECOLS(_xlfn.CHOOSEROWS(_xlfn._xlws.FILTER(표2[],(표2[DWG No.]=C1356)*(ISNUMBER(표2[Rev.])),""),1),6)</f>
        <v>#VALUE!</v>
      </c>
    </row>
    <row r="1357" spans="1:19" ht="18" customHeight="1" x14ac:dyDescent="0.45">
      <c r="A1357" s="64">
        <v>1352</v>
      </c>
      <c r="B1357" s="49" t="s">
        <v>2912</v>
      </c>
      <c r="C1357" s="55" t="s">
        <v>4639</v>
      </c>
      <c r="D1357" s="49" t="s">
        <v>4640</v>
      </c>
      <c r="E1357" s="56" t="s">
        <v>4641</v>
      </c>
      <c r="F1357" s="49" t="s">
        <v>6</v>
      </c>
      <c r="G1357" s="48">
        <v>43136</v>
      </c>
      <c r="H1357" s="48">
        <v>43150</v>
      </c>
      <c r="I1357" s="48">
        <v>43395</v>
      </c>
      <c r="J1357" s="51" t="s">
        <v>4227</v>
      </c>
      <c r="K1357" s="58" t="s">
        <v>7</v>
      </c>
      <c r="L1357" s="49">
        <v>2</v>
      </c>
      <c r="M1357" s="61">
        <v>43409</v>
      </c>
      <c r="N1357" s="51" t="s">
        <v>3153</v>
      </c>
      <c r="O1357" s="49" t="s">
        <v>7</v>
      </c>
      <c r="P1357" s="51">
        <v>2</v>
      </c>
      <c r="Q1357" s="51" t="s">
        <v>5002</v>
      </c>
      <c r="R1357" s="67" t="e" cm="1">
        <f t="array" ref="R1357">_xlfn.CHOOSECOLS(_xlfn.CHOOSEROWS(_xlfn._xlws.FILTER(표2[],표2[DWG No.]=C1357,""),1),6)</f>
        <v>#VALUE!</v>
      </c>
      <c r="S1357" s="67" t="e" cm="1">
        <f t="array" ref="S1357">_xlfn.CHOOSECOLS(_xlfn.CHOOSEROWS(_xlfn._xlws.FILTER(표2[],(표2[DWG No.]=C1357)*(ISNUMBER(표2[Rev.])),""),1),6)</f>
        <v>#VALUE!</v>
      </c>
    </row>
    <row r="1358" spans="1:19" ht="18" customHeight="1" x14ac:dyDescent="0.45">
      <c r="A1358" s="64">
        <v>1353</v>
      </c>
      <c r="B1358" s="49" t="s">
        <v>2912</v>
      </c>
      <c r="C1358" s="55" t="s">
        <v>4642</v>
      </c>
      <c r="D1358" s="49" t="s">
        <v>4643</v>
      </c>
      <c r="E1358" s="56" t="s">
        <v>4644</v>
      </c>
      <c r="F1358" s="49" t="s">
        <v>6</v>
      </c>
      <c r="G1358" s="48">
        <v>43136</v>
      </c>
      <c r="H1358" s="48">
        <v>43150</v>
      </c>
      <c r="I1358" s="48">
        <v>43396</v>
      </c>
      <c r="J1358" s="51" t="s">
        <v>4645</v>
      </c>
      <c r="K1358" s="58" t="s">
        <v>7</v>
      </c>
      <c r="L1358" s="49">
        <v>2</v>
      </c>
      <c r="M1358" s="61">
        <v>43447</v>
      </c>
      <c r="N1358" s="51" t="s">
        <v>3206</v>
      </c>
      <c r="O1358" s="49" t="s">
        <v>7</v>
      </c>
      <c r="P1358" s="51">
        <v>2</v>
      </c>
      <c r="Q1358" s="51" t="s">
        <v>5002</v>
      </c>
      <c r="R1358" s="67" t="e" cm="1">
        <f t="array" ref="R1358">_xlfn.CHOOSECOLS(_xlfn.CHOOSEROWS(_xlfn._xlws.FILTER(표2[],표2[DWG No.]=C1358,""),1),6)</f>
        <v>#VALUE!</v>
      </c>
      <c r="S1358" s="67" t="e" cm="1">
        <f t="array" ref="S1358">_xlfn.CHOOSECOLS(_xlfn.CHOOSEROWS(_xlfn._xlws.FILTER(표2[],(표2[DWG No.]=C1358)*(ISNUMBER(표2[Rev.])),""),1),6)</f>
        <v>#VALUE!</v>
      </c>
    </row>
    <row r="1359" spans="1:19" ht="18" customHeight="1" x14ac:dyDescent="0.45">
      <c r="A1359" s="64">
        <v>1354</v>
      </c>
      <c r="B1359" s="49" t="s">
        <v>2912</v>
      </c>
      <c r="C1359" s="55" t="s">
        <v>4646</v>
      </c>
      <c r="D1359" s="49" t="s">
        <v>4647</v>
      </c>
      <c r="E1359" s="56" t="s">
        <v>4648</v>
      </c>
      <c r="F1359" s="49" t="s">
        <v>6</v>
      </c>
      <c r="G1359" s="48">
        <v>43136</v>
      </c>
      <c r="H1359" s="48">
        <v>43150</v>
      </c>
      <c r="I1359" s="48">
        <v>43395</v>
      </c>
      <c r="J1359" s="51" t="s">
        <v>4227</v>
      </c>
      <c r="K1359" s="58" t="s">
        <v>7</v>
      </c>
      <c r="L1359" s="49">
        <v>1</v>
      </c>
      <c r="M1359" s="61">
        <v>43409</v>
      </c>
      <c r="N1359" s="51" t="s">
        <v>3153</v>
      </c>
      <c r="O1359" s="49" t="s">
        <v>7</v>
      </c>
      <c r="P1359" s="51">
        <v>1</v>
      </c>
      <c r="Q1359" s="51" t="s">
        <v>5002</v>
      </c>
      <c r="R1359" s="67" t="e" cm="1">
        <f t="array" ref="R1359">_xlfn.CHOOSECOLS(_xlfn.CHOOSEROWS(_xlfn._xlws.FILTER(표2[],표2[DWG No.]=C1359,""),1),6)</f>
        <v>#VALUE!</v>
      </c>
      <c r="S1359" s="67" t="e" cm="1">
        <f t="array" ref="S1359">_xlfn.CHOOSECOLS(_xlfn.CHOOSEROWS(_xlfn._xlws.FILTER(표2[],(표2[DWG No.]=C1359)*(ISNUMBER(표2[Rev.])),""),1),6)</f>
        <v>#VALUE!</v>
      </c>
    </row>
    <row r="1360" spans="1:19" ht="18" customHeight="1" x14ac:dyDescent="0.45">
      <c r="A1360" s="64">
        <v>1355</v>
      </c>
      <c r="B1360" s="49" t="s">
        <v>2912</v>
      </c>
      <c r="C1360" s="55" t="s">
        <v>4649</v>
      </c>
      <c r="D1360" s="49" t="s">
        <v>4650</v>
      </c>
      <c r="E1360" s="56" t="s">
        <v>4651</v>
      </c>
      <c r="F1360" s="49" t="s">
        <v>6</v>
      </c>
      <c r="G1360" s="48">
        <v>43136</v>
      </c>
      <c r="H1360" s="48">
        <v>43150</v>
      </c>
      <c r="I1360" s="48">
        <v>43395</v>
      </c>
      <c r="J1360" s="51" t="s">
        <v>4227</v>
      </c>
      <c r="K1360" s="58" t="s">
        <v>7</v>
      </c>
      <c r="L1360" s="49">
        <v>1</v>
      </c>
      <c r="M1360" s="61">
        <v>43409</v>
      </c>
      <c r="N1360" s="51" t="s">
        <v>3153</v>
      </c>
      <c r="O1360" s="49" t="s">
        <v>7</v>
      </c>
      <c r="P1360" s="51">
        <v>1</v>
      </c>
      <c r="Q1360" s="51" t="s">
        <v>5002</v>
      </c>
      <c r="R1360" s="67" t="e" cm="1">
        <f t="array" ref="R1360">_xlfn.CHOOSECOLS(_xlfn.CHOOSEROWS(_xlfn._xlws.FILTER(표2[],표2[DWG No.]=C1360,""),1),6)</f>
        <v>#VALUE!</v>
      </c>
      <c r="S1360" s="67" t="e" cm="1">
        <f t="array" ref="S1360">_xlfn.CHOOSECOLS(_xlfn.CHOOSEROWS(_xlfn._xlws.FILTER(표2[],(표2[DWG No.]=C1360)*(ISNUMBER(표2[Rev.])),""),1),6)</f>
        <v>#VALUE!</v>
      </c>
    </row>
    <row r="1361" spans="1:19" ht="18" customHeight="1" x14ac:dyDescent="0.45">
      <c r="A1361" s="64">
        <v>1356</v>
      </c>
      <c r="B1361" s="49" t="s">
        <v>2912</v>
      </c>
      <c r="C1361" s="55" t="s">
        <v>4652</v>
      </c>
      <c r="D1361" s="49" t="s">
        <v>4653</v>
      </c>
      <c r="E1361" s="56" t="s">
        <v>4654</v>
      </c>
      <c r="F1361" s="49" t="s">
        <v>6</v>
      </c>
      <c r="G1361" s="48">
        <v>43136</v>
      </c>
      <c r="H1361" s="48">
        <v>43150</v>
      </c>
      <c r="I1361" s="48">
        <v>43395</v>
      </c>
      <c r="J1361" s="51" t="s">
        <v>4227</v>
      </c>
      <c r="K1361" s="58" t="s">
        <v>7</v>
      </c>
      <c r="L1361" s="49">
        <v>2</v>
      </c>
      <c r="M1361" s="61">
        <v>43395</v>
      </c>
      <c r="N1361" s="51" t="s">
        <v>3153</v>
      </c>
      <c r="O1361" s="49"/>
      <c r="P1361" s="51">
        <v>2</v>
      </c>
      <c r="Q1361" s="51" t="s">
        <v>5002</v>
      </c>
      <c r="R1361" s="67" t="e" cm="1">
        <f t="array" ref="R1361">_xlfn.CHOOSECOLS(_xlfn.CHOOSEROWS(_xlfn._xlws.FILTER(표2[],표2[DWG No.]=C1361,""),1),6)</f>
        <v>#VALUE!</v>
      </c>
      <c r="S1361" s="67" t="e" cm="1">
        <f t="array" ref="S1361">_xlfn.CHOOSECOLS(_xlfn.CHOOSEROWS(_xlfn._xlws.FILTER(표2[],(표2[DWG No.]=C1361)*(ISNUMBER(표2[Rev.])),""),1),6)</f>
        <v>#VALUE!</v>
      </c>
    </row>
    <row r="1362" spans="1:19" ht="18" customHeight="1" x14ac:dyDescent="0.45">
      <c r="A1362" s="64">
        <v>1357</v>
      </c>
      <c r="B1362" s="49" t="s">
        <v>2912</v>
      </c>
      <c r="C1362" s="55" t="s">
        <v>4655</v>
      </c>
      <c r="D1362" s="49" t="s">
        <v>4656</v>
      </c>
      <c r="E1362" s="56" t="s">
        <v>4657</v>
      </c>
      <c r="F1362" s="49" t="s">
        <v>6</v>
      </c>
      <c r="G1362" s="48">
        <v>43136</v>
      </c>
      <c r="H1362" s="48">
        <v>43150</v>
      </c>
      <c r="I1362" s="48">
        <v>43395</v>
      </c>
      <c r="J1362" s="51" t="s">
        <v>4227</v>
      </c>
      <c r="K1362" s="58" t="s">
        <v>7</v>
      </c>
      <c r="L1362" s="49">
        <v>1</v>
      </c>
      <c r="M1362" s="61">
        <v>43409</v>
      </c>
      <c r="N1362" s="51" t="s">
        <v>3153</v>
      </c>
      <c r="O1362" s="58" t="s">
        <v>7</v>
      </c>
      <c r="P1362" s="51">
        <v>1</v>
      </c>
      <c r="Q1362" s="51" t="s">
        <v>5002</v>
      </c>
      <c r="R1362" s="67" t="e" cm="1">
        <f t="array" ref="R1362">_xlfn.CHOOSECOLS(_xlfn.CHOOSEROWS(_xlfn._xlws.FILTER(표2[],표2[DWG No.]=C1362,""),1),6)</f>
        <v>#VALUE!</v>
      </c>
      <c r="S1362" s="67" t="e" cm="1">
        <f t="array" ref="S1362">_xlfn.CHOOSECOLS(_xlfn.CHOOSEROWS(_xlfn._xlws.FILTER(표2[],(표2[DWG No.]=C1362)*(ISNUMBER(표2[Rev.])),""),1),6)</f>
        <v>#VALUE!</v>
      </c>
    </row>
    <row r="1363" spans="1:19" ht="18" customHeight="1" x14ac:dyDescent="0.45">
      <c r="A1363" s="64">
        <v>1358</v>
      </c>
      <c r="B1363" s="49" t="s">
        <v>2912</v>
      </c>
      <c r="C1363" s="55" t="s">
        <v>4658</v>
      </c>
      <c r="D1363" s="49" t="s">
        <v>4659</v>
      </c>
      <c r="E1363" s="56" t="s">
        <v>4660</v>
      </c>
      <c r="F1363" s="49" t="s">
        <v>6</v>
      </c>
      <c r="G1363" s="48">
        <v>43136</v>
      </c>
      <c r="H1363" s="48">
        <v>43150</v>
      </c>
      <c r="I1363" s="48">
        <v>43532</v>
      </c>
      <c r="J1363" s="49" t="s">
        <v>4584</v>
      </c>
      <c r="K1363" s="58" t="s">
        <v>7</v>
      </c>
      <c r="L1363" s="49">
        <v>0</v>
      </c>
      <c r="M1363" s="62"/>
      <c r="N1363" s="49" t="s">
        <v>4585</v>
      </c>
      <c r="O1363" s="58" t="s">
        <v>7</v>
      </c>
      <c r="P1363" s="52"/>
      <c r="Q1363" s="51" t="s">
        <v>5002</v>
      </c>
      <c r="R1363" s="67" t="e" cm="1">
        <f t="array" ref="R1363">_xlfn.CHOOSECOLS(_xlfn.CHOOSEROWS(_xlfn._xlws.FILTER(표2[],표2[DWG No.]=C1363,""),1),6)</f>
        <v>#VALUE!</v>
      </c>
      <c r="S1363" s="67" t="e" cm="1">
        <f t="array" ref="S1363">_xlfn.CHOOSECOLS(_xlfn.CHOOSEROWS(_xlfn._xlws.FILTER(표2[],(표2[DWG No.]=C1363)*(ISNUMBER(표2[Rev.])),""),1),6)</f>
        <v>#VALUE!</v>
      </c>
    </row>
    <row r="1364" spans="1:19" ht="18" customHeight="1" x14ac:dyDescent="0.45">
      <c r="A1364" s="64">
        <v>1359</v>
      </c>
      <c r="B1364" s="49" t="s">
        <v>2912</v>
      </c>
      <c r="C1364" s="55" t="s">
        <v>4661</v>
      </c>
      <c r="D1364" s="49" t="s">
        <v>4662</v>
      </c>
      <c r="E1364" s="56" t="s">
        <v>4663</v>
      </c>
      <c r="F1364" s="49" t="s">
        <v>6</v>
      </c>
      <c r="G1364" s="48">
        <v>43136</v>
      </c>
      <c r="H1364" s="48">
        <v>43150</v>
      </c>
      <c r="I1364" s="48">
        <v>43395</v>
      </c>
      <c r="J1364" s="51" t="s">
        <v>4227</v>
      </c>
      <c r="K1364" s="58" t="s">
        <v>7</v>
      </c>
      <c r="L1364" s="49">
        <v>1</v>
      </c>
      <c r="M1364" s="61">
        <v>43403</v>
      </c>
      <c r="N1364" s="51" t="s">
        <v>3153</v>
      </c>
      <c r="O1364" s="58" t="s">
        <v>7</v>
      </c>
      <c r="P1364" s="51">
        <v>1</v>
      </c>
      <c r="Q1364" s="51" t="s">
        <v>160</v>
      </c>
      <c r="R1364" s="67" t="e" cm="1">
        <f t="array" ref="R1364">_xlfn.CHOOSECOLS(_xlfn.CHOOSEROWS(_xlfn._xlws.FILTER(표2[],표2[DWG No.]=C1364,""),1),6)</f>
        <v>#VALUE!</v>
      </c>
      <c r="S1364" s="67" t="e" cm="1">
        <f t="array" ref="S1364">_xlfn.CHOOSECOLS(_xlfn.CHOOSEROWS(_xlfn._xlws.FILTER(표2[],(표2[DWG No.]=C1364)*(ISNUMBER(표2[Rev.])),""),1),6)</f>
        <v>#VALUE!</v>
      </c>
    </row>
    <row r="1365" spans="1:19" ht="18" customHeight="1" x14ac:dyDescent="0.45">
      <c r="A1365" s="64">
        <v>1360</v>
      </c>
      <c r="B1365" s="49" t="s">
        <v>2912</v>
      </c>
      <c r="C1365" s="55" t="s">
        <v>4664</v>
      </c>
      <c r="D1365" s="49" t="s">
        <v>4665</v>
      </c>
      <c r="E1365" s="56" t="s">
        <v>4666</v>
      </c>
      <c r="F1365" s="49" t="s">
        <v>6</v>
      </c>
      <c r="G1365" s="48">
        <v>43136</v>
      </c>
      <c r="H1365" s="48">
        <v>43150</v>
      </c>
      <c r="I1365" s="48">
        <v>43222</v>
      </c>
      <c r="J1365" s="49" t="s">
        <v>4601</v>
      </c>
      <c r="K1365" s="58" t="s">
        <v>7</v>
      </c>
      <c r="L1365" s="49">
        <v>1</v>
      </c>
      <c r="M1365" s="62">
        <v>43238</v>
      </c>
      <c r="N1365" s="52" t="s">
        <v>3153</v>
      </c>
      <c r="O1365" s="58" t="s">
        <v>7</v>
      </c>
      <c r="P1365" s="52">
        <v>1</v>
      </c>
      <c r="Q1365" s="52" t="s">
        <v>2702</v>
      </c>
      <c r="R1365" s="67" t="e" cm="1">
        <f t="array" ref="R1365">_xlfn.CHOOSECOLS(_xlfn.CHOOSEROWS(_xlfn._xlws.FILTER(표2[],표2[DWG No.]=C1365,""),1),6)</f>
        <v>#VALUE!</v>
      </c>
      <c r="S1365" s="67" t="e" cm="1">
        <f t="array" ref="S1365">_xlfn.CHOOSECOLS(_xlfn.CHOOSEROWS(_xlfn._xlws.FILTER(표2[],(표2[DWG No.]=C1365)*(ISNUMBER(표2[Rev.])),""),1),6)</f>
        <v>#VALUE!</v>
      </c>
    </row>
    <row r="1366" spans="1:19" ht="18" customHeight="1" x14ac:dyDescent="0.45">
      <c r="A1366" s="64">
        <v>1361</v>
      </c>
      <c r="B1366" s="49" t="s">
        <v>2912</v>
      </c>
      <c r="C1366" s="55" t="s">
        <v>4667</v>
      </c>
      <c r="D1366" s="49" t="s">
        <v>4668</v>
      </c>
      <c r="E1366" s="56" t="s">
        <v>4669</v>
      </c>
      <c r="F1366" s="49" t="s">
        <v>6</v>
      </c>
      <c r="G1366" s="48">
        <v>43136</v>
      </c>
      <c r="H1366" s="48">
        <v>43150</v>
      </c>
      <c r="I1366" s="48">
        <v>43395</v>
      </c>
      <c r="J1366" s="49" t="s">
        <v>4227</v>
      </c>
      <c r="K1366" s="58" t="s">
        <v>7</v>
      </c>
      <c r="L1366" s="49">
        <v>1</v>
      </c>
      <c r="M1366" s="61">
        <v>43403</v>
      </c>
      <c r="N1366" s="51" t="s">
        <v>3153</v>
      </c>
      <c r="O1366" s="58" t="s">
        <v>7</v>
      </c>
      <c r="P1366" s="51">
        <v>1</v>
      </c>
      <c r="Q1366" s="51" t="s">
        <v>5002</v>
      </c>
      <c r="R1366" s="67" t="e" cm="1">
        <f t="array" ref="R1366">_xlfn.CHOOSECOLS(_xlfn.CHOOSEROWS(_xlfn._xlws.FILTER(표2[],표2[DWG No.]=C1366,""),1),6)</f>
        <v>#VALUE!</v>
      </c>
      <c r="S1366" s="67" t="e" cm="1">
        <f t="array" ref="S1366">_xlfn.CHOOSECOLS(_xlfn.CHOOSEROWS(_xlfn._xlws.FILTER(표2[],(표2[DWG No.]=C1366)*(ISNUMBER(표2[Rev.])),""),1),6)</f>
        <v>#VALUE!</v>
      </c>
    </row>
    <row r="1367" spans="1:19" ht="18" customHeight="1" x14ac:dyDescent="0.45">
      <c r="A1367" s="64">
        <v>1362</v>
      </c>
      <c r="B1367" s="49" t="s">
        <v>2912</v>
      </c>
      <c r="C1367" s="55" t="s">
        <v>4670</v>
      </c>
      <c r="D1367" s="49">
        <v>156193</v>
      </c>
      <c r="E1367" s="56" t="s">
        <v>4671</v>
      </c>
      <c r="F1367" s="49" t="s">
        <v>6</v>
      </c>
      <c r="G1367" s="48">
        <v>43136</v>
      </c>
      <c r="H1367" s="48">
        <v>43150</v>
      </c>
      <c r="I1367" s="48">
        <v>43222</v>
      </c>
      <c r="J1367" s="49" t="s">
        <v>4019</v>
      </c>
      <c r="K1367" s="58" t="s">
        <v>7</v>
      </c>
      <c r="L1367" s="49">
        <v>0</v>
      </c>
      <c r="M1367" s="62">
        <v>43238</v>
      </c>
      <c r="N1367" s="52" t="s">
        <v>3153</v>
      </c>
      <c r="O1367" s="58" t="s">
        <v>7</v>
      </c>
      <c r="P1367" s="52">
        <v>0</v>
      </c>
      <c r="Q1367" s="51" t="s">
        <v>5002</v>
      </c>
      <c r="R1367" s="67" t="e" cm="1">
        <f t="array" ref="R1367">_xlfn.CHOOSECOLS(_xlfn.CHOOSEROWS(_xlfn._xlws.FILTER(표2[],표2[DWG No.]=C1367,""),1),6)</f>
        <v>#VALUE!</v>
      </c>
      <c r="S1367" s="67" t="e" cm="1">
        <f t="array" ref="S1367">_xlfn.CHOOSECOLS(_xlfn.CHOOSEROWS(_xlfn._xlws.FILTER(표2[],(표2[DWG No.]=C1367)*(ISNUMBER(표2[Rev.])),""),1),6)</f>
        <v>#VALUE!</v>
      </c>
    </row>
    <row r="1368" spans="1:19" ht="18" customHeight="1" x14ac:dyDescent="0.45">
      <c r="A1368" s="64">
        <v>1363</v>
      </c>
      <c r="B1368" s="49" t="s">
        <v>2912</v>
      </c>
      <c r="C1368" s="55" t="s">
        <v>4672</v>
      </c>
      <c r="D1368" s="49" t="s">
        <v>4673</v>
      </c>
      <c r="E1368" s="56" t="s">
        <v>4674</v>
      </c>
      <c r="F1368" s="49" t="s">
        <v>6</v>
      </c>
      <c r="G1368" s="48">
        <v>43136</v>
      </c>
      <c r="H1368" s="48">
        <v>43150</v>
      </c>
      <c r="I1368" s="48">
        <v>43539</v>
      </c>
      <c r="J1368" s="49" t="s">
        <v>3274</v>
      </c>
      <c r="K1368" s="58" t="s">
        <v>7</v>
      </c>
      <c r="L1368" s="49">
        <v>2</v>
      </c>
      <c r="M1368" s="62">
        <v>43539</v>
      </c>
      <c r="N1368" s="52" t="s">
        <v>3275</v>
      </c>
      <c r="O1368" s="58" t="s">
        <v>7</v>
      </c>
      <c r="P1368" s="52">
        <v>2</v>
      </c>
      <c r="Q1368" s="51" t="s">
        <v>5002</v>
      </c>
      <c r="R1368" s="67" t="e" cm="1">
        <f t="array" ref="R1368">_xlfn.CHOOSECOLS(_xlfn.CHOOSEROWS(_xlfn._xlws.FILTER(표2[],표2[DWG No.]=C1368,""),1),6)</f>
        <v>#VALUE!</v>
      </c>
      <c r="S1368" s="67" t="e" cm="1">
        <f t="array" ref="S1368">_xlfn.CHOOSECOLS(_xlfn.CHOOSEROWS(_xlfn._xlws.FILTER(표2[],(표2[DWG No.]=C1368)*(ISNUMBER(표2[Rev.])),""),1),6)</f>
        <v>#VALUE!</v>
      </c>
    </row>
    <row r="1369" spans="1:19" ht="18" customHeight="1" x14ac:dyDescent="0.45">
      <c r="A1369" s="64">
        <v>1364</v>
      </c>
      <c r="B1369" s="49" t="s">
        <v>2912</v>
      </c>
      <c r="C1369" s="55" t="s">
        <v>4675</v>
      </c>
      <c r="D1369" s="49" t="s">
        <v>4676</v>
      </c>
      <c r="E1369" s="56" t="s">
        <v>4677</v>
      </c>
      <c r="F1369" s="49" t="s">
        <v>6</v>
      </c>
      <c r="G1369" s="48">
        <v>43136</v>
      </c>
      <c r="H1369" s="48">
        <v>43150</v>
      </c>
      <c r="I1369" s="48">
        <v>43222</v>
      </c>
      <c r="J1369" s="49" t="s">
        <v>4019</v>
      </c>
      <c r="K1369" s="58" t="s">
        <v>7</v>
      </c>
      <c r="L1369" s="49">
        <v>0</v>
      </c>
      <c r="M1369" s="62">
        <v>43238</v>
      </c>
      <c r="N1369" s="52" t="s">
        <v>3153</v>
      </c>
      <c r="O1369" s="58" t="s">
        <v>7</v>
      </c>
      <c r="P1369" s="52">
        <v>0</v>
      </c>
      <c r="Q1369" s="51" t="s">
        <v>5002</v>
      </c>
      <c r="R1369" s="67" t="e" cm="1">
        <f t="array" ref="R1369">_xlfn.CHOOSECOLS(_xlfn.CHOOSEROWS(_xlfn._xlws.FILTER(표2[],표2[DWG No.]=C1369,""),1),6)</f>
        <v>#VALUE!</v>
      </c>
      <c r="S1369" s="67" t="e" cm="1">
        <f t="array" ref="S1369">_xlfn.CHOOSECOLS(_xlfn.CHOOSEROWS(_xlfn._xlws.FILTER(표2[],(표2[DWG No.]=C1369)*(ISNUMBER(표2[Rev.])),""),1),6)</f>
        <v>#VALUE!</v>
      </c>
    </row>
    <row r="1370" spans="1:19" ht="18" customHeight="1" x14ac:dyDescent="0.45">
      <c r="A1370" s="64">
        <v>1365</v>
      </c>
      <c r="B1370" s="49" t="s">
        <v>2912</v>
      </c>
      <c r="C1370" s="55" t="s">
        <v>4678</v>
      </c>
      <c r="D1370" s="49" t="s">
        <v>4679</v>
      </c>
      <c r="E1370" s="56" t="s">
        <v>4680</v>
      </c>
      <c r="F1370" s="49" t="s">
        <v>6</v>
      </c>
      <c r="G1370" s="48">
        <v>43136</v>
      </c>
      <c r="H1370" s="48">
        <v>43150</v>
      </c>
      <c r="I1370" s="48">
        <v>43532</v>
      </c>
      <c r="J1370" s="49" t="s">
        <v>4584</v>
      </c>
      <c r="K1370" s="58" t="s">
        <v>7</v>
      </c>
      <c r="L1370" s="49">
        <v>0</v>
      </c>
      <c r="M1370" s="62"/>
      <c r="N1370" s="49" t="s">
        <v>4585</v>
      </c>
      <c r="O1370" s="58" t="s">
        <v>7</v>
      </c>
      <c r="P1370" s="52"/>
      <c r="Q1370" s="51" t="s">
        <v>5002</v>
      </c>
      <c r="R1370" s="67" t="e" cm="1">
        <f t="array" ref="R1370">_xlfn.CHOOSECOLS(_xlfn.CHOOSEROWS(_xlfn._xlws.FILTER(표2[],표2[DWG No.]=C1370,""),1),6)</f>
        <v>#VALUE!</v>
      </c>
      <c r="S1370" s="67" t="e" cm="1">
        <f t="array" ref="S1370">_xlfn.CHOOSECOLS(_xlfn.CHOOSEROWS(_xlfn._xlws.FILTER(표2[],(표2[DWG No.]=C1370)*(ISNUMBER(표2[Rev.])),""),1),6)</f>
        <v>#VALUE!</v>
      </c>
    </row>
    <row r="1371" spans="1:19" ht="18" customHeight="1" x14ac:dyDescent="0.45">
      <c r="A1371" s="64">
        <v>1366</v>
      </c>
      <c r="B1371" s="49" t="s">
        <v>2912</v>
      </c>
      <c r="C1371" s="55" t="s">
        <v>4681</v>
      </c>
      <c r="D1371" s="49" t="s">
        <v>4682</v>
      </c>
      <c r="E1371" s="56" t="s">
        <v>4683</v>
      </c>
      <c r="F1371" s="49" t="s">
        <v>6</v>
      </c>
      <c r="G1371" s="48">
        <v>43136</v>
      </c>
      <c r="H1371" s="48">
        <v>43150</v>
      </c>
      <c r="I1371" s="48">
        <v>43222</v>
      </c>
      <c r="J1371" s="51" t="s">
        <v>4019</v>
      </c>
      <c r="K1371" s="58" t="s">
        <v>7</v>
      </c>
      <c r="L1371" s="49">
        <v>1</v>
      </c>
      <c r="M1371" s="63" t="s">
        <v>4684</v>
      </c>
      <c r="N1371" s="57" t="s">
        <v>4684</v>
      </c>
      <c r="O1371" s="49"/>
      <c r="P1371" s="51">
        <v>1</v>
      </c>
      <c r="Q1371" s="51" t="s">
        <v>5002</v>
      </c>
      <c r="R1371" s="67" t="e" cm="1">
        <f t="array" ref="R1371">_xlfn.CHOOSECOLS(_xlfn.CHOOSEROWS(_xlfn._xlws.FILTER(표2[],표2[DWG No.]=C1371,""),1),6)</f>
        <v>#VALUE!</v>
      </c>
      <c r="S1371" s="67" t="e" cm="1">
        <f t="array" ref="S1371">_xlfn.CHOOSECOLS(_xlfn.CHOOSEROWS(_xlfn._xlws.FILTER(표2[],(표2[DWG No.]=C1371)*(ISNUMBER(표2[Rev.])),""),1),6)</f>
        <v>#VALUE!</v>
      </c>
    </row>
    <row r="1372" spans="1:19" ht="18" customHeight="1" x14ac:dyDescent="0.45">
      <c r="A1372" s="64">
        <v>1367</v>
      </c>
      <c r="B1372" s="49" t="s">
        <v>2912</v>
      </c>
      <c r="C1372" s="55" t="s">
        <v>4685</v>
      </c>
      <c r="D1372" s="49" t="s">
        <v>4686</v>
      </c>
      <c r="E1372" s="56" t="s">
        <v>4687</v>
      </c>
      <c r="F1372" s="49" t="s">
        <v>6</v>
      </c>
      <c r="G1372" s="48">
        <v>43136</v>
      </c>
      <c r="H1372" s="48">
        <v>43150</v>
      </c>
      <c r="I1372" s="48">
        <v>43222</v>
      </c>
      <c r="J1372" s="51" t="s">
        <v>4019</v>
      </c>
      <c r="K1372" s="58" t="s">
        <v>7</v>
      </c>
      <c r="L1372" s="49">
        <v>1</v>
      </c>
      <c r="M1372" s="63" t="s">
        <v>4684</v>
      </c>
      <c r="N1372" s="57" t="s">
        <v>4684</v>
      </c>
      <c r="O1372" s="49"/>
      <c r="P1372" s="51">
        <v>1</v>
      </c>
      <c r="Q1372" s="51" t="s">
        <v>5002</v>
      </c>
      <c r="R1372" s="67" t="e" cm="1">
        <f t="array" ref="R1372">_xlfn.CHOOSECOLS(_xlfn.CHOOSEROWS(_xlfn._xlws.FILTER(표2[],표2[DWG No.]=C1372,""),1),6)</f>
        <v>#VALUE!</v>
      </c>
      <c r="S1372" s="67" t="e" cm="1">
        <f t="array" ref="S1372">_xlfn.CHOOSECOLS(_xlfn.CHOOSEROWS(_xlfn._xlws.FILTER(표2[],(표2[DWG No.]=C1372)*(ISNUMBER(표2[Rev.])),""),1),6)</f>
        <v>#VALUE!</v>
      </c>
    </row>
    <row r="1373" spans="1:19" ht="18" customHeight="1" x14ac:dyDescent="0.45">
      <c r="A1373" s="64">
        <v>1368</v>
      </c>
      <c r="B1373" s="49" t="s">
        <v>2912</v>
      </c>
      <c r="C1373" s="55" t="s">
        <v>4688</v>
      </c>
      <c r="D1373" s="49" t="s">
        <v>4689</v>
      </c>
      <c r="E1373" s="56" t="s">
        <v>4690</v>
      </c>
      <c r="F1373" s="49" t="s">
        <v>6</v>
      </c>
      <c r="G1373" s="48">
        <v>43136</v>
      </c>
      <c r="H1373" s="48">
        <v>43150</v>
      </c>
      <c r="I1373" s="48">
        <v>43532</v>
      </c>
      <c r="J1373" s="49" t="s">
        <v>4584</v>
      </c>
      <c r="K1373" s="58" t="s">
        <v>7</v>
      </c>
      <c r="L1373" s="49">
        <v>0</v>
      </c>
      <c r="M1373" s="61"/>
      <c r="N1373" s="49" t="s">
        <v>4585</v>
      </c>
      <c r="O1373" s="49" t="s">
        <v>7</v>
      </c>
      <c r="P1373" s="51"/>
      <c r="Q1373" s="51" t="s">
        <v>5002</v>
      </c>
      <c r="R1373" s="67" t="e" cm="1">
        <f t="array" ref="R1373">_xlfn.CHOOSECOLS(_xlfn.CHOOSEROWS(_xlfn._xlws.FILTER(표2[],표2[DWG No.]=C1373,""),1),6)</f>
        <v>#VALUE!</v>
      </c>
      <c r="S1373" s="67" t="e" cm="1">
        <f t="array" ref="S1373">_xlfn.CHOOSECOLS(_xlfn.CHOOSEROWS(_xlfn._xlws.FILTER(표2[],(표2[DWG No.]=C1373)*(ISNUMBER(표2[Rev.])),""),1),6)</f>
        <v>#VALUE!</v>
      </c>
    </row>
    <row r="1374" spans="1:19" ht="18" customHeight="1" x14ac:dyDescent="0.45">
      <c r="A1374" s="64">
        <v>1369</v>
      </c>
      <c r="B1374" s="49" t="s">
        <v>2912</v>
      </c>
      <c r="C1374" s="55" t="s">
        <v>4691</v>
      </c>
      <c r="D1374" s="49" t="s">
        <v>4692</v>
      </c>
      <c r="E1374" s="56" t="s">
        <v>4693</v>
      </c>
      <c r="F1374" s="49" t="s">
        <v>6</v>
      </c>
      <c r="G1374" s="48">
        <v>43136</v>
      </c>
      <c r="H1374" s="48">
        <v>43150</v>
      </c>
      <c r="I1374" s="48">
        <v>43592</v>
      </c>
      <c r="J1374" s="49" t="s">
        <v>4694</v>
      </c>
      <c r="K1374" s="58" t="s">
        <v>7</v>
      </c>
      <c r="L1374" s="49">
        <v>1</v>
      </c>
      <c r="M1374" s="62">
        <v>43608</v>
      </c>
      <c r="N1374" s="52" t="s">
        <v>3225</v>
      </c>
      <c r="O1374" s="49"/>
      <c r="P1374" s="52">
        <v>1</v>
      </c>
      <c r="Q1374" s="51" t="s">
        <v>5002</v>
      </c>
      <c r="R1374" s="67" t="e" cm="1">
        <f t="array" ref="R1374">_xlfn.CHOOSECOLS(_xlfn.CHOOSEROWS(_xlfn._xlws.FILTER(표2[],표2[DWG No.]=C1374,""),1),6)</f>
        <v>#VALUE!</v>
      </c>
      <c r="S1374" s="67" t="e" cm="1">
        <f t="array" ref="S1374">_xlfn.CHOOSECOLS(_xlfn.CHOOSEROWS(_xlfn._xlws.FILTER(표2[],(표2[DWG No.]=C1374)*(ISNUMBER(표2[Rev.])),""),1),6)</f>
        <v>#VALUE!</v>
      </c>
    </row>
    <row r="1375" spans="1:19" ht="18" customHeight="1" x14ac:dyDescent="0.45">
      <c r="A1375" s="64">
        <v>1370</v>
      </c>
      <c r="B1375" s="49" t="s">
        <v>2912</v>
      </c>
      <c r="C1375" s="55" t="s">
        <v>4695</v>
      </c>
      <c r="D1375" s="49" t="s">
        <v>4696</v>
      </c>
      <c r="E1375" s="56" t="s">
        <v>4697</v>
      </c>
      <c r="F1375" s="49" t="s">
        <v>6</v>
      </c>
      <c r="G1375" s="48">
        <v>43136</v>
      </c>
      <c r="H1375" s="48">
        <v>43150</v>
      </c>
      <c r="I1375" s="48">
        <v>43592</v>
      </c>
      <c r="J1375" s="49" t="s">
        <v>4694</v>
      </c>
      <c r="K1375" s="58" t="s">
        <v>7</v>
      </c>
      <c r="L1375" s="49">
        <v>1</v>
      </c>
      <c r="M1375" s="62">
        <v>43608</v>
      </c>
      <c r="N1375" s="52" t="s">
        <v>3225</v>
      </c>
      <c r="O1375" s="49"/>
      <c r="P1375" s="52">
        <v>1</v>
      </c>
      <c r="Q1375" s="51" t="s">
        <v>5002</v>
      </c>
      <c r="R1375" s="67" t="e" cm="1">
        <f t="array" ref="R1375">_xlfn.CHOOSECOLS(_xlfn.CHOOSEROWS(_xlfn._xlws.FILTER(표2[],표2[DWG No.]=C1375,""),1),6)</f>
        <v>#VALUE!</v>
      </c>
      <c r="S1375" s="67" t="e" cm="1">
        <f t="array" ref="S1375">_xlfn.CHOOSECOLS(_xlfn.CHOOSEROWS(_xlfn._xlws.FILTER(표2[],(표2[DWG No.]=C1375)*(ISNUMBER(표2[Rev.])),""),1),6)</f>
        <v>#VALUE!</v>
      </c>
    </row>
    <row r="1376" spans="1:19" ht="18" customHeight="1" x14ac:dyDescent="0.45">
      <c r="A1376" s="64">
        <v>1371</v>
      </c>
      <c r="B1376" s="49" t="s">
        <v>2912</v>
      </c>
      <c r="C1376" s="55" t="s">
        <v>4698</v>
      </c>
      <c r="D1376" s="49" t="s">
        <v>4699</v>
      </c>
      <c r="E1376" s="56" t="s">
        <v>4700</v>
      </c>
      <c r="F1376" s="49" t="s">
        <v>6</v>
      </c>
      <c r="G1376" s="48">
        <v>43136</v>
      </c>
      <c r="H1376" s="48">
        <v>43150</v>
      </c>
      <c r="I1376" s="48">
        <v>43557</v>
      </c>
      <c r="J1376" s="49" t="s">
        <v>4701</v>
      </c>
      <c r="K1376" s="58" t="s">
        <v>5032</v>
      </c>
      <c r="L1376" s="49" t="s">
        <v>164</v>
      </c>
      <c r="M1376" s="62">
        <v>43579</v>
      </c>
      <c r="N1376" s="52" t="s">
        <v>3040</v>
      </c>
      <c r="O1376" s="49" t="s">
        <v>6</v>
      </c>
      <c r="P1376" s="52" t="s">
        <v>164</v>
      </c>
      <c r="Q1376" s="51" t="s">
        <v>65</v>
      </c>
      <c r="R1376" s="67" t="e" cm="1">
        <f t="array" ref="R1376">_xlfn.CHOOSECOLS(_xlfn.CHOOSEROWS(_xlfn._xlws.FILTER(표2[],표2[DWG No.]=C1376,""),1),6)</f>
        <v>#VALUE!</v>
      </c>
      <c r="S1376" s="67" t="e" cm="1">
        <f t="array" ref="S1376">_xlfn.CHOOSECOLS(_xlfn.CHOOSEROWS(_xlfn._xlws.FILTER(표2[],(표2[DWG No.]=C1376)*(ISNUMBER(표2[Rev.])),""),1),6)</f>
        <v>#VALUE!</v>
      </c>
    </row>
    <row r="1377" spans="1:19" ht="18" customHeight="1" x14ac:dyDescent="0.45">
      <c r="A1377" s="64">
        <v>1372</v>
      </c>
      <c r="B1377" s="49" t="s">
        <v>2912</v>
      </c>
      <c r="C1377" s="55" t="s">
        <v>4702</v>
      </c>
      <c r="D1377" s="49" t="s">
        <v>4703</v>
      </c>
      <c r="E1377" s="56" t="s">
        <v>4704</v>
      </c>
      <c r="F1377" s="49" t="s">
        <v>6</v>
      </c>
      <c r="G1377" s="48">
        <v>43136</v>
      </c>
      <c r="H1377" s="48">
        <v>43150</v>
      </c>
      <c r="I1377" s="48">
        <v>43557</v>
      </c>
      <c r="J1377" s="49" t="s">
        <v>4701</v>
      </c>
      <c r="K1377" s="58" t="s">
        <v>5032</v>
      </c>
      <c r="L1377" s="49" t="s">
        <v>164</v>
      </c>
      <c r="M1377" s="62">
        <v>43579</v>
      </c>
      <c r="N1377" s="52" t="s">
        <v>3040</v>
      </c>
      <c r="O1377" s="49" t="s">
        <v>6</v>
      </c>
      <c r="P1377" s="52" t="s">
        <v>164</v>
      </c>
      <c r="Q1377" s="51" t="s">
        <v>65</v>
      </c>
      <c r="R1377" s="67" t="e" cm="1">
        <f t="array" ref="R1377">_xlfn.CHOOSECOLS(_xlfn.CHOOSEROWS(_xlfn._xlws.FILTER(표2[],표2[DWG No.]=C1377,""),1),6)</f>
        <v>#VALUE!</v>
      </c>
      <c r="S1377" s="67" t="e" cm="1">
        <f t="array" ref="S1377">_xlfn.CHOOSECOLS(_xlfn.CHOOSEROWS(_xlfn._xlws.FILTER(표2[],(표2[DWG No.]=C1377)*(ISNUMBER(표2[Rev.])),""),1),6)</f>
        <v>#VALUE!</v>
      </c>
    </row>
    <row r="1378" spans="1:19" ht="18" customHeight="1" x14ac:dyDescent="0.45">
      <c r="A1378" s="64">
        <v>1373</v>
      </c>
      <c r="B1378" s="49" t="s">
        <v>2912</v>
      </c>
      <c r="C1378" s="55" t="s">
        <v>4705</v>
      </c>
      <c r="D1378" s="49" t="s">
        <v>4706</v>
      </c>
      <c r="E1378" s="56" t="s">
        <v>4707</v>
      </c>
      <c r="F1378" s="49" t="s">
        <v>6</v>
      </c>
      <c r="G1378" s="48">
        <v>43136</v>
      </c>
      <c r="H1378" s="48">
        <v>43150</v>
      </c>
      <c r="I1378" s="48">
        <v>43539</v>
      </c>
      <c r="J1378" s="49" t="s">
        <v>3274</v>
      </c>
      <c r="K1378" s="58" t="s">
        <v>7</v>
      </c>
      <c r="L1378" s="49">
        <v>0</v>
      </c>
      <c r="M1378" s="62">
        <v>43539</v>
      </c>
      <c r="N1378" s="52" t="s">
        <v>3275</v>
      </c>
      <c r="O1378" s="49" t="s">
        <v>7</v>
      </c>
      <c r="P1378" s="52">
        <v>0</v>
      </c>
      <c r="Q1378" s="51" t="s">
        <v>5002</v>
      </c>
      <c r="R1378" s="67" t="e" cm="1">
        <f t="array" ref="R1378">_xlfn.CHOOSECOLS(_xlfn.CHOOSEROWS(_xlfn._xlws.FILTER(표2[],표2[DWG No.]=C1378,""),1),6)</f>
        <v>#VALUE!</v>
      </c>
      <c r="S1378" s="67" t="e" cm="1">
        <f t="array" ref="S1378">_xlfn.CHOOSECOLS(_xlfn.CHOOSEROWS(_xlfn._xlws.FILTER(표2[],(표2[DWG No.]=C1378)*(ISNUMBER(표2[Rev.])),""),1),6)</f>
        <v>#VALUE!</v>
      </c>
    </row>
    <row r="1379" spans="1:19" ht="18" customHeight="1" x14ac:dyDescent="0.45">
      <c r="A1379" s="64">
        <v>1374</v>
      </c>
      <c r="B1379" s="49" t="s">
        <v>2912</v>
      </c>
      <c r="C1379" s="55" t="s">
        <v>4708</v>
      </c>
      <c r="D1379" s="49" t="s">
        <v>4709</v>
      </c>
      <c r="E1379" s="56" t="s">
        <v>4710</v>
      </c>
      <c r="F1379" s="49" t="s">
        <v>6</v>
      </c>
      <c r="G1379" s="48">
        <v>43136</v>
      </c>
      <c r="H1379" s="48">
        <v>43150</v>
      </c>
      <c r="I1379" s="48">
        <v>43609</v>
      </c>
      <c r="J1379" s="49" t="s">
        <v>4711</v>
      </c>
      <c r="K1379" s="58" t="s">
        <v>7</v>
      </c>
      <c r="L1379" s="49">
        <v>0</v>
      </c>
      <c r="M1379" s="62">
        <v>43609</v>
      </c>
      <c r="N1379" s="52" t="s">
        <v>4712</v>
      </c>
      <c r="O1379" s="49" t="s">
        <v>7</v>
      </c>
      <c r="P1379" s="52">
        <v>0</v>
      </c>
      <c r="Q1379" s="51" t="s">
        <v>5002</v>
      </c>
      <c r="R1379" s="67" t="e" cm="1">
        <f t="array" ref="R1379">_xlfn.CHOOSECOLS(_xlfn.CHOOSEROWS(_xlfn._xlws.FILTER(표2[],표2[DWG No.]=C1379,""),1),6)</f>
        <v>#VALUE!</v>
      </c>
      <c r="S1379" s="67" t="e" cm="1">
        <f t="array" ref="S1379">_xlfn.CHOOSECOLS(_xlfn.CHOOSEROWS(_xlfn._xlws.FILTER(표2[],(표2[DWG No.]=C1379)*(ISNUMBER(표2[Rev.])),""),1),6)</f>
        <v>#VALUE!</v>
      </c>
    </row>
    <row r="1380" spans="1:19" ht="18" customHeight="1" x14ac:dyDescent="0.45">
      <c r="A1380" s="64">
        <v>1375</v>
      </c>
      <c r="B1380" s="49" t="s">
        <v>2912</v>
      </c>
      <c r="C1380" s="55" t="s">
        <v>4713</v>
      </c>
      <c r="D1380" s="49" t="s">
        <v>4714</v>
      </c>
      <c r="E1380" s="56" t="s">
        <v>4715</v>
      </c>
      <c r="F1380" s="49" t="s">
        <v>6</v>
      </c>
      <c r="G1380" s="48">
        <v>43136</v>
      </c>
      <c r="H1380" s="48">
        <v>43150</v>
      </c>
      <c r="I1380" s="48">
        <v>43395</v>
      </c>
      <c r="J1380" s="51" t="s">
        <v>4227</v>
      </c>
      <c r="K1380" s="58" t="s">
        <v>7</v>
      </c>
      <c r="L1380" s="49">
        <v>2</v>
      </c>
      <c r="M1380" s="61">
        <v>43409</v>
      </c>
      <c r="N1380" s="51" t="s">
        <v>3153</v>
      </c>
      <c r="O1380" s="49" t="s">
        <v>7</v>
      </c>
      <c r="P1380" s="51">
        <v>2</v>
      </c>
      <c r="Q1380" s="51" t="s">
        <v>5002</v>
      </c>
      <c r="R1380" s="67" t="e" cm="1">
        <f t="array" ref="R1380">_xlfn.CHOOSECOLS(_xlfn.CHOOSEROWS(_xlfn._xlws.FILTER(표2[],표2[DWG No.]=C1380,""),1),6)</f>
        <v>#VALUE!</v>
      </c>
      <c r="S1380" s="67" t="e" cm="1">
        <f t="array" ref="S1380">_xlfn.CHOOSECOLS(_xlfn.CHOOSEROWS(_xlfn._xlws.FILTER(표2[],(표2[DWG No.]=C1380)*(ISNUMBER(표2[Rev.])),""),1),6)</f>
        <v>#VALUE!</v>
      </c>
    </row>
    <row r="1381" spans="1:19" ht="18" customHeight="1" x14ac:dyDescent="0.45">
      <c r="A1381" s="64">
        <v>1376</v>
      </c>
      <c r="B1381" s="49" t="s">
        <v>2912</v>
      </c>
      <c r="C1381" s="55" t="s">
        <v>4716</v>
      </c>
      <c r="D1381" s="49" t="s">
        <v>4717</v>
      </c>
      <c r="E1381" s="56" t="s">
        <v>4718</v>
      </c>
      <c r="F1381" s="49" t="s">
        <v>6</v>
      </c>
      <c r="G1381" s="48">
        <v>43136</v>
      </c>
      <c r="H1381" s="48">
        <v>43150</v>
      </c>
      <c r="I1381" s="48">
        <v>43395</v>
      </c>
      <c r="J1381" s="51" t="s">
        <v>4227</v>
      </c>
      <c r="K1381" s="58" t="s">
        <v>7</v>
      </c>
      <c r="L1381" s="49">
        <v>2</v>
      </c>
      <c r="M1381" s="61">
        <v>43409</v>
      </c>
      <c r="N1381" s="51" t="s">
        <v>3153</v>
      </c>
      <c r="O1381" s="49" t="s">
        <v>7</v>
      </c>
      <c r="P1381" s="51">
        <v>2</v>
      </c>
      <c r="Q1381" s="51" t="s">
        <v>5002</v>
      </c>
      <c r="R1381" s="67" t="e" cm="1">
        <f t="array" ref="R1381">_xlfn.CHOOSECOLS(_xlfn.CHOOSEROWS(_xlfn._xlws.FILTER(표2[],표2[DWG No.]=C1381,""),1),6)</f>
        <v>#VALUE!</v>
      </c>
      <c r="S1381" s="67" t="e" cm="1">
        <f t="array" ref="S1381">_xlfn.CHOOSECOLS(_xlfn.CHOOSEROWS(_xlfn._xlws.FILTER(표2[],(표2[DWG No.]=C1381)*(ISNUMBER(표2[Rev.])),""),1),6)</f>
        <v>#VALUE!</v>
      </c>
    </row>
    <row r="1382" spans="1:19" ht="18" customHeight="1" x14ac:dyDescent="0.45">
      <c r="A1382" s="64">
        <v>1377</v>
      </c>
      <c r="B1382" s="49" t="s">
        <v>2912</v>
      </c>
      <c r="C1382" s="55" t="s">
        <v>4719</v>
      </c>
      <c r="D1382" s="49" t="s">
        <v>4720</v>
      </c>
      <c r="E1382" s="56" t="s">
        <v>4721</v>
      </c>
      <c r="F1382" s="49" t="s">
        <v>6</v>
      </c>
      <c r="G1382" s="48">
        <v>43136</v>
      </c>
      <c r="H1382" s="48">
        <v>43150</v>
      </c>
      <c r="I1382" s="48">
        <v>43395</v>
      </c>
      <c r="J1382" s="51" t="s">
        <v>4227</v>
      </c>
      <c r="K1382" s="58" t="s">
        <v>7</v>
      </c>
      <c r="L1382" s="49">
        <v>2</v>
      </c>
      <c r="M1382" s="61">
        <v>43409</v>
      </c>
      <c r="N1382" s="51" t="s">
        <v>3153</v>
      </c>
      <c r="O1382" s="49" t="s">
        <v>7</v>
      </c>
      <c r="P1382" s="51">
        <v>2</v>
      </c>
      <c r="Q1382" s="51" t="s">
        <v>5002</v>
      </c>
      <c r="R1382" s="67" t="e" cm="1">
        <f t="array" ref="R1382">_xlfn.CHOOSECOLS(_xlfn.CHOOSEROWS(_xlfn._xlws.FILTER(표2[],표2[DWG No.]=C1382,""),1),6)</f>
        <v>#VALUE!</v>
      </c>
      <c r="S1382" s="67" t="e" cm="1">
        <f t="array" ref="S1382">_xlfn.CHOOSECOLS(_xlfn.CHOOSEROWS(_xlfn._xlws.FILTER(표2[],(표2[DWG No.]=C1382)*(ISNUMBER(표2[Rev.])),""),1),6)</f>
        <v>#VALUE!</v>
      </c>
    </row>
    <row r="1383" spans="1:19" ht="18" customHeight="1" x14ac:dyDescent="0.45">
      <c r="A1383" s="64">
        <v>1378</v>
      </c>
      <c r="B1383" s="49" t="s">
        <v>2912</v>
      </c>
      <c r="C1383" s="55" t="s">
        <v>4722</v>
      </c>
      <c r="D1383" s="49" t="s">
        <v>4723</v>
      </c>
      <c r="E1383" s="56" t="s">
        <v>4724</v>
      </c>
      <c r="F1383" s="49" t="s">
        <v>6</v>
      </c>
      <c r="G1383" s="48">
        <v>43136</v>
      </c>
      <c r="H1383" s="48">
        <v>43150</v>
      </c>
      <c r="I1383" s="48">
        <v>43395</v>
      </c>
      <c r="J1383" s="51" t="s">
        <v>4227</v>
      </c>
      <c r="K1383" s="58" t="s">
        <v>7</v>
      </c>
      <c r="L1383" s="49">
        <v>2</v>
      </c>
      <c r="M1383" s="61">
        <v>43409</v>
      </c>
      <c r="N1383" s="51" t="s">
        <v>3153</v>
      </c>
      <c r="O1383" s="49" t="s">
        <v>7</v>
      </c>
      <c r="P1383" s="51">
        <v>2</v>
      </c>
      <c r="Q1383" s="51" t="s">
        <v>5002</v>
      </c>
      <c r="R1383" s="67" t="e" cm="1">
        <f t="array" ref="R1383">_xlfn.CHOOSECOLS(_xlfn.CHOOSEROWS(_xlfn._xlws.FILTER(표2[],표2[DWG No.]=C1383,""),1),6)</f>
        <v>#VALUE!</v>
      </c>
      <c r="S1383" s="67" t="e" cm="1">
        <f t="array" ref="S1383">_xlfn.CHOOSECOLS(_xlfn.CHOOSEROWS(_xlfn._xlws.FILTER(표2[],(표2[DWG No.]=C1383)*(ISNUMBER(표2[Rev.])),""),1),6)</f>
        <v>#VALUE!</v>
      </c>
    </row>
    <row r="1384" spans="1:19" ht="18" customHeight="1" x14ac:dyDescent="0.45">
      <c r="A1384" s="64">
        <v>1379</v>
      </c>
      <c r="B1384" s="49" t="s">
        <v>2912</v>
      </c>
      <c r="C1384" s="55" t="s">
        <v>4725</v>
      </c>
      <c r="D1384" s="49" t="s">
        <v>4726</v>
      </c>
      <c r="E1384" s="56" t="s">
        <v>4727</v>
      </c>
      <c r="F1384" s="49" t="s">
        <v>6</v>
      </c>
      <c r="G1384" s="48">
        <v>43136</v>
      </c>
      <c r="H1384" s="48">
        <v>43150</v>
      </c>
      <c r="I1384" s="48">
        <v>43395</v>
      </c>
      <c r="J1384" s="51" t="s">
        <v>4227</v>
      </c>
      <c r="K1384" s="58" t="s">
        <v>7</v>
      </c>
      <c r="L1384" s="49">
        <v>1</v>
      </c>
      <c r="M1384" s="61">
        <v>43409</v>
      </c>
      <c r="N1384" s="51" t="s">
        <v>3153</v>
      </c>
      <c r="O1384" s="49" t="s">
        <v>7</v>
      </c>
      <c r="P1384" s="51">
        <v>1</v>
      </c>
      <c r="Q1384" s="51" t="s">
        <v>5002</v>
      </c>
      <c r="R1384" s="67" t="e" cm="1">
        <f t="array" ref="R1384">_xlfn.CHOOSECOLS(_xlfn.CHOOSEROWS(_xlfn._xlws.FILTER(표2[],표2[DWG No.]=C1384,""),1),6)</f>
        <v>#VALUE!</v>
      </c>
      <c r="S1384" s="67" t="e" cm="1">
        <f t="array" ref="S1384">_xlfn.CHOOSECOLS(_xlfn.CHOOSEROWS(_xlfn._xlws.FILTER(표2[],(표2[DWG No.]=C1384)*(ISNUMBER(표2[Rev.])),""),1),6)</f>
        <v>#VALUE!</v>
      </c>
    </row>
    <row r="1385" spans="1:19" ht="18" customHeight="1" x14ac:dyDescent="0.45">
      <c r="A1385" s="64">
        <v>1380</v>
      </c>
      <c r="B1385" s="49" t="s">
        <v>2912</v>
      </c>
      <c r="C1385" s="55" t="s">
        <v>4728</v>
      </c>
      <c r="D1385" s="49" t="s">
        <v>4729</v>
      </c>
      <c r="E1385" s="56" t="s">
        <v>4730</v>
      </c>
      <c r="F1385" s="49" t="s">
        <v>6</v>
      </c>
      <c r="G1385" s="48">
        <v>43136</v>
      </c>
      <c r="H1385" s="48">
        <v>43150</v>
      </c>
      <c r="I1385" s="48">
        <v>43395</v>
      </c>
      <c r="J1385" s="51" t="s">
        <v>4227</v>
      </c>
      <c r="K1385" s="58" t="s">
        <v>7</v>
      </c>
      <c r="L1385" s="49">
        <v>2</v>
      </c>
      <c r="M1385" s="61">
        <v>43409</v>
      </c>
      <c r="N1385" s="51" t="s">
        <v>3153</v>
      </c>
      <c r="O1385" s="49" t="s">
        <v>7</v>
      </c>
      <c r="P1385" s="51">
        <v>2</v>
      </c>
      <c r="Q1385" s="51" t="s">
        <v>5002</v>
      </c>
      <c r="R1385" s="67" t="e" cm="1">
        <f t="array" ref="R1385">_xlfn.CHOOSECOLS(_xlfn.CHOOSEROWS(_xlfn._xlws.FILTER(표2[],표2[DWG No.]=C1385,""),1),6)</f>
        <v>#VALUE!</v>
      </c>
      <c r="S1385" s="67" t="e" cm="1">
        <f t="array" ref="S1385">_xlfn.CHOOSECOLS(_xlfn.CHOOSEROWS(_xlfn._xlws.FILTER(표2[],(표2[DWG No.]=C1385)*(ISNUMBER(표2[Rev.])),""),1),6)</f>
        <v>#VALUE!</v>
      </c>
    </row>
    <row r="1386" spans="1:19" ht="18" customHeight="1" x14ac:dyDescent="0.45">
      <c r="A1386" s="64">
        <v>1381</v>
      </c>
      <c r="B1386" s="49" t="s">
        <v>2912</v>
      </c>
      <c r="C1386" s="55" t="s">
        <v>4731</v>
      </c>
      <c r="D1386" s="49" t="s">
        <v>4732</v>
      </c>
      <c r="E1386" s="56" t="s">
        <v>4733</v>
      </c>
      <c r="F1386" s="49" t="s">
        <v>5</v>
      </c>
      <c r="G1386" s="48">
        <v>43138</v>
      </c>
      <c r="H1386" s="48">
        <v>43152</v>
      </c>
      <c r="I1386" s="48">
        <v>43138</v>
      </c>
      <c r="J1386" s="49" t="s">
        <v>4734</v>
      </c>
      <c r="K1386" s="58" t="s">
        <v>7</v>
      </c>
      <c r="L1386" s="49">
        <v>0</v>
      </c>
      <c r="M1386" s="48">
        <v>43150</v>
      </c>
      <c r="N1386" s="52" t="s">
        <v>3153</v>
      </c>
      <c r="O1386" s="49" t="s">
        <v>7</v>
      </c>
      <c r="P1386" s="49">
        <v>0</v>
      </c>
      <c r="Q1386" s="49" t="s">
        <v>160</v>
      </c>
      <c r="R1386" s="67" t="e" cm="1">
        <f t="array" ref="R1386">_xlfn.CHOOSECOLS(_xlfn.CHOOSEROWS(_xlfn._xlws.FILTER(표2[],표2[DWG No.]=C1386,""),1),6)</f>
        <v>#VALUE!</v>
      </c>
      <c r="S1386" s="67" t="e" cm="1">
        <f t="array" ref="S1386">_xlfn.CHOOSECOLS(_xlfn.CHOOSEROWS(_xlfn._xlws.FILTER(표2[],(표2[DWG No.]=C1386)*(ISNUMBER(표2[Rev.])),""),1),6)</f>
        <v>#VALUE!</v>
      </c>
    </row>
    <row r="1387" spans="1:19" ht="18" customHeight="1" x14ac:dyDescent="0.45">
      <c r="A1387" s="64">
        <v>1382</v>
      </c>
      <c r="B1387" s="49" t="s">
        <v>2912</v>
      </c>
      <c r="C1387" s="55" t="s">
        <v>4735</v>
      </c>
      <c r="D1387" s="49" t="s">
        <v>4736</v>
      </c>
      <c r="E1387" s="56" t="s">
        <v>4737</v>
      </c>
      <c r="F1387" s="49" t="s">
        <v>5</v>
      </c>
      <c r="G1387" s="48">
        <v>43138</v>
      </c>
      <c r="H1387" s="48">
        <v>43152</v>
      </c>
      <c r="I1387" s="48">
        <v>43138</v>
      </c>
      <c r="J1387" s="49" t="s">
        <v>4734</v>
      </c>
      <c r="K1387" s="58" t="s">
        <v>7</v>
      </c>
      <c r="L1387" s="49">
        <v>0</v>
      </c>
      <c r="M1387" s="48">
        <v>43150</v>
      </c>
      <c r="N1387" s="52" t="s">
        <v>3153</v>
      </c>
      <c r="O1387" s="49" t="s">
        <v>7</v>
      </c>
      <c r="P1387" s="49">
        <v>0</v>
      </c>
      <c r="Q1387" s="49" t="s">
        <v>160</v>
      </c>
      <c r="R1387" s="67" t="e" cm="1">
        <f t="array" ref="R1387">_xlfn.CHOOSECOLS(_xlfn.CHOOSEROWS(_xlfn._xlws.FILTER(표2[],표2[DWG No.]=C1387,""),1),6)</f>
        <v>#VALUE!</v>
      </c>
      <c r="S1387" s="67" t="e" cm="1">
        <f t="array" ref="S1387">_xlfn.CHOOSECOLS(_xlfn.CHOOSEROWS(_xlfn._xlws.FILTER(표2[],(표2[DWG No.]=C1387)*(ISNUMBER(표2[Rev.])),""),1),6)</f>
        <v>#VALUE!</v>
      </c>
    </row>
    <row r="1388" spans="1:19" ht="18" customHeight="1" x14ac:dyDescent="0.45">
      <c r="A1388" s="64">
        <v>1383</v>
      </c>
      <c r="B1388" s="49" t="s">
        <v>2912</v>
      </c>
      <c r="C1388" s="55" t="s">
        <v>4738</v>
      </c>
      <c r="D1388" s="49" t="s">
        <v>4739</v>
      </c>
      <c r="E1388" s="56" t="s">
        <v>4740</v>
      </c>
      <c r="F1388" s="49" t="s">
        <v>5</v>
      </c>
      <c r="G1388" s="48">
        <v>43138</v>
      </c>
      <c r="H1388" s="48">
        <v>43152</v>
      </c>
      <c r="I1388" s="48">
        <v>43138</v>
      </c>
      <c r="J1388" s="49" t="s">
        <v>4734</v>
      </c>
      <c r="K1388" s="58" t="s">
        <v>7</v>
      </c>
      <c r="L1388" s="49">
        <v>0</v>
      </c>
      <c r="M1388" s="48">
        <v>43150</v>
      </c>
      <c r="N1388" s="52" t="s">
        <v>3153</v>
      </c>
      <c r="O1388" s="49" t="s">
        <v>7</v>
      </c>
      <c r="P1388" s="49">
        <v>0</v>
      </c>
      <c r="Q1388" s="49" t="s">
        <v>160</v>
      </c>
      <c r="R1388" s="67" t="e" cm="1">
        <f t="array" ref="R1388">_xlfn.CHOOSECOLS(_xlfn.CHOOSEROWS(_xlfn._xlws.FILTER(표2[],표2[DWG No.]=C1388,""),1),6)</f>
        <v>#VALUE!</v>
      </c>
      <c r="S1388" s="67" t="e" cm="1">
        <f t="array" ref="S1388">_xlfn.CHOOSECOLS(_xlfn.CHOOSEROWS(_xlfn._xlws.FILTER(표2[],(표2[DWG No.]=C1388)*(ISNUMBER(표2[Rev.])),""),1),6)</f>
        <v>#VALUE!</v>
      </c>
    </row>
    <row r="1389" spans="1:19" ht="18" customHeight="1" x14ac:dyDescent="0.45">
      <c r="A1389" s="64">
        <v>1384</v>
      </c>
      <c r="B1389" s="49" t="s">
        <v>2912</v>
      </c>
      <c r="C1389" s="55" t="s">
        <v>4741</v>
      </c>
      <c r="D1389" s="49" t="s">
        <v>4742</v>
      </c>
      <c r="E1389" s="56" t="s">
        <v>4743</v>
      </c>
      <c r="F1389" s="49" t="s">
        <v>5</v>
      </c>
      <c r="G1389" s="48">
        <v>43138</v>
      </c>
      <c r="H1389" s="48">
        <v>43152</v>
      </c>
      <c r="I1389" s="48">
        <v>43138</v>
      </c>
      <c r="J1389" s="49" t="s">
        <v>4734</v>
      </c>
      <c r="K1389" s="58" t="s">
        <v>7</v>
      </c>
      <c r="L1389" s="49">
        <v>0</v>
      </c>
      <c r="M1389" s="48">
        <v>43150</v>
      </c>
      <c r="N1389" s="52" t="s">
        <v>3153</v>
      </c>
      <c r="O1389" s="49" t="s">
        <v>7</v>
      </c>
      <c r="P1389" s="49">
        <v>0</v>
      </c>
      <c r="Q1389" s="49" t="s">
        <v>160</v>
      </c>
      <c r="R1389" s="67" t="e" cm="1">
        <f t="array" ref="R1389">_xlfn.CHOOSECOLS(_xlfn.CHOOSEROWS(_xlfn._xlws.FILTER(표2[],표2[DWG No.]=C1389,""),1),6)</f>
        <v>#VALUE!</v>
      </c>
      <c r="S1389" s="67" t="e" cm="1">
        <f t="array" ref="S1389">_xlfn.CHOOSECOLS(_xlfn.CHOOSEROWS(_xlfn._xlws.FILTER(표2[],(표2[DWG No.]=C1389)*(ISNUMBER(표2[Rev.])),""),1),6)</f>
        <v>#VALUE!</v>
      </c>
    </row>
    <row r="1390" spans="1:19" ht="18" customHeight="1" x14ac:dyDescent="0.45">
      <c r="A1390" s="64">
        <v>1385</v>
      </c>
      <c r="B1390" s="49" t="s">
        <v>2912</v>
      </c>
      <c r="C1390" s="55" t="s">
        <v>4744</v>
      </c>
      <c r="D1390" s="49" t="s">
        <v>4745</v>
      </c>
      <c r="E1390" s="56" t="s">
        <v>4746</v>
      </c>
      <c r="F1390" s="49" t="s">
        <v>5</v>
      </c>
      <c r="G1390" s="48">
        <v>43138</v>
      </c>
      <c r="H1390" s="48">
        <v>43152</v>
      </c>
      <c r="I1390" s="48">
        <v>43138</v>
      </c>
      <c r="J1390" s="49" t="s">
        <v>4734</v>
      </c>
      <c r="K1390" s="58" t="s">
        <v>7</v>
      </c>
      <c r="L1390" s="49">
        <v>0</v>
      </c>
      <c r="M1390" s="48">
        <v>43150</v>
      </c>
      <c r="N1390" s="52" t="s">
        <v>3153</v>
      </c>
      <c r="O1390" s="49" t="s">
        <v>7</v>
      </c>
      <c r="P1390" s="49">
        <v>0</v>
      </c>
      <c r="Q1390" s="49" t="s">
        <v>160</v>
      </c>
      <c r="R1390" s="67" t="e" cm="1">
        <f t="array" ref="R1390">_xlfn.CHOOSECOLS(_xlfn.CHOOSEROWS(_xlfn._xlws.FILTER(표2[],표2[DWG No.]=C1390,""),1),6)</f>
        <v>#VALUE!</v>
      </c>
      <c r="S1390" s="67" t="e" cm="1">
        <f t="array" ref="S1390">_xlfn.CHOOSECOLS(_xlfn.CHOOSEROWS(_xlfn._xlws.FILTER(표2[],(표2[DWG No.]=C1390)*(ISNUMBER(표2[Rev.])),""),1),6)</f>
        <v>#VALUE!</v>
      </c>
    </row>
    <row r="1391" spans="1:19" ht="18" customHeight="1" x14ac:dyDescent="0.45">
      <c r="A1391" s="64">
        <v>1386</v>
      </c>
      <c r="B1391" s="49" t="s">
        <v>2912</v>
      </c>
      <c r="C1391" s="50" t="s">
        <v>4747</v>
      </c>
      <c r="D1391" s="49">
        <v>156393</v>
      </c>
      <c r="E1391" s="59" t="s">
        <v>4748</v>
      </c>
      <c r="F1391" s="49" t="s">
        <v>6</v>
      </c>
      <c r="G1391" s="70">
        <f t="shared" ref="G1391:G1393" si="0">H1391-30</f>
        <v>43768</v>
      </c>
      <c r="H1391" s="70">
        <f t="shared" ref="H1391:H1393" si="1">I1391</f>
        <v>43798</v>
      </c>
      <c r="I1391" s="48">
        <v>43798</v>
      </c>
      <c r="J1391" s="49" t="s">
        <v>4749</v>
      </c>
      <c r="K1391" s="58" t="s">
        <v>7</v>
      </c>
      <c r="L1391" s="49">
        <v>0</v>
      </c>
      <c r="M1391" s="62">
        <v>43798</v>
      </c>
      <c r="N1391" s="52" t="s">
        <v>3191</v>
      </c>
      <c r="O1391" s="49"/>
      <c r="P1391" s="49">
        <v>0</v>
      </c>
      <c r="Q1391" s="49" t="s">
        <v>65</v>
      </c>
      <c r="R1391" s="67" t="e" cm="1">
        <f t="array" ref="R1391">_xlfn.CHOOSECOLS(_xlfn.CHOOSEROWS(_xlfn._xlws.FILTER(표2[],표2[DWG No.]=C1391,""),1),6)</f>
        <v>#VALUE!</v>
      </c>
      <c r="S1391" s="67" t="e" cm="1">
        <f t="array" ref="S1391">_xlfn.CHOOSECOLS(_xlfn.CHOOSEROWS(_xlfn._xlws.FILTER(표2[],(표2[DWG No.]=C1391)*(ISNUMBER(표2[Rev.])),""),1),6)</f>
        <v>#VALUE!</v>
      </c>
    </row>
    <row r="1392" spans="1:19" ht="18" customHeight="1" x14ac:dyDescent="0.45">
      <c r="A1392" s="64">
        <v>1387</v>
      </c>
      <c r="B1392" s="49" t="s">
        <v>2912</v>
      </c>
      <c r="C1392" s="53" t="s">
        <v>4750</v>
      </c>
      <c r="D1392" s="49">
        <v>156394</v>
      </c>
      <c r="E1392" s="53" t="s">
        <v>4751</v>
      </c>
      <c r="F1392" s="49" t="s">
        <v>6</v>
      </c>
      <c r="G1392" s="70">
        <f t="shared" si="0"/>
        <v>43768</v>
      </c>
      <c r="H1392" s="70">
        <f t="shared" si="1"/>
        <v>43798</v>
      </c>
      <c r="I1392" s="48">
        <v>43798</v>
      </c>
      <c r="J1392" s="49" t="s">
        <v>4749</v>
      </c>
      <c r="K1392" s="58" t="s">
        <v>7</v>
      </c>
      <c r="L1392" s="49">
        <v>0</v>
      </c>
      <c r="M1392" s="62">
        <v>43798</v>
      </c>
      <c r="N1392" s="52" t="s">
        <v>3191</v>
      </c>
      <c r="O1392" s="49"/>
      <c r="P1392" s="49">
        <v>0</v>
      </c>
      <c r="Q1392" s="49" t="s">
        <v>65</v>
      </c>
      <c r="R1392" s="67" t="e" cm="1">
        <f t="array" ref="R1392">_xlfn.CHOOSECOLS(_xlfn.CHOOSEROWS(_xlfn._xlws.FILTER(표2[],표2[DWG No.]=C1392,""),1),6)</f>
        <v>#VALUE!</v>
      </c>
      <c r="S1392" s="67" t="e" cm="1">
        <f t="array" ref="S1392">_xlfn.CHOOSECOLS(_xlfn.CHOOSEROWS(_xlfn._xlws.FILTER(표2[],(표2[DWG No.]=C1392)*(ISNUMBER(표2[Rev.])),""),1),6)</f>
        <v>#VALUE!</v>
      </c>
    </row>
    <row r="1393" spans="1:19" ht="18" customHeight="1" x14ac:dyDescent="0.45">
      <c r="A1393" s="64">
        <v>1388</v>
      </c>
      <c r="B1393" s="49" t="s">
        <v>2912</v>
      </c>
      <c r="C1393" s="50" t="s">
        <v>4752</v>
      </c>
      <c r="D1393" s="49">
        <v>156395</v>
      </c>
      <c r="E1393" s="50" t="s">
        <v>4753</v>
      </c>
      <c r="F1393" s="49" t="s">
        <v>6</v>
      </c>
      <c r="G1393" s="70">
        <f t="shared" si="0"/>
        <v>43768</v>
      </c>
      <c r="H1393" s="70">
        <f t="shared" si="1"/>
        <v>43798</v>
      </c>
      <c r="I1393" s="48">
        <v>43798</v>
      </c>
      <c r="J1393" s="49" t="s">
        <v>4754</v>
      </c>
      <c r="K1393" s="58" t="s">
        <v>7</v>
      </c>
      <c r="L1393" s="49">
        <v>0</v>
      </c>
      <c r="M1393" s="48">
        <v>43798</v>
      </c>
      <c r="N1393" s="49" t="s">
        <v>4755</v>
      </c>
      <c r="O1393" s="49"/>
      <c r="P1393" s="49">
        <v>0</v>
      </c>
      <c r="Q1393" s="49" t="s">
        <v>65</v>
      </c>
      <c r="R1393" s="67" t="e" cm="1">
        <f t="array" ref="R1393">_xlfn.CHOOSECOLS(_xlfn.CHOOSEROWS(_xlfn._xlws.FILTER(표2[],표2[DWG No.]=C1393,""),1),6)</f>
        <v>#VALUE!</v>
      </c>
      <c r="S1393" s="67" t="e" cm="1">
        <f t="array" ref="S1393">_xlfn.CHOOSECOLS(_xlfn.CHOOSEROWS(_xlfn._xlws.FILTER(표2[],(표2[DWG No.]=C1393)*(ISNUMBER(표2[Rev.])),""),1),6)</f>
        <v>#VALUE!</v>
      </c>
    </row>
    <row r="1394" spans="1:19" ht="18" customHeight="1" x14ac:dyDescent="0.45">
      <c r="A1394" s="64">
        <v>1389</v>
      </c>
      <c r="B1394" s="49" t="s">
        <v>2912</v>
      </c>
      <c r="C1394" s="53" t="s">
        <v>4756</v>
      </c>
      <c r="D1394" s="49">
        <v>156396</v>
      </c>
      <c r="E1394" s="53" t="s">
        <v>4757</v>
      </c>
      <c r="F1394" s="49" t="s">
        <v>6</v>
      </c>
      <c r="G1394" s="48">
        <f>I1394</f>
        <v>43750</v>
      </c>
      <c r="H1394" s="48">
        <f>G1394+30</f>
        <v>43780</v>
      </c>
      <c r="I1394" s="48">
        <v>43750</v>
      </c>
      <c r="J1394" s="49" t="s">
        <v>4754</v>
      </c>
      <c r="K1394" s="58" t="s">
        <v>5032</v>
      </c>
      <c r="L1394" s="49" t="s">
        <v>164</v>
      </c>
      <c r="M1394" s="48"/>
      <c r="N1394" s="49"/>
      <c r="O1394" s="49"/>
      <c r="P1394" s="49"/>
      <c r="Q1394" s="49" t="s">
        <v>65</v>
      </c>
      <c r="R1394" s="67" t="e" cm="1">
        <f t="array" ref="R1394">_xlfn.CHOOSECOLS(_xlfn.CHOOSEROWS(_xlfn._xlws.FILTER(표2[],표2[DWG No.]=C1394,""),1),6)</f>
        <v>#VALUE!</v>
      </c>
      <c r="S1394" s="67" t="e" cm="1">
        <f t="array" ref="S1394">_xlfn.CHOOSECOLS(_xlfn.CHOOSEROWS(_xlfn._xlws.FILTER(표2[],(표2[DWG No.]=C1394)*(ISNUMBER(표2[Rev.])),""),1),6)</f>
        <v>#VALUE!</v>
      </c>
    </row>
    <row r="1395" spans="1:19" ht="18" customHeight="1" x14ac:dyDescent="0.45">
      <c r="A1395" s="64">
        <v>1390</v>
      </c>
      <c r="B1395" s="49" t="s">
        <v>2912</v>
      </c>
      <c r="C1395" s="50" t="s">
        <v>4758</v>
      </c>
      <c r="D1395" s="49">
        <v>156275</v>
      </c>
      <c r="E1395" s="59" t="s">
        <v>4759</v>
      </c>
      <c r="F1395" s="49" t="s">
        <v>6</v>
      </c>
      <c r="G1395" s="70">
        <f t="shared" ref="G1395:G1399" si="2">H1395-30</f>
        <v>43768</v>
      </c>
      <c r="H1395" s="70">
        <f t="shared" ref="H1395:H1399" si="3">I1395</f>
        <v>43798</v>
      </c>
      <c r="I1395" s="48">
        <v>43798</v>
      </c>
      <c r="J1395" s="49" t="s">
        <v>4638</v>
      </c>
      <c r="K1395" s="58" t="s">
        <v>7</v>
      </c>
      <c r="L1395" s="49">
        <v>1</v>
      </c>
      <c r="M1395" s="61">
        <v>43798</v>
      </c>
      <c r="N1395" s="51" t="s">
        <v>3191</v>
      </c>
      <c r="O1395" s="58" t="s">
        <v>7</v>
      </c>
      <c r="P1395" s="51">
        <v>1</v>
      </c>
      <c r="Q1395" s="51" t="s">
        <v>160</v>
      </c>
      <c r="R1395" s="67" t="e" cm="1">
        <f t="array" ref="R1395">_xlfn.CHOOSECOLS(_xlfn.CHOOSEROWS(_xlfn._xlws.FILTER(표2[],표2[DWG No.]=C1395,""),1),6)</f>
        <v>#VALUE!</v>
      </c>
      <c r="S1395" s="67" t="e" cm="1">
        <f t="array" ref="S1395">_xlfn.CHOOSECOLS(_xlfn.CHOOSEROWS(_xlfn._xlws.FILTER(표2[],(표2[DWG No.]=C1395)*(ISNUMBER(표2[Rev.])),""),1),6)</f>
        <v>#VALUE!</v>
      </c>
    </row>
    <row r="1396" spans="1:19" ht="18" customHeight="1" x14ac:dyDescent="0.45">
      <c r="A1396" s="64">
        <v>1391</v>
      </c>
      <c r="B1396" s="49" t="s">
        <v>2912</v>
      </c>
      <c r="C1396" s="50" t="s">
        <v>4760</v>
      </c>
      <c r="D1396" s="49">
        <v>156212</v>
      </c>
      <c r="E1396" s="59" t="s">
        <v>4761</v>
      </c>
      <c r="F1396" s="49" t="s">
        <v>6</v>
      </c>
      <c r="G1396" s="70">
        <f t="shared" si="2"/>
        <v>43192</v>
      </c>
      <c r="H1396" s="70">
        <f t="shared" si="3"/>
        <v>43222</v>
      </c>
      <c r="I1396" s="48">
        <v>43222</v>
      </c>
      <c r="J1396" s="49" t="s">
        <v>4019</v>
      </c>
      <c r="K1396" s="58" t="s">
        <v>7</v>
      </c>
      <c r="L1396" s="49">
        <v>0</v>
      </c>
      <c r="M1396" s="48">
        <v>43238</v>
      </c>
      <c r="N1396" s="52" t="s">
        <v>3153</v>
      </c>
      <c r="O1396" s="58" t="s">
        <v>7</v>
      </c>
      <c r="P1396" s="49">
        <v>0</v>
      </c>
      <c r="Q1396" s="51" t="s">
        <v>5002</v>
      </c>
      <c r="R1396" s="67" t="e" cm="1">
        <f t="array" ref="R1396">_xlfn.CHOOSECOLS(_xlfn.CHOOSEROWS(_xlfn._xlws.FILTER(표2[],표2[DWG No.]=C1396,""),1),6)</f>
        <v>#VALUE!</v>
      </c>
      <c r="S1396" s="67" t="e" cm="1">
        <f t="array" ref="S1396">_xlfn.CHOOSECOLS(_xlfn.CHOOSEROWS(_xlfn._xlws.FILTER(표2[],(표2[DWG No.]=C1396)*(ISNUMBER(표2[Rev.])),""),1),6)</f>
        <v>#VALUE!</v>
      </c>
    </row>
    <row r="1397" spans="1:19" ht="18" customHeight="1" x14ac:dyDescent="0.45">
      <c r="A1397" s="64">
        <v>1392</v>
      </c>
      <c r="B1397" s="49" t="s">
        <v>2912</v>
      </c>
      <c r="C1397" s="50" t="s">
        <v>4762</v>
      </c>
      <c r="D1397" s="49">
        <v>156207</v>
      </c>
      <c r="E1397" s="59" t="s">
        <v>4763</v>
      </c>
      <c r="F1397" s="49" t="s">
        <v>5030</v>
      </c>
      <c r="G1397" s="70">
        <f t="shared" si="2"/>
        <v>43509</v>
      </c>
      <c r="H1397" s="70">
        <f t="shared" si="3"/>
        <v>43539</v>
      </c>
      <c r="I1397" s="48">
        <v>43539</v>
      </c>
      <c r="J1397" s="49" t="s">
        <v>3274</v>
      </c>
      <c r="K1397" s="58" t="s">
        <v>7</v>
      </c>
      <c r="L1397" s="49">
        <v>2</v>
      </c>
      <c r="M1397" s="48">
        <v>43539</v>
      </c>
      <c r="N1397" s="52" t="s">
        <v>3275</v>
      </c>
      <c r="O1397" s="58" t="s">
        <v>7</v>
      </c>
      <c r="P1397" s="49">
        <v>2</v>
      </c>
      <c r="Q1397" s="51" t="s">
        <v>5002</v>
      </c>
      <c r="R1397" s="67" t="e" cm="1">
        <f t="array" ref="R1397">_xlfn.CHOOSECOLS(_xlfn.CHOOSEROWS(_xlfn._xlws.FILTER(표2[],표2[DWG No.]=C1397,""),1),6)</f>
        <v>#VALUE!</v>
      </c>
      <c r="S1397" s="67" t="e" cm="1">
        <f t="array" ref="S1397">_xlfn.CHOOSECOLS(_xlfn.CHOOSEROWS(_xlfn._xlws.FILTER(표2[],(표2[DWG No.]=C1397)*(ISNUMBER(표2[Rev.])),""),1),6)</f>
        <v>#VALUE!</v>
      </c>
    </row>
    <row r="1398" spans="1:19" ht="18" customHeight="1" x14ac:dyDescent="0.45">
      <c r="A1398" s="64">
        <v>1393</v>
      </c>
      <c r="B1398" s="49" t="s">
        <v>2912</v>
      </c>
      <c r="C1398" s="50" t="s">
        <v>4764</v>
      </c>
      <c r="D1398" s="49">
        <v>179031</v>
      </c>
      <c r="E1398" s="59" t="s">
        <v>4765</v>
      </c>
      <c r="F1398" s="49" t="s">
        <v>6</v>
      </c>
      <c r="G1398" s="70">
        <f t="shared" si="2"/>
        <v>43192</v>
      </c>
      <c r="H1398" s="70">
        <f t="shared" si="3"/>
        <v>43222</v>
      </c>
      <c r="I1398" s="48">
        <v>43222</v>
      </c>
      <c r="J1398" s="49" t="s">
        <v>4019</v>
      </c>
      <c r="K1398" s="58" t="s">
        <v>7</v>
      </c>
      <c r="L1398" s="49">
        <v>0</v>
      </c>
      <c r="M1398" s="48">
        <v>43238</v>
      </c>
      <c r="N1398" s="52" t="s">
        <v>3153</v>
      </c>
      <c r="O1398" s="58" t="s">
        <v>7</v>
      </c>
      <c r="P1398" s="49">
        <v>0</v>
      </c>
      <c r="Q1398" s="49" t="s">
        <v>160</v>
      </c>
      <c r="R1398" s="67" t="e" cm="1">
        <f t="array" ref="R1398">_xlfn.CHOOSECOLS(_xlfn.CHOOSEROWS(_xlfn._xlws.FILTER(표2[],표2[DWG No.]=C1398,""),1),6)</f>
        <v>#VALUE!</v>
      </c>
      <c r="S1398" s="67" t="e" cm="1">
        <f t="array" ref="S1398">_xlfn.CHOOSECOLS(_xlfn.CHOOSEROWS(_xlfn._xlws.FILTER(표2[],(표2[DWG No.]=C1398)*(ISNUMBER(표2[Rev.])),""),1),6)</f>
        <v>#VALUE!</v>
      </c>
    </row>
    <row r="1399" spans="1:19" ht="18" customHeight="1" x14ac:dyDescent="0.45">
      <c r="A1399" s="64">
        <v>1394</v>
      </c>
      <c r="B1399" s="49" t="s">
        <v>2912</v>
      </c>
      <c r="C1399" s="50" t="s">
        <v>4766</v>
      </c>
      <c r="D1399" s="49">
        <v>179033</v>
      </c>
      <c r="E1399" s="59" t="s">
        <v>4767</v>
      </c>
      <c r="F1399" s="49" t="s">
        <v>6</v>
      </c>
      <c r="G1399" s="70">
        <f t="shared" si="2"/>
        <v>43192</v>
      </c>
      <c r="H1399" s="70">
        <f t="shared" si="3"/>
        <v>43222</v>
      </c>
      <c r="I1399" s="48">
        <v>43222</v>
      </c>
      <c r="J1399" s="49" t="s">
        <v>4019</v>
      </c>
      <c r="K1399" s="58" t="s">
        <v>7</v>
      </c>
      <c r="L1399" s="49">
        <v>0</v>
      </c>
      <c r="M1399" s="48">
        <v>43238</v>
      </c>
      <c r="N1399" s="52" t="s">
        <v>3153</v>
      </c>
      <c r="O1399" s="58" t="s">
        <v>7</v>
      </c>
      <c r="P1399" s="49">
        <v>0</v>
      </c>
      <c r="Q1399" s="49" t="s">
        <v>160</v>
      </c>
      <c r="R1399" s="67" t="e" cm="1">
        <f t="array" ref="R1399">_xlfn.CHOOSECOLS(_xlfn.CHOOSEROWS(_xlfn._xlws.FILTER(표2[],표2[DWG No.]=C1399,""),1),6)</f>
        <v>#VALUE!</v>
      </c>
      <c r="S1399" s="67" t="e" cm="1">
        <f t="array" ref="S1399">_xlfn.CHOOSECOLS(_xlfn.CHOOSEROWS(_xlfn._xlws.FILTER(표2[],(표2[DWG No.]=C1399)*(ISNUMBER(표2[Rev.])),""),1),6)</f>
        <v>#VALUE!</v>
      </c>
    </row>
    <row r="1400" spans="1:19" ht="18" customHeight="1" x14ac:dyDescent="0.45">
      <c r="A1400" s="64">
        <v>1395</v>
      </c>
      <c r="B1400" s="49" t="s">
        <v>2912</v>
      </c>
      <c r="C1400" s="50" t="s">
        <v>4768</v>
      </c>
      <c r="D1400" s="49">
        <v>156191</v>
      </c>
      <c r="E1400" s="59" t="s">
        <v>4769</v>
      </c>
      <c r="F1400" s="49" t="s">
        <v>6</v>
      </c>
      <c r="G1400" s="48">
        <f>I1400</f>
        <v>43395</v>
      </c>
      <c r="H1400" s="48">
        <f>G1400+30</f>
        <v>43425</v>
      </c>
      <c r="I1400" s="48">
        <v>43395</v>
      </c>
      <c r="J1400" s="49" t="s">
        <v>4227</v>
      </c>
      <c r="K1400" s="58" t="s">
        <v>5032</v>
      </c>
      <c r="L1400" s="49" t="s">
        <v>160</v>
      </c>
      <c r="M1400" s="48">
        <v>43409</v>
      </c>
      <c r="N1400" s="52" t="s">
        <v>3153</v>
      </c>
      <c r="O1400" s="49" t="s">
        <v>6</v>
      </c>
      <c r="P1400" s="49" t="s">
        <v>160</v>
      </c>
      <c r="Q1400" s="51" t="s">
        <v>65</v>
      </c>
      <c r="R1400" s="67" t="e" cm="1">
        <f t="array" ref="R1400">_xlfn.CHOOSECOLS(_xlfn.CHOOSEROWS(_xlfn._xlws.FILTER(표2[],표2[DWG No.]=C1400,""),1),6)</f>
        <v>#VALUE!</v>
      </c>
      <c r="S1400" s="67" t="e" cm="1">
        <f t="array" ref="S1400">_xlfn.CHOOSECOLS(_xlfn.CHOOSEROWS(_xlfn._xlws.FILTER(표2[],(표2[DWG No.]=C1400)*(ISNUMBER(표2[Rev.])),""),1),6)</f>
        <v>#VALUE!</v>
      </c>
    </row>
    <row r="1401" spans="1:19" ht="18" customHeight="1" x14ac:dyDescent="0.45">
      <c r="A1401" s="64">
        <v>1396</v>
      </c>
      <c r="B1401" s="49" t="s">
        <v>2912</v>
      </c>
      <c r="C1401" s="50" t="s">
        <v>4770</v>
      </c>
      <c r="D1401" s="49">
        <v>179036</v>
      </c>
      <c r="E1401" s="59" t="s">
        <v>4771</v>
      </c>
      <c r="F1401" s="49" t="s">
        <v>6</v>
      </c>
      <c r="G1401" s="70">
        <f t="shared" ref="G1401:G1429" si="4">H1401-30</f>
        <v>43208</v>
      </c>
      <c r="H1401" s="70">
        <f t="shared" ref="H1401:H1429" si="5">I1401</f>
        <v>43238</v>
      </c>
      <c r="I1401" s="48">
        <v>43238</v>
      </c>
      <c r="J1401" s="49" t="s">
        <v>4772</v>
      </c>
      <c r="K1401" s="58" t="s">
        <v>7</v>
      </c>
      <c r="L1401" s="49">
        <v>0</v>
      </c>
      <c r="M1401" s="48">
        <v>43243</v>
      </c>
      <c r="N1401" s="52" t="s">
        <v>3153</v>
      </c>
      <c r="O1401" s="49" t="s">
        <v>7</v>
      </c>
      <c r="P1401" s="49">
        <v>0</v>
      </c>
      <c r="Q1401" s="51" t="s">
        <v>5002</v>
      </c>
      <c r="R1401" s="67" t="e" cm="1">
        <f t="array" ref="R1401">_xlfn.CHOOSECOLS(_xlfn.CHOOSEROWS(_xlfn._xlws.FILTER(표2[],표2[DWG No.]=C1401,""),1),6)</f>
        <v>#VALUE!</v>
      </c>
      <c r="S1401" s="67" t="e" cm="1">
        <f t="array" ref="S1401">_xlfn.CHOOSECOLS(_xlfn.CHOOSEROWS(_xlfn._xlws.FILTER(표2[],(표2[DWG No.]=C1401)*(ISNUMBER(표2[Rev.])),""),1),6)</f>
        <v>#VALUE!</v>
      </c>
    </row>
    <row r="1402" spans="1:19" ht="18" customHeight="1" x14ac:dyDescent="0.45">
      <c r="A1402" s="64">
        <v>1397</v>
      </c>
      <c r="B1402" s="49" t="s">
        <v>2912</v>
      </c>
      <c r="C1402" s="50" t="s">
        <v>4773</v>
      </c>
      <c r="D1402" s="49">
        <v>156400</v>
      </c>
      <c r="E1402" s="59" t="s">
        <v>4774</v>
      </c>
      <c r="F1402" s="49" t="s">
        <v>6</v>
      </c>
      <c r="G1402" s="70">
        <f t="shared" si="4"/>
        <v>43558</v>
      </c>
      <c r="H1402" s="70">
        <f t="shared" si="5"/>
        <v>43588</v>
      </c>
      <c r="I1402" s="48">
        <v>43588</v>
      </c>
      <c r="J1402" s="49" t="s">
        <v>4775</v>
      </c>
      <c r="K1402" s="58" t="s">
        <v>7</v>
      </c>
      <c r="L1402" s="49">
        <v>0</v>
      </c>
      <c r="M1402" s="48"/>
      <c r="N1402" s="52" t="s">
        <v>4585</v>
      </c>
      <c r="O1402" s="49"/>
      <c r="P1402" s="49"/>
      <c r="Q1402" s="51" t="s">
        <v>5002</v>
      </c>
      <c r="R1402" s="67" t="e" cm="1">
        <f t="array" ref="R1402">_xlfn.CHOOSECOLS(_xlfn.CHOOSEROWS(_xlfn._xlws.FILTER(표2[],표2[DWG No.]=C1402,""),1),6)</f>
        <v>#VALUE!</v>
      </c>
      <c r="S1402" s="67" t="e" cm="1">
        <f t="array" ref="S1402">_xlfn.CHOOSECOLS(_xlfn.CHOOSEROWS(_xlfn._xlws.FILTER(표2[],(표2[DWG No.]=C1402)*(ISNUMBER(표2[Rev.])),""),1),6)</f>
        <v>#VALUE!</v>
      </c>
    </row>
    <row r="1403" spans="1:19" ht="18" customHeight="1" x14ac:dyDescent="0.45">
      <c r="A1403" s="64">
        <v>1398</v>
      </c>
      <c r="B1403" s="49" t="s">
        <v>2912</v>
      </c>
      <c r="C1403" s="50" t="s">
        <v>4776</v>
      </c>
      <c r="D1403" s="49">
        <v>156401</v>
      </c>
      <c r="E1403" s="59" t="s">
        <v>4777</v>
      </c>
      <c r="F1403" s="49" t="s">
        <v>6</v>
      </c>
      <c r="G1403" s="70">
        <f t="shared" si="4"/>
        <v>43365</v>
      </c>
      <c r="H1403" s="70">
        <f t="shared" si="5"/>
        <v>43395</v>
      </c>
      <c r="I1403" s="48">
        <v>43395</v>
      </c>
      <c r="J1403" s="49" t="s">
        <v>4227</v>
      </c>
      <c r="K1403" s="58" t="s">
        <v>7</v>
      </c>
      <c r="L1403" s="49">
        <v>0</v>
      </c>
      <c r="M1403" s="48"/>
      <c r="N1403" s="52" t="s">
        <v>4585</v>
      </c>
      <c r="O1403" s="49"/>
      <c r="P1403" s="49"/>
      <c r="Q1403" s="51" t="s">
        <v>5002</v>
      </c>
      <c r="R1403" s="67" t="e" cm="1">
        <f t="array" ref="R1403">_xlfn.CHOOSECOLS(_xlfn.CHOOSEROWS(_xlfn._xlws.FILTER(표2[],표2[DWG No.]=C1403,""),1),6)</f>
        <v>#VALUE!</v>
      </c>
      <c r="S1403" s="67" t="e" cm="1">
        <f t="array" ref="S1403">_xlfn.CHOOSECOLS(_xlfn.CHOOSEROWS(_xlfn._xlws.FILTER(표2[],(표2[DWG No.]=C1403)*(ISNUMBER(표2[Rev.])),""),1),6)</f>
        <v>#VALUE!</v>
      </c>
    </row>
    <row r="1404" spans="1:19" ht="18" customHeight="1" x14ac:dyDescent="0.45">
      <c r="A1404" s="64">
        <v>1399</v>
      </c>
      <c r="B1404" s="49" t="s">
        <v>2912</v>
      </c>
      <c r="C1404" s="75" t="s">
        <v>4778</v>
      </c>
      <c r="D1404" s="49">
        <v>146538</v>
      </c>
      <c r="E1404" s="76" t="s">
        <v>4779</v>
      </c>
      <c r="F1404" s="49" t="s">
        <v>6</v>
      </c>
      <c r="G1404" s="70">
        <f t="shared" si="4"/>
        <v>43305</v>
      </c>
      <c r="H1404" s="70">
        <f t="shared" si="5"/>
        <v>43335</v>
      </c>
      <c r="I1404" s="48">
        <v>43335</v>
      </c>
      <c r="J1404" s="49" t="s">
        <v>4780</v>
      </c>
      <c r="K1404" s="58" t="s">
        <v>7</v>
      </c>
      <c r="L1404" s="49">
        <v>0</v>
      </c>
      <c r="M1404" s="48">
        <v>43343</v>
      </c>
      <c r="N1404" s="52" t="s">
        <v>3153</v>
      </c>
      <c r="O1404" s="49" t="s">
        <v>7</v>
      </c>
      <c r="P1404" s="49">
        <v>0</v>
      </c>
      <c r="Q1404" s="51" t="s">
        <v>5002</v>
      </c>
      <c r="R1404" s="67" t="e" cm="1">
        <f t="array" ref="R1404">_xlfn.CHOOSECOLS(_xlfn.CHOOSEROWS(_xlfn._xlws.FILTER(표2[],표2[DWG No.]=C1404,""),1),6)</f>
        <v>#VALUE!</v>
      </c>
      <c r="S1404" s="67" t="e" cm="1">
        <f t="array" ref="S1404">_xlfn.CHOOSECOLS(_xlfn.CHOOSEROWS(_xlfn._xlws.FILTER(표2[],(표2[DWG No.]=C1404)*(ISNUMBER(표2[Rev.])),""),1),6)</f>
        <v>#VALUE!</v>
      </c>
    </row>
    <row r="1405" spans="1:19" ht="18" customHeight="1" x14ac:dyDescent="0.45">
      <c r="A1405" s="64">
        <v>1400</v>
      </c>
      <c r="B1405" s="49" t="s">
        <v>2912</v>
      </c>
      <c r="C1405" s="75" t="s">
        <v>4781</v>
      </c>
      <c r="D1405" s="49">
        <v>146555</v>
      </c>
      <c r="E1405" s="76" t="s">
        <v>4782</v>
      </c>
      <c r="F1405" s="49" t="s">
        <v>6</v>
      </c>
      <c r="G1405" s="70">
        <f t="shared" si="4"/>
        <v>43305</v>
      </c>
      <c r="H1405" s="70">
        <f t="shared" si="5"/>
        <v>43335</v>
      </c>
      <c r="I1405" s="48">
        <v>43335</v>
      </c>
      <c r="J1405" s="49" t="s">
        <v>4780</v>
      </c>
      <c r="K1405" s="58" t="s">
        <v>7</v>
      </c>
      <c r="L1405" s="49">
        <v>0</v>
      </c>
      <c r="M1405" s="48">
        <v>43343</v>
      </c>
      <c r="N1405" s="52" t="s">
        <v>3153</v>
      </c>
      <c r="O1405" s="49" t="s">
        <v>7</v>
      </c>
      <c r="P1405" s="49">
        <v>0</v>
      </c>
      <c r="Q1405" s="51" t="s">
        <v>5002</v>
      </c>
      <c r="R1405" s="67" t="e" cm="1">
        <f t="array" ref="R1405">_xlfn.CHOOSECOLS(_xlfn.CHOOSEROWS(_xlfn._xlws.FILTER(표2[],표2[DWG No.]=C1405,""),1),6)</f>
        <v>#VALUE!</v>
      </c>
      <c r="S1405" s="67" t="e" cm="1">
        <f t="array" ref="S1405">_xlfn.CHOOSECOLS(_xlfn.CHOOSEROWS(_xlfn._xlws.FILTER(표2[],(표2[DWG No.]=C1405)*(ISNUMBER(표2[Rev.])),""),1),6)</f>
        <v>#VALUE!</v>
      </c>
    </row>
    <row r="1406" spans="1:19" ht="18" customHeight="1" x14ac:dyDescent="0.45">
      <c r="A1406" s="64">
        <v>1401</v>
      </c>
      <c r="B1406" s="49" t="s">
        <v>2912</v>
      </c>
      <c r="C1406" s="75" t="s">
        <v>4783</v>
      </c>
      <c r="D1406" s="49">
        <v>156352</v>
      </c>
      <c r="E1406" s="76" t="s">
        <v>4784</v>
      </c>
      <c r="F1406" s="49" t="s">
        <v>6</v>
      </c>
      <c r="G1406" s="70">
        <f t="shared" si="4"/>
        <v>43465</v>
      </c>
      <c r="H1406" s="70">
        <f t="shared" si="5"/>
        <v>43495</v>
      </c>
      <c r="I1406" s="48">
        <v>43495</v>
      </c>
      <c r="J1406" s="49" t="s">
        <v>4785</v>
      </c>
      <c r="K1406" s="58" t="s">
        <v>7</v>
      </c>
      <c r="L1406" s="49">
        <v>0</v>
      </c>
      <c r="M1406" s="48">
        <v>43522</v>
      </c>
      <c r="N1406" s="52" t="s">
        <v>4786</v>
      </c>
      <c r="O1406" s="49" t="s">
        <v>7</v>
      </c>
      <c r="P1406" s="49">
        <v>0</v>
      </c>
      <c r="Q1406" s="51" t="s">
        <v>5002</v>
      </c>
      <c r="R1406" s="67" t="e" cm="1">
        <f t="array" ref="R1406">_xlfn.CHOOSECOLS(_xlfn.CHOOSEROWS(_xlfn._xlws.FILTER(표2[],표2[DWG No.]=C1406,""),1),6)</f>
        <v>#VALUE!</v>
      </c>
      <c r="S1406" s="67" t="e" cm="1">
        <f t="array" ref="S1406">_xlfn.CHOOSECOLS(_xlfn.CHOOSEROWS(_xlfn._xlws.FILTER(표2[],(표2[DWG No.]=C1406)*(ISNUMBER(표2[Rev.])),""),1),6)</f>
        <v>#VALUE!</v>
      </c>
    </row>
    <row r="1407" spans="1:19" ht="18" customHeight="1" x14ac:dyDescent="0.45">
      <c r="A1407" s="64">
        <v>1402</v>
      </c>
      <c r="B1407" s="49" t="s">
        <v>2912</v>
      </c>
      <c r="C1407" s="75" t="s">
        <v>4787</v>
      </c>
      <c r="D1407" s="49">
        <v>156353</v>
      </c>
      <c r="E1407" s="76" t="s">
        <v>4788</v>
      </c>
      <c r="F1407" s="49" t="s">
        <v>6</v>
      </c>
      <c r="G1407" s="70">
        <f t="shared" si="4"/>
        <v>43488</v>
      </c>
      <c r="H1407" s="70">
        <f t="shared" si="5"/>
        <v>43518</v>
      </c>
      <c r="I1407" s="48">
        <v>43518</v>
      </c>
      <c r="J1407" s="49" t="s">
        <v>4789</v>
      </c>
      <c r="K1407" s="58" t="s">
        <v>7</v>
      </c>
      <c r="L1407" s="49">
        <v>0</v>
      </c>
      <c r="M1407" s="48"/>
      <c r="N1407" s="49" t="s">
        <v>4585</v>
      </c>
      <c r="O1407" s="49" t="s">
        <v>7</v>
      </c>
      <c r="P1407" s="49"/>
      <c r="Q1407" s="51" t="s">
        <v>5002</v>
      </c>
      <c r="R1407" s="67" t="e" cm="1">
        <f t="array" ref="R1407">_xlfn.CHOOSECOLS(_xlfn.CHOOSEROWS(_xlfn._xlws.FILTER(표2[],표2[DWG No.]=C1407,""),1),6)</f>
        <v>#VALUE!</v>
      </c>
      <c r="S1407" s="67" t="e" cm="1">
        <f t="array" ref="S1407">_xlfn.CHOOSECOLS(_xlfn.CHOOSEROWS(_xlfn._xlws.FILTER(표2[],(표2[DWG No.]=C1407)*(ISNUMBER(표2[Rev.])),""),1),6)</f>
        <v>#VALUE!</v>
      </c>
    </row>
    <row r="1408" spans="1:19" ht="18" customHeight="1" x14ac:dyDescent="0.45">
      <c r="A1408" s="64">
        <v>1403</v>
      </c>
      <c r="B1408" s="49" t="s">
        <v>2912</v>
      </c>
      <c r="C1408" s="75" t="s">
        <v>4790</v>
      </c>
      <c r="D1408" s="49">
        <v>156354</v>
      </c>
      <c r="E1408" s="76" t="s">
        <v>4791</v>
      </c>
      <c r="F1408" s="49" t="s">
        <v>6</v>
      </c>
      <c r="G1408" s="70">
        <f t="shared" si="4"/>
        <v>43465</v>
      </c>
      <c r="H1408" s="70">
        <f t="shared" si="5"/>
        <v>43495</v>
      </c>
      <c r="I1408" s="48">
        <v>43495</v>
      </c>
      <c r="J1408" s="49" t="s">
        <v>4785</v>
      </c>
      <c r="K1408" s="58" t="s">
        <v>7</v>
      </c>
      <c r="L1408" s="49">
        <v>0</v>
      </c>
      <c r="M1408" s="48">
        <v>43522</v>
      </c>
      <c r="N1408" s="52" t="s">
        <v>4786</v>
      </c>
      <c r="O1408" s="49" t="s">
        <v>7</v>
      </c>
      <c r="P1408" s="49">
        <v>0</v>
      </c>
      <c r="Q1408" s="51" t="s">
        <v>5002</v>
      </c>
      <c r="R1408" s="67" t="e" cm="1">
        <f t="array" ref="R1408">_xlfn.CHOOSECOLS(_xlfn.CHOOSEROWS(_xlfn._xlws.FILTER(표2[],표2[DWG No.]=C1408,""),1),6)</f>
        <v>#VALUE!</v>
      </c>
      <c r="S1408" s="67" t="e" cm="1">
        <f t="array" ref="S1408">_xlfn.CHOOSECOLS(_xlfn.CHOOSEROWS(_xlfn._xlws.FILTER(표2[],(표2[DWG No.]=C1408)*(ISNUMBER(표2[Rev.])),""),1),6)</f>
        <v>#VALUE!</v>
      </c>
    </row>
    <row r="1409" spans="1:19" ht="18" customHeight="1" x14ac:dyDescent="0.45">
      <c r="A1409" s="64">
        <v>1404</v>
      </c>
      <c r="B1409" s="49" t="s">
        <v>2912</v>
      </c>
      <c r="C1409" s="75" t="s">
        <v>4792</v>
      </c>
      <c r="D1409" s="49">
        <v>156355</v>
      </c>
      <c r="E1409" s="76" t="s">
        <v>4793</v>
      </c>
      <c r="F1409" s="49" t="s">
        <v>6</v>
      </c>
      <c r="G1409" s="70">
        <f t="shared" si="4"/>
        <v>43488</v>
      </c>
      <c r="H1409" s="70">
        <f t="shared" si="5"/>
        <v>43518</v>
      </c>
      <c r="I1409" s="48">
        <v>43518</v>
      </c>
      <c r="J1409" s="49" t="s">
        <v>4789</v>
      </c>
      <c r="K1409" s="58" t="s">
        <v>7</v>
      </c>
      <c r="L1409" s="49">
        <v>0</v>
      </c>
      <c r="M1409" s="48"/>
      <c r="N1409" s="49" t="s">
        <v>4585</v>
      </c>
      <c r="O1409" s="49" t="s">
        <v>7</v>
      </c>
      <c r="P1409" s="49"/>
      <c r="Q1409" s="51" t="s">
        <v>5002</v>
      </c>
      <c r="R1409" s="67" t="e" cm="1">
        <f t="array" ref="R1409">_xlfn.CHOOSECOLS(_xlfn.CHOOSEROWS(_xlfn._xlws.FILTER(표2[],표2[DWG No.]=C1409,""),1),6)</f>
        <v>#VALUE!</v>
      </c>
      <c r="S1409" s="67" t="e" cm="1">
        <f t="array" ref="S1409">_xlfn.CHOOSECOLS(_xlfn.CHOOSEROWS(_xlfn._xlws.FILTER(표2[],(표2[DWG No.]=C1409)*(ISNUMBER(표2[Rev.])),""),1),6)</f>
        <v>#VALUE!</v>
      </c>
    </row>
    <row r="1410" spans="1:19" ht="18" customHeight="1" x14ac:dyDescent="0.45">
      <c r="A1410" s="64">
        <v>1405</v>
      </c>
      <c r="B1410" s="49" t="s">
        <v>2912</v>
      </c>
      <c r="C1410" s="75" t="s">
        <v>4794</v>
      </c>
      <c r="D1410" s="49">
        <v>156356</v>
      </c>
      <c r="E1410" s="76" t="s">
        <v>4795</v>
      </c>
      <c r="F1410" s="49" t="s">
        <v>6</v>
      </c>
      <c r="G1410" s="70">
        <f t="shared" si="4"/>
        <v>43488</v>
      </c>
      <c r="H1410" s="70">
        <f t="shared" si="5"/>
        <v>43518</v>
      </c>
      <c r="I1410" s="48">
        <v>43518</v>
      </c>
      <c r="J1410" s="49" t="s">
        <v>4789</v>
      </c>
      <c r="K1410" s="58" t="s">
        <v>7</v>
      </c>
      <c r="L1410" s="49">
        <v>0</v>
      </c>
      <c r="M1410" s="48"/>
      <c r="N1410" s="49" t="s">
        <v>4585</v>
      </c>
      <c r="O1410" s="49" t="s">
        <v>7</v>
      </c>
      <c r="P1410" s="49"/>
      <c r="Q1410" s="51" t="s">
        <v>5002</v>
      </c>
      <c r="R1410" s="67" t="e" cm="1">
        <f t="array" ref="R1410">_xlfn.CHOOSECOLS(_xlfn.CHOOSEROWS(_xlfn._xlws.FILTER(표2[],표2[DWG No.]=C1410,""),1),6)</f>
        <v>#VALUE!</v>
      </c>
      <c r="S1410" s="67" t="e" cm="1">
        <f t="array" ref="S1410">_xlfn.CHOOSECOLS(_xlfn.CHOOSEROWS(_xlfn._xlws.FILTER(표2[],(표2[DWG No.]=C1410)*(ISNUMBER(표2[Rev.])),""),1),6)</f>
        <v>#VALUE!</v>
      </c>
    </row>
    <row r="1411" spans="1:19" ht="18" customHeight="1" x14ac:dyDescent="0.45">
      <c r="A1411" s="64">
        <v>1406</v>
      </c>
      <c r="B1411" s="49" t="s">
        <v>2912</v>
      </c>
      <c r="C1411" s="75" t="s">
        <v>4796</v>
      </c>
      <c r="D1411" s="49">
        <v>156357</v>
      </c>
      <c r="E1411" s="76" t="s">
        <v>4797</v>
      </c>
      <c r="F1411" s="49" t="s">
        <v>6</v>
      </c>
      <c r="G1411" s="70">
        <f t="shared" si="4"/>
        <v>43488</v>
      </c>
      <c r="H1411" s="70">
        <f t="shared" si="5"/>
        <v>43518</v>
      </c>
      <c r="I1411" s="48">
        <v>43518</v>
      </c>
      <c r="J1411" s="49" t="s">
        <v>4789</v>
      </c>
      <c r="K1411" s="58" t="s">
        <v>7</v>
      </c>
      <c r="L1411" s="49">
        <v>0</v>
      </c>
      <c r="M1411" s="48"/>
      <c r="N1411" s="49" t="s">
        <v>4585</v>
      </c>
      <c r="O1411" s="49" t="s">
        <v>7</v>
      </c>
      <c r="P1411" s="49"/>
      <c r="Q1411" s="51" t="s">
        <v>5002</v>
      </c>
      <c r="R1411" s="67" t="e" cm="1">
        <f t="array" ref="R1411">_xlfn.CHOOSECOLS(_xlfn.CHOOSEROWS(_xlfn._xlws.FILTER(표2[],표2[DWG No.]=C1411,""),1),6)</f>
        <v>#VALUE!</v>
      </c>
      <c r="S1411" s="67" t="e" cm="1">
        <f t="array" ref="S1411">_xlfn.CHOOSECOLS(_xlfn.CHOOSEROWS(_xlfn._xlws.FILTER(표2[],(표2[DWG No.]=C1411)*(ISNUMBER(표2[Rev.])),""),1),6)</f>
        <v>#VALUE!</v>
      </c>
    </row>
    <row r="1412" spans="1:19" ht="18" customHeight="1" x14ac:dyDescent="0.45">
      <c r="A1412" s="64">
        <v>1407</v>
      </c>
      <c r="B1412" s="49" t="s">
        <v>2912</v>
      </c>
      <c r="C1412" s="50" t="s">
        <v>4798</v>
      </c>
      <c r="D1412" s="49">
        <v>135647</v>
      </c>
      <c r="E1412" s="59" t="s">
        <v>4799</v>
      </c>
      <c r="F1412" s="49" t="s">
        <v>6</v>
      </c>
      <c r="G1412" s="70">
        <f t="shared" si="4"/>
        <v>43550</v>
      </c>
      <c r="H1412" s="70">
        <f t="shared" si="5"/>
        <v>43580</v>
      </c>
      <c r="I1412" s="48">
        <v>43580</v>
      </c>
      <c r="J1412" s="49" t="s">
        <v>4800</v>
      </c>
      <c r="K1412" s="58" t="s">
        <v>7</v>
      </c>
      <c r="L1412" s="49">
        <v>0</v>
      </c>
      <c r="M1412" s="48">
        <v>43594</v>
      </c>
      <c r="N1412" s="52" t="s">
        <v>3959</v>
      </c>
      <c r="O1412" s="49" t="s">
        <v>7</v>
      </c>
      <c r="P1412" s="49">
        <v>0</v>
      </c>
      <c r="Q1412" s="51" t="s">
        <v>5002</v>
      </c>
      <c r="R1412" s="67" t="e" cm="1">
        <f t="array" ref="R1412">_xlfn.CHOOSECOLS(_xlfn.CHOOSEROWS(_xlfn._xlws.FILTER(표2[],표2[DWG No.]=C1412,""),1),6)</f>
        <v>#VALUE!</v>
      </c>
      <c r="S1412" s="67" t="e" cm="1">
        <f t="array" ref="S1412">_xlfn.CHOOSECOLS(_xlfn.CHOOSEROWS(_xlfn._xlws.FILTER(표2[],(표2[DWG No.]=C1412)*(ISNUMBER(표2[Rev.])),""),1),6)</f>
        <v>#VALUE!</v>
      </c>
    </row>
    <row r="1413" spans="1:19" ht="18" customHeight="1" x14ac:dyDescent="0.45">
      <c r="A1413" s="64">
        <v>1408</v>
      </c>
      <c r="B1413" s="49" t="s">
        <v>2912</v>
      </c>
      <c r="C1413" s="50" t="s">
        <v>4801</v>
      </c>
      <c r="D1413" s="52">
        <v>155853</v>
      </c>
      <c r="E1413" s="59" t="s">
        <v>4802</v>
      </c>
      <c r="F1413" s="49" t="s">
        <v>6</v>
      </c>
      <c r="G1413" s="70">
        <f t="shared" si="4"/>
        <v>43383</v>
      </c>
      <c r="H1413" s="70">
        <f t="shared" si="5"/>
        <v>43413</v>
      </c>
      <c r="I1413" s="48">
        <v>43413</v>
      </c>
      <c r="J1413" s="49" t="s">
        <v>3235</v>
      </c>
      <c r="K1413" s="58" t="s">
        <v>7</v>
      </c>
      <c r="L1413" s="49">
        <v>0</v>
      </c>
      <c r="M1413" s="48">
        <v>43413</v>
      </c>
      <c r="N1413" s="52" t="s">
        <v>3153</v>
      </c>
      <c r="O1413" s="49" t="s">
        <v>7</v>
      </c>
      <c r="P1413" s="49">
        <v>0</v>
      </c>
      <c r="Q1413" s="51" t="s">
        <v>5002</v>
      </c>
      <c r="R1413" s="67" t="e" cm="1">
        <f t="array" ref="R1413">_xlfn.CHOOSECOLS(_xlfn.CHOOSEROWS(_xlfn._xlws.FILTER(표2[],표2[DWG No.]=C1413,""),1),6)</f>
        <v>#VALUE!</v>
      </c>
      <c r="S1413" s="67" t="e" cm="1">
        <f t="array" ref="S1413">_xlfn.CHOOSECOLS(_xlfn.CHOOSEROWS(_xlfn._xlws.FILTER(표2[],(표2[DWG No.]=C1413)*(ISNUMBER(표2[Rev.])),""),1),6)</f>
        <v>#VALUE!</v>
      </c>
    </row>
    <row r="1414" spans="1:19" ht="18" customHeight="1" x14ac:dyDescent="0.45">
      <c r="A1414" s="64">
        <v>1409</v>
      </c>
      <c r="B1414" s="49" t="s">
        <v>2912</v>
      </c>
      <c r="C1414" s="50" t="s">
        <v>4803</v>
      </c>
      <c r="D1414" s="52">
        <v>155856</v>
      </c>
      <c r="E1414" s="59" t="s">
        <v>4804</v>
      </c>
      <c r="F1414" s="49" t="s">
        <v>6</v>
      </c>
      <c r="G1414" s="70">
        <f t="shared" si="4"/>
        <v>43509</v>
      </c>
      <c r="H1414" s="70">
        <f t="shared" si="5"/>
        <v>43539</v>
      </c>
      <c r="I1414" s="48">
        <v>43539</v>
      </c>
      <c r="J1414" s="49" t="s">
        <v>4805</v>
      </c>
      <c r="K1414" s="58" t="s">
        <v>7</v>
      </c>
      <c r="L1414" s="49">
        <v>1</v>
      </c>
      <c r="M1414" s="48">
        <v>43539</v>
      </c>
      <c r="N1414" s="52" t="s">
        <v>3275</v>
      </c>
      <c r="O1414" s="49" t="s">
        <v>7</v>
      </c>
      <c r="P1414" s="49">
        <v>1</v>
      </c>
      <c r="Q1414" s="51" t="s">
        <v>5002</v>
      </c>
      <c r="R1414" s="67" t="e" cm="1">
        <f t="array" ref="R1414">_xlfn.CHOOSECOLS(_xlfn.CHOOSEROWS(_xlfn._xlws.FILTER(표2[],표2[DWG No.]=C1414,""),1),6)</f>
        <v>#VALUE!</v>
      </c>
      <c r="S1414" s="67" t="e" cm="1">
        <f t="array" ref="S1414">_xlfn.CHOOSECOLS(_xlfn.CHOOSEROWS(_xlfn._xlws.FILTER(표2[],(표2[DWG No.]=C1414)*(ISNUMBER(표2[Rev.])),""),1),6)</f>
        <v>#VALUE!</v>
      </c>
    </row>
    <row r="1415" spans="1:19" ht="18" customHeight="1" x14ac:dyDescent="0.45">
      <c r="A1415" s="64">
        <v>1410</v>
      </c>
      <c r="B1415" s="49" t="s">
        <v>2912</v>
      </c>
      <c r="C1415" s="50" t="s">
        <v>4806</v>
      </c>
      <c r="D1415" s="52">
        <v>155951</v>
      </c>
      <c r="E1415" s="59" t="s">
        <v>4807</v>
      </c>
      <c r="F1415" s="49" t="s">
        <v>6</v>
      </c>
      <c r="G1415" s="70">
        <f t="shared" si="4"/>
        <v>43368</v>
      </c>
      <c r="H1415" s="70">
        <f t="shared" si="5"/>
        <v>43398</v>
      </c>
      <c r="I1415" s="48">
        <v>43398</v>
      </c>
      <c r="J1415" s="49" t="s">
        <v>4808</v>
      </c>
      <c r="K1415" s="58" t="s">
        <v>7</v>
      </c>
      <c r="L1415" s="49">
        <v>0</v>
      </c>
      <c r="M1415" s="48">
        <v>43398</v>
      </c>
      <c r="N1415" s="52" t="s">
        <v>3153</v>
      </c>
      <c r="O1415" s="49" t="s">
        <v>7</v>
      </c>
      <c r="P1415" s="49">
        <v>0</v>
      </c>
      <c r="Q1415" s="51" t="s">
        <v>5002</v>
      </c>
      <c r="R1415" s="67" t="e" cm="1">
        <f t="array" ref="R1415">_xlfn.CHOOSECOLS(_xlfn.CHOOSEROWS(_xlfn._xlws.FILTER(표2[],표2[DWG No.]=C1415,""),1),6)</f>
        <v>#VALUE!</v>
      </c>
      <c r="S1415" s="67" t="e" cm="1">
        <f t="array" ref="S1415">_xlfn.CHOOSECOLS(_xlfn.CHOOSEROWS(_xlfn._xlws.FILTER(표2[],(표2[DWG No.]=C1415)*(ISNUMBER(표2[Rev.])),""),1),6)</f>
        <v>#VALUE!</v>
      </c>
    </row>
    <row r="1416" spans="1:19" ht="18" customHeight="1" x14ac:dyDescent="0.45">
      <c r="A1416" s="64">
        <v>1411</v>
      </c>
      <c r="B1416" s="49" t="s">
        <v>2912</v>
      </c>
      <c r="C1416" s="50" t="s">
        <v>4809</v>
      </c>
      <c r="D1416" s="52">
        <v>155952</v>
      </c>
      <c r="E1416" s="59" t="s">
        <v>4810</v>
      </c>
      <c r="F1416" s="49" t="s">
        <v>6</v>
      </c>
      <c r="G1416" s="70">
        <f t="shared" si="4"/>
        <v>43383</v>
      </c>
      <c r="H1416" s="70">
        <f t="shared" si="5"/>
        <v>43413</v>
      </c>
      <c r="I1416" s="48">
        <v>43413</v>
      </c>
      <c r="J1416" s="49" t="s">
        <v>3235</v>
      </c>
      <c r="K1416" s="58" t="s">
        <v>7</v>
      </c>
      <c r="L1416" s="49">
        <v>0</v>
      </c>
      <c r="M1416" s="48">
        <v>43413</v>
      </c>
      <c r="N1416" s="52" t="s">
        <v>3153</v>
      </c>
      <c r="O1416" s="49" t="s">
        <v>7</v>
      </c>
      <c r="P1416" s="49">
        <v>0</v>
      </c>
      <c r="Q1416" s="51" t="s">
        <v>5002</v>
      </c>
      <c r="R1416" s="67" t="e" cm="1">
        <f t="array" ref="R1416">_xlfn.CHOOSECOLS(_xlfn.CHOOSEROWS(_xlfn._xlws.FILTER(표2[],표2[DWG No.]=C1416,""),1),6)</f>
        <v>#VALUE!</v>
      </c>
      <c r="S1416" s="67" t="e" cm="1">
        <f t="array" ref="S1416">_xlfn.CHOOSECOLS(_xlfn.CHOOSEROWS(_xlfn._xlws.FILTER(표2[],(표2[DWG No.]=C1416)*(ISNUMBER(표2[Rev.])),""),1),6)</f>
        <v>#VALUE!</v>
      </c>
    </row>
    <row r="1417" spans="1:19" ht="18" customHeight="1" x14ac:dyDescent="0.45">
      <c r="A1417" s="64">
        <v>1412</v>
      </c>
      <c r="B1417" s="49" t="s">
        <v>2912</v>
      </c>
      <c r="C1417" s="50" t="s">
        <v>4811</v>
      </c>
      <c r="D1417" s="52">
        <v>155949</v>
      </c>
      <c r="E1417" s="59" t="s">
        <v>4812</v>
      </c>
      <c r="F1417" s="49" t="s">
        <v>6</v>
      </c>
      <c r="G1417" s="70">
        <f t="shared" si="4"/>
        <v>43383</v>
      </c>
      <c r="H1417" s="70">
        <f t="shared" si="5"/>
        <v>43413</v>
      </c>
      <c r="I1417" s="48">
        <v>43413</v>
      </c>
      <c r="J1417" s="49" t="s">
        <v>3235</v>
      </c>
      <c r="K1417" s="58" t="s">
        <v>7</v>
      </c>
      <c r="L1417" s="49">
        <v>0</v>
      </c>
      <c r="M1417" s="48">
        <v>43413</v>
      </c>
      <c r="N1417" s="52" t="s">
        <v>3153</v>
      </c>
      <c r="O1417" s="49" t="s">
        <v>7</v>
      </c>
      <c r="P1417" s="49">
        <v>0</v>
      </c>
      <c r="Q1417" s="51" t="s">
        <v>5002</v>
      </c>
      <c r="R1417" s="67" t="e" cm="1">
        <f t="array" ref="R1417">_xlfn.CHOOSECOLS(_xlfn.CHOOSEROWS(_xlfn._xlws.FILTER(표2[],표2[DWG No.]=C1417,""),1),6)</f>
        <v>#VALUE!</v>
      </c>
      <c r="S1417" s="67" t="e" cm="1">
        <f t="array" ref="S1417">_xlfn.CHOOSECOLS(_xlfn.CHOOSEROWS(_xlfn._xlws.FILTER(표2[],(표2[DWG No.]=C1417)*(ISNUMBER(표2[Rev.])),""),1),6)</f>
        <v>#VALUE!</v>
      </c>
    </row>
    <row r="1418" spans="1:19" ht="18" customHeight="1" x14ac:dyDescent="0.45">
      <c r="A1418" s="64">
        <v>1413</v>
      </c>
      <c r="B1418" s="49" t="s">
        <v>2912</v>
      </c>
      <c r="C1418" s="50" t="s">
        <v>4813</v>
      </c>
      <c r="D1418" s="49">
        <v>155855</v>
      </c>
      <c r="E1418" s="59" t="s">
        <v>4814</v>
      </c>
      <c r="F1418" s="49" t="s">
        <v>6</v>
      </c>
      <c r="G1418" s="70">
        <f t="shared" si="4"/>
        <v>43509</v>
      </c>
      <c r="H1418" s="70">
        <f t="shared" si="5"/>
        <v>43539</v>
      </c>
      <c r="I1418" s="48">
        <v>43539</v>
      </c>
      <c r="J1418" s="49" t="s">
        <v>3274</v>
      </c>
      <c r="K1418" s="58" t="s">
        <v>7</v>
      </c>
      <c r="L1418" s="49">
        <v>0</v>
      </c>
      <c r="M1418" s="48">
        <v>43539</v>
      </c>
      <c r="N1418" s="52" t="s">
        <v>3275</v>
      </c>
      <c r="O1418" s="49" t="s">
        <v>7</v>
      </c>
      <c r="P1418" s="49">
        <v>0</v>
      </c>
      <c r="Q1418" s="51" t="s">
        <v>5002</v>
      </c>
      <c r="R1418" s="67" t="e" cm="1">
        <f t="array" ref="R1418">_xlfn.CHOOSECOLS(_xlfn.CHOOSEROWS(_xlfn._xlws.FILTER(표2[],표2[DWG No.]=C1418,""),1),6)</f>
        <v>#VALUE!</v>
      </c>
      <c r="S1418" s="67" t="e" cm="1">
        <f t="array" ref="S1418">_xlfn.CHOOSECOLS(_xlfn.CHOOSEROWS(_xlfn._xlws.FILTER(표2[],(표2[DWG No.]=C1418)*(ISNUMBER(표2[Rev.])),""),1),6)</f>
        <v>#VALUE!</v>
      </c>
    </row>
    <row r="1419" spans="1:19" ht="18" customHeight="1" x14ac:dyDescent="0.45">
      <c r="A1419" s="64">
        <v>1414</v>
      </c>
      <c r="B1419" s="49" t="s">
        <v>2912</v>
      </c>
      <c r="C1419" s="50" t="s">
        <v>4815</v>
      </c>
      <c r="D1419" s="49">
        <v>155839</v>
      </c>
      <c r="E1419" s="59" t="s">
        <v>4816</v>
      </c>
      <c r="F1419" s="49" t="s">
        <v>6</v>
      </c>
      <c r="G1419" s="70">
        <f t="shared" si="4"/>
        <v>43509</v>
      </c>
      <c r="H1419" s="70">
        <f t="shared" si="5"/>
        <v>43539</v>
      </c>
      <c r="I1419" s="48">
        <v>43539</v>
      </c>
      <c r="J1419" s="49" t="s">
        <v>3274</v>
      </c>
      <c r="K1419" s="58" t="s">
        <v>7</v>
      </c>
      <c r="L1419" s="49">
        <v>0</v>
      </c>
      <c r="M1419" s="48">
        <v>43539</v>
      </c>
      <c r="N1419" s="49" t="s">
        <v>3275</v>
      </c>
      <c r="O1419" s="49" t="s">
        <v>7</v>
      </c>
      <c r="P1419" s="49">
        <v>0</v>
      </c>
      <c r="Q1419" s="49" t="s">
        <v>160</v>
      </c>
      <c r="R1419" s="67" t="e" cm="1">
        <f t="array" ref="R1419">_xlfn.CHOOSECOLS(_xlfn.CHOOSEROWS(_xlfn._xlws.FILTER(표2[],표2[DWG No.]=C1419,""),1),6)</f>
        <v>#VALUE!</v>
      </c>
      <c r="S1419" s="67" t="e" cm="1">
        <f t="array" ref="S1419">_xlfn.CHOOSECOLS(_xlfn.CHOOSEROWS(_xlfn._xlws.FILTER(표2[],(표2[DWG No.]=C1419)*(ISNUMBER(표2[Rev.])),""),1),6)</f>
        <v>#VALUE!</v>
      </c>
    </row>
    <row r="1420" spans="1:19" ht="18" customHeight="1" x14ac:dyDescent="0.45">
      <c r="A1420" s="64">
        <v>1415</v>
      </c>
      <c r="B1420" s="49" t="s">
        <v>2912</v>
      </c>
      <c r="C1420" s="50" t="s">
        <v>4817</v>
      </c>
      <c r="D1420" s="49">
        <v>156277</v>
      </c>
      <c r="E1420" s="59" t="s">
        <v>4818</v>
      </c>
      <c r="F1420" s="49" t="s">
        <v>6</v>
      </c>
      <c r="G1420" s="70">
        <f t="shared" si="4"/>
        <v>43509</v>
      </c>
      <c r="H1420" s="70">
        <f t="shared" si="5"/>
        <v>43539</v>
      </c>
      <c r="I1420" s="48">
        <v>43539</v>
      </c>
      <c r="J1420" s="49" t="s">
        <v>3274</v>
      </c>
      <c r="K1420" s="58" t="s">
        <v>7</v>
      </c>
      <c r="L1420" s="49">
        <v>0</v>
      </c>
      <c r="M1420" s="48">
        <v>43539</v>
      </c>
      <c r="N1420" s="49" t="s">
        <v>3275</v>
      </c>
      <c r="O1420" s="49" t="s">
        <v>7</v>
      </c>
      <c r="P1420" s="49">
        <v>0</v>
      </c>
      <c r="Q1420" s="51" t="s">
        <v>5002</v>
      </c>
      <c r="R1420" s="67" t="e" cm="1">
        <f t="array" ref="R1420">_xlfn.CHOOSECOLS(_xlfn.CHOOSEROWS(_xlfn._xlws.FILTER(표2[],표2[DWG No.]=C1420,""),1),6)</f>
        <v>#VALUE!</v>
      </c>
      <c r="S1420" s="67" t="e" cm="1">
        <f t="array" ref="S1420">_xlfn.CHOOSECOLS(_xlfn.CHOOSEROWS(_xlfn._xlws.FILTER(표2[],(표2[DWG No.]=C1420)*(ISNUMBER(표2[Rev.])),""),1),6)</f>
        <v>#VALUE!</v>
      </c>
    </row>
    <row r="1421" spans="1:19" ht="18" customHeight="1" x14ac:dyDescent="0.45">
      <c r="A1421" s="64">
        <v>1416</v>
      </c>
      <c r="B1421" s="49" t="s">
        <v>2912</v>
      </c>
      <c r="C1421" s="50" t="s">
        <v>4819</v>
      </c>
      <c r="D1421" s="49">
        <v>156278</v>
      </c>
      <c r="E1421" s="59" t="s">
        <v>4820</v>
      </c>
      <c r="F1421" s="49" t="s">
        <v>6</v>
      </c>
      <c r="G1421" s="70">
        <f t="shared" si="4"/>
        <v>43509</v>
      </c>
      <c r="H1421" s="70">
        <f t="shared" si="5"/>
        <v>43539</v>
      </c>
      <c r="I1421" s="48">
        <v>43539</v>
      </c>
      <c r="J1421" s="49" t="s">
        <v>3274</v>
      </c>
      <c r="K1421" s="58" t="s">
        <v>7</v>
      </c>
      <c r="L1421" s="49">
        <v>0</v>
      </c>
      <c r="M1421" s="48">
        <v>43539</v>
      </c>
      <c r="N1421" s="49" t="s">
        <v>3275</v>
      </c>
      <c r="O1421" s="49" t="s">
        <v>7</v>
      </c>
      <c r="P1421" s="49">
        <v>0</v>
      </c>
      <c r="Q1421" s="51" t="s">
        <v>5002</v>
      </c>
      <c r="R1421" s="67" t="e" cm="1">
        <f t="array" ref="R1421">_xlfn.CHOOSECOLS(_xlfn.CHOOSEROWS(_xlfn._xlws.FILTER(표2[],표2[DWG No.]=C1421,""),1),6)</f>
        <v>#VALUE!</v>
      </c>
      <c r="S1421" s="67" t="e" cm="1">
        <f t="array" ref="S1421">_xlfn.CHOOSECOLS(_xlfn.CHOOSEROWS(_xlfn._xlws.FILTER(표2[],(표2[DWG No.]=C1421)*(ISNUMBER(표2[Rev.])),""),1),6)</f>
        <v>#VALUE!</v>
      </c>
    </row>
    <row r="1422" spans="1:19" ht="18" customHeight="1" x14ac:dyDescent="0.45">
      <c r="A1422" s="64">
        <v>1417</v>
      </c>
      <c r="B1422" s="49" t="s">
        <v>2912</v>
      </c>
      <c r="C1422" s="50" t="s">
        <v>4821</v>
      </c>
      <c r="D1422" s="49">
        <v>156182</v>
      </c>
      <c r="E1422" s="59" t="s">
        <v>4822</v>
      </c>
      <c r="F1422" s="49" t="s">
        <v>6</v>
      </c>
      <c r="G1422" s="70">
        <f t="shared" si="4"/>
        <v>43382</v>
      </c>
      <c r="H1422" s="70">
        <f t="shared" si="5"/>
        <v>43412</v>
      </c>
      <c r="I1422" s="48">
        <v>43412</v>
      </c>
      <c r="J1422" s="49" t="s">
        <v>4253</v>
      </c>
      <c r="K1422" s="58" t="s">
        <v>7</v>
      </c>
      <c r="L1422" s="49">
        <v>0</v>
      </c>
      <c r="M1422" s="48">
        <v>43418</v>
      </c>
      <c r="N1422" s="49" t="s">
        <v>3153</v>
      </c>
      <c r="O1422" s="49" t="s">
        <v>7</v>
      </c>
      <c r="P1422" s="49">
        <v>0</v>
      </c>
      <c r="Q1422" s="51" t="s">
        <v>5002</v>
      </c>
      <c r="R1422" s="67" t="e" cm="1">
        <f t="array" ref="R1422">_xlfn.CHOOSECOLS(_xlfn.CHOOSEROWS(_xlfn._xlws.FILTER(표2[],표2[DWG No.]=C1422,""),1),6)</f>
        <v>#VALUE!</v>
      </c>
      <c r="S1422" s="67" t="e" cm="1">
        <f t="array" ref="S1422">_xlfn.CHOOSECOLS(_xlfn.CHOOSEROWS(_xlfn._xlws.FILTER(표2[],(표2[DWG No.]=C1422)*(ISNUMBER(표2[Rev.])),""),1),6)</f>
        <v>#VALUE!</v>
      </c>
    </row>
    <row r="1423" spans="1:19" ht="18" customHeight="1" x14ac:dyDescent="0.45">
      <c r="A1423" s="64">
        <v>1418</v>
      </c>
      <c r="B1423" s="49" t="s">
        <v>2912</v>
      </c>
      <c r="C1423" s="50" t="s">
        <v>4823</v>
      </c>
      <c r="D1423" s="49">
        <v>156410</v>
      </c>
      <c r="E1423" s="59" t="s">
        <v>4824</v>
      </c>
      <c r="F1423" s="49" t="s">
        <v>6</v>
      </c>
      <c r="G1423" s="70">
        <f t="shared" si="4"/>
        <v>43451</v>
      </c>
      <c r="H1423" s="70">
        <f t="shared" si="5"/>
        <v>43481</v>
      </c>
      <c r="I1423" s="48">
        <v>43481</v>
      </c>
      <c r="J1423" s="49" t="s">
        <v>4825</v>
      </c>
      <c r="K1423" s="58" t="s">
        <v>7</v>
      </c>
      <c r="L1423" s="49">
        <v>0</v>
      </c>
      <c r="M1423" s="48">
        <v>43497</v>
      </c>
      <c r="N1423" s="49" t="s">
        <v>4041</v>
      </c>
      <c r="O1423" s="49" t="s">
        <v>7</v>
      </c>
      <c r="P1423" s="49">
        <v>0</v>
      </c>
      <c r="Q1423" s="51" t="s">
        <v>5002</v>
      </c>
      <c r="R1423" s="67" t="e" cm="1">
        <f t="array" ref="R1423">_xlfn.CHOOSECOLS(_xlfn.CHOOSEROWS(_xlfn._xlws.FILTER(표2[],표2[DWG No.]=C1423,""),1),6)</f>
        <v>#VALUE!</v>
      </c>
      <c r="S1423" s="67" t="e" cm="1">
        <f t="array" ref="S1423">_xlfn.CHOOSECOLS(_xlfn.CHOOSEROWS(_xlfn._xlws.FILTER(표2[],(표2[DWG No.]=C1423)*(ISNUMBER(표2[Rev.])),""),1),6)</f>
        <v>#VALUE!</v>
      </c>
    </row>
    <row r="1424" spans="1:19" ht="18" customHeight="1" x14ac:dyDescent="0.45">
      <c r="A1424" s="64">
        <v>1419</v>
      </c>
      <c r="B1424" s="49" t="s">
        <v>2912</v>
      </c>
      <c r="C1424" s="50" t="s">
        <v>4826</v>
      </c>
      <c r="D1424" s="49">
        <v>165582</v>
      </c>
      <c r="E1424" s="59" t="s">
        <v>4827</v>
      </c>
      <c r="F1424" s="49" t="s">
        <v>6</v>
      </c>
      <c r="G1424" s="70">
        <f t="shared" si="4"/>
        <v>43509</v>
      </c>
      <c r="H1424" s="70">
        <f t="shared" si="5"/>
        <v>43539</v>
      </c>
      <c r="I1424" s="48">
        <v>43539</v>
      </c>
      <c r="J1424" s="49" t="s">
        <v>3274</v>
      </c>
      <c r="K1424" s="58" t="s">
        <v>7</v>
      </c>
      <c r="L1424" s="49">
        <v>0</v>
      </c>
      <c r="M1424" s="48">
        <v>43539</v>
      </c>
      <c r="N1424" s="49" t="s">
        <v>3275</v>
      </c>
      <c r="O1424" s="49" t="s">
        <v>7</v>
      </c>
      <c r="P1424" s="49">
        <v>0</v>
      </c>
      <c r="Q1424" s="51" t="s">
        <v>5002</v>
      </c>
      <c r="R1424" s="67" t="e" cm="1">
        <f t="array" ref="R1424">_xlfn.CHOOSECOLS(_xlfn.CHOOSEROWS(_xlfn._xlws.FILTER(표2[],표2[DWG No.]=C1424,""),1),6)</f>
        <v>#VALUE!</v>
      </c>
      <c r="S1424" s="67" t="e" cm="1">
        <f t="array" ref="S1424">_xlfn.CHOOSECOLS(_xlfn.CHOOSEROWS(_xlfn._xlws.FILTER(표2[],(표2[DWG No.]=C1424)*(ISNUMBER(표2[Rev.])),""),1),6)</f>
        <v>#VALUE!</v>
      </c>
    </row>
    <row r="1425" spans="1:19" ht="18" customHeight="1" x14ac:dyDescent="0.45">
      <c r="A1425" s="64">
        <v>1420</v>
      </c>
      <c r="B1425" s="49" t="s">
        <v>2912</v>
      </c>
      <c r="C1425" s="50" t="s">
        <v>4828</v>
      </c>
      <c r="D1425" s="49">
        <v>165581</v>
      </c>
      <c r="E1425" s="59" t="s">
        <v>4829</v>
      </c>
      <c r="F1425" s="49" t="s">
        <v>6</v>
      </c>
      <c r="G1425" s="70">
        <f t="shared" si="4"/>
        <v>43509</v>
      </c>
      <c r="H1425" s="70">
        <f t="shared" si="5"/>
        <v>43539</v>
      </c>
      <c r="I1425" s="48">
        <v>43539</v>
      </c>
      <c r="J1425" s="49" t="s">
        <v>3274</v>
      </c>
      <c r="K1425" s="58" t="s">
        <v>7</v>
      </c>
      <c r="L1425" s="49">
        <v>0</v>
      </c>
      <c r="M1425" s="48">
        <v>43539</v>
      </c>
      <c r="N1425" s="49" t="s">
        <v>3275</v>
      </c>
      <c r="O1425" s="49" t="s">
        <v>7</v>
      </c>
      <c r="P1425" s="49">
        <v>0</v>
      </c>
      <c r="Q1425" s="49" t="s">
        <v>160</v>
      </c>
      <c r="R1425" s="67" t="e" cm="1">
        <f t="array" ref="R1425">_xlfn.CHOOSECOLS(_xlfn.CHOOSEROWS(_xlfn._xlws.FILTER(표2[],표2[DWG No.]=C1425,""),1),6)</f>
        <v>#VALUE!</v>
      </c>
      <c r="S1425" s="67" t="e" cm="1">
        <f t="array" ref="S1425">_xlfn.CHOOSECOLS(_xlfn.CHOOSEROWS(_xlfn._xlws.FILTER(표2[],(표2[DWG No.]=C1425)*(ISNUMBER(표2[Rev.])),""),1),6)</f>
        <v>#VALUE!</v>
      </c>
    </row>
    <row r="1426" spans="1:19" ht="18" customHeight="1" x14ac:dyDescent="0.45">
      <c r="A1426" s="64">
        <v>1421</v>
      </c>
      <c r="B1426" s="49" t="s">
        <v>2912</v>
      </c>
      <c r="C1426" s="50" t="s">
        <v>4830</v>
      </c>
      <c r="D1426" s="49">
        <v>165683</v>
      </c>
      <c r="E1426" s="59" t="s">
        <v>4831</v>
      </c>
      <c r="F1426" s="49" t="s">
        <v>6</v>
      </c>
      <c r="G1426" s="70">
        <f t="shared" si="4"/>
        <v>43509</v>
      </c>
      <c r="H1426" s="70">
        <f t="shared" si="5"/>
        <v>43539</v>
      </c>
      <c r="I1426" s="48">
        <v>43539</v>
      </c>
      <c r="J1426" s="49" t="s">
        <v>3274</v>
      </c>
      <c r="K1426" s="58" t="s">
        <v>7</v>
      </c>
      <c r="L1426" s="49">
        <v>0</v>
      </c>
      <c r="M1426" s="48">
        <v>43539</v>
      </c>
      <c r="N1426" s="49" t="s">
        <v>3275</v>
      </c>
      <c r="O1426" s="49" t="s">
        <v>7</v>
      </c>
      <c r="P1426" s="49">
        <v>0</v>
      </c>
      <c r="Q1426" s="51" t="s">
        <v>5002</v>
      </c>
      <c r="R1426" s="67" t="e" cm="1">
        <f t="array" ref="R1426">_xlfn.CHOOSECOLS(_xlfn.CHOOSEROWS(_xlfn._xlws.FILTER(표2[],표2[DWG No.]=C1426,""),1),6)</f>
        <v>#VALUE!</v>
      </c>
      <c r="S1426" s="67" t="e" cm="1">
        <f t="array" ref="S1426">_xlfn.CHOOSECOLS(_xlfn.CHOOSEROWS(_xlfn._xlws.FILTER(표2[],(표2[DWG No.]=C1426)*(ISNUMBER(표2[Rev.])),""),1),6)</f>
        <v>#VALUE!</v>
      </c>
    </row>
    <row r="1427" spans="1:19" ht="18" customHeight="1" x14ac:dyDescent="0.45">
      <c r="A1427" s="64">
        <v>1422</v>
      </c>
      <c r="B1427" s="49" t="s">
        <v>2912</v>
      </c>
      <c r="C1427" s="50" t="s">
        <v>4832</v>
      </c>
      <c r="D1427" s="49">
        <v>155935</v>
      </c>
      <c r="E1427" s="59" t="s">
        <v>4833</v>
      </c>
      <c r="F1427" s="49" t="s">
        <v>6</v>
      </c>
      <c r="G1427" s="70">
        <f t="shared" si="4"/>
        <v>43509</v>
      </c>
      <c r="H1427" s="70">
        <f t="shared" si="5"/>
        <v>43539</v>
      </c>
      <c r="I1427" s="48">
        <v>43539</v>
      </c>
      <c r="J1427" s="49" t="s">
        <v>3274</v>
      </c>
      <c r="K1427" s="58" t="s">
        <v>7</v>
      </c>
      <c r="L1427" s="49">
        <v>0</v>
      </c>
      <c r="M1427" s="48">
        <v>43539</v>
      </c>
      <c r="N1427" s="49" t="s">
        <v>3275</v>
      </c>
      <c r="O1427" s="49" t="s">
        <v>7</v>
      </c>
      <c r="P1427" s="49">
        <v>0</v>
      </c>
      <c r="Q1427" s="49" t="s">
        <v>160</v>
      </c>
      <c r="R1427" s="67" t="e" cm="1">
        <f t="array" ref="R1427">_xlfn.CHOOSECOLS(_xlfn.CHOOSEROWS(_xlfn._xlws.FILTER(표2[],표2[DWG No.]=C1427,""),1),6)</f>
        <v>#VALUE!</v>
      </c>
      <c r="S1427" s="67" t="e" cm="1">
        <f t="array" ref="S1427">_xlfn.CHOOSECOLS(_xlfn.CHOOSEROWS(_xlfn._xlws.FILTER(표2[],(표2[DWG No.]=C1427)*(ISNUMBER(표2[Rev.])),""),1),6)</f>
        <v>#VALUE!</v>
      </c>
    </row>
    <row r="1428" spans="1:19" ht="18" customHeight="1" x14ac:dyDescent="0.45">
      <c r="A1428" s="64">
        <v>1423</v>
      </c>
      <c r="B1428" s="49" t="s">
        <v>2912</v>
      </c>
      <c r="C1428" s="50" t="s">
        <v>4834</v>
      </c>
      <c r="D1428" s="77">
        <v>156358</v>
      </c>
      <c r="E1428" s="59" t="s">
        <v>4835</v>
      </c>
      <c r="F1428" s="49" t="s">
        <v>6</v>
      </c>
      <c r="G1428" s="70">
        <f t="shared" si="4"/>
        <v>43509</v>
      </c>
      <c r="H1428" s="70">
        <f t="shared" si="5"/>
        <v>43539</v>
      </c>
      <c r="I1428" s="48">
        <v>43539</v>
      </c>
      <c r="J1428" s="49" t="s">
        <v>3274</v>
      </c>
      <c r="K1428" s="58" t="s">
        <v>7</v>
      </c>
      <c r="L1428" s="49">
        <v>0</v>
      </c>
      <c r="M1428" s="48">
        <v>43539</v>
      </c>
      <c r="N1428" s="49" t="s">
        <v>3275</v>
      </c>
      <c r="O1428" s="49" t="s">
        <v>7</v>
      </c>
      <c r="P1428" s="49">
        <v>0</v>
      </c>
      <c r="Q1428" s="51" t="s">
        <v>5002</v>
      </c>
      <c r="R1428" s="67" t="e" cm="1">
        <f t="array" ref="R1428">_xlfn.CHOOSECOLS(_xlfn.CHOOSEROWS(_xlfn._xlws.FILTER(표2[],표2[DWG No.]=C1428,""),1),6)</f>
        <v>#VALUE!</v>
      </c>
      <c r="S1428" s="67" t="e" cm="1">
        <f t="array" ref="S1428">_xlfn.CHOOSECOLS(_xlfn.CHOOSEROWS(_xlfn._xlws.FILTER(표2[],(표2[DWG No.]=C1428)*(ISNUMBER(표2[Rev.])),""),1),6)</f>
        <v>#VALUE!</v>
      </c>
    </row>
    <row r="1429" spans="1:19" ht="18" customHeight="1" x14ac:dyDescent="0.45">
      <c r="A1429" s="64">
        <v>1424</v>
      </c>
      <c r="B1429" s="49" t="s">
        <v>2912</v>
      </c>
      <c r="C1429" s="50" t="s">
        <v>4836</v>
      </c>
      <c r="D1429" s="77">
        <v>156359</v>
      </c>
      <c r="E1429" s="59" t="s">
        <v>4837</v>
      </c>
      <c r="F1429" s="49" t="s">
        <v>6</v>
      </c>
      <c r="G1429" s="70">
        <f t="shared" si="4"/>
        <v>43509</v>
      </c>
      <c r="H1429" s="70">
        <f t="shared" si="5"/>
        <v>43539</v>
      </c>
      <c r="I1429" s="48">
        <v>43539</v>
      </c>
      <c r="J1429" s="49" t="s">
        <v>3274</v>
      </c>
      <c r="K1429" s="58" t="s">
        <v>7</v>
      </c>
      <c r="L1429" s="49">
        <v>0</v>
      </c>
      <c r="M1429" s="48">
        <v>43539</v>
      </c>
      <c r="N1429" s="49" t="s">
        <v>3275</v>
      </c>
      <c r="O1429" s="49" t="s">
        <v>7</v>
      </c>
      <c r="P1429" s="49">
        <v>0</v>
      </c>
      <c r="Q1429" s="51" t="s">
        <v>5002</v>
      </c>
      <c r="R1429" s="67" t="e" cm="1">
        <f t="array" ref="R1429">_xlfn.CHOOSECOLS(_xlfn.CHOOSEROWS(_xlfn._xlws.FILTER(표2[],표2[DWG No.]=C1429,""),1),6)</f>
        <v>#VALUE!</v>
      </c>
      <c r="S1429" s="67" t="e" cm="1">
        <f t="array" ref="S1429">_xlfn.CHOOSECOLS(_xlfn.CHOOSEROWS(_xlfn._xlws.FILTER(표2[],(표2[DWG No.]=C1429)*(ISNUMBER(표2[Rev.])),""),1),6)</f>
        <v>#VALUE!</v>
      </c>
    </row>
    <row r="1430" spans="1:19" ht="18" customHeight="1" x14ac:dyDescent="0.45">
      <c r="A1430" s="64">
        <v>1425</v>
      </c>
      <c r="B1430" s="49" t="s">
        <v>2912</v>
      </c>
      <c r="C1430" s="50" t="s">
        <v>4838</v>
      </c>
      <c r="D1430" s="77">
        <v>156405</v>
      </c>
      <c r="E1430" s="59" t="s">
        <v>4839</v>
      </c>
      <c r="F1430" s="49" t="s">
        <v>6</v>
      </c>
      <c r="G1430" s="48">
        <f>I1430</f>
        <v>43480</v>
      </c>
      <c r="H1430" s="48">
        <f>G1430+30</f>
        <v>43510</v>
      </c>
      <c r="I1430" s="48">
        <v>43480</v>
      </c>
      <c r="J1430" s="49" t="s">
        <v>4192</v>
      </c>
      <c r="K1430" s="58" t="s">
        <v>5032</v>
      </c>
      <c r="L1430" s="49" t="s">
        <v>160</v>
      </c>
      <c r="M1430" s="48">
        <v>43504</v>
      </c>
      <c r="N1430" s="49" t="s">
        <v>4840</v>
      </c>
      <c r="O1430" s="49" t="s">
        <v>6</v>
      </c>
      <c r="P1430" s="49" t="s">
        <v>160</v>
      </c>
      <c r="Q1430" s="51" t="s">
        <v>65</v>
      </c>
      <c r="R1430" s="67" t="e" cm="1">
        <f t="array" ref="R1430">_xlfn.CHOOSECOLS(_xlfn.CHOOSEROWS(_xlfn._xlws.FILTER(표2[],표2[DWG No.]=C1430,""),1),6)</f>
        <v>#VALUE!</v>
      </c>
      <c r="S1430" s="67" t="e" cm="1">
        <f t="array" ref="S1430">_xlfn.CHOOSECOLS(_xlfn.CHOOSEROWS(_xlfn._xlws.FILTER(표2[],(표2[DWG No.]=C1430)*(ISNUMBER(표2[Rev.])),""),1),6)</f>
        <v>#VALUE!</v>
      </c>
    </row>
    <row r="1431" spans="1:19" ht="18" customHeight="1" x14ac:dyDescent="0.45">
      <c r="A1431" s="64">
        <v>1426</v>
      </c>
      <c r="B1431" s="49" t="s">
        <v>2912</v>
      </c>
      <c r="C1431" s="75" t="s">
        <v>4841</v>
      </c>
      <c r="D1431" s="49">
        <v>175181</v>
      </c>
      <c r="E1431" s="76" t="s">
        <v>4842</v>
      </c>
      <c r="F1431" s="49" t="s">
        <v>6</v>
      </c>
      <c r="G1431" s="70">
        <f t="shared" ref="G1431:G1441" si="6">H1431-30</f>
        <v>43534</v>
      </c>
      <c r="H1431" s="70">
        <f t="shared" ref="H1431:H1441" si="7">I1431</f>
        <v>43564</v>
      </c>
      <c r="I1431" s="48">
        <v>43564</v>
      </c>
      <c r="J1431" s="49" t="s">
        <v>4843</v>
      </c>
      <c r="K1431" s="58" t="s">
        <v>7</v>
      </c>
      <c r="L1431" s="49">
        <v>0</v>
      </c>
      <c r="M1431" s="48">
        <v>43579</v>
      </c>
      <c r="N1431" s="49" t="s">
        <v>3040</v>
      </c>
      <c r="O1431" s="49" t="s">
        <v>7</v>
      </c>
      <c r="P1431" s="49">
        <v>0</v>
      </c>
      <c r="Q1431" s="51" t="s">
        <v>5002</v>
      </c>
      <c r="R1431" s="67" t="e" cm="1">
        <f t="array" ref="R1431">_xlfn.CHOOSECOLS(_xlfn.CHOOSEROWS(_xlfn._xlws.FILTER(표2[],표2[DWG No.]=C1431,""),1),6)</f>
        <v>#VALUE!</v>
      </c>
      <c r="S1431" s="67" t="e" cm="1">
        <f t="array" ref="S1431">_xlfn.CHOOSECOLS(_xlfn.CHOOSEROWS(_xlfn._xlws.FILTER(표2[],(표2[DWG No.]=C1431)*(ISNUMBER(표2[Rev.])),""),1),6)</f>
        <v>#VALUE!</v>
      </c>
    </row>
    <row r="1432" spans="1:19" ht="18" customHeight="1" x14ac:dyDescent="0.45">
      <c r="A1432" s="64">
        <v>1427</v>
      </c>
      <c r="B1432" s="49" t="s">
        <v>2912</v>
      </c>
      <c r="C1432" s="75" t="s">
        <v>4844</v>
      </c>
      <c r="D1432" s="49">
        <v>175451</v>
      </c>
      <c r="E1432" s="76" t="s">
        <v>4845</v>
      </c>
      <c r="F1432" s="49" t="s">
        <v>6</v>
      </c>
      <c r="G1432" s="70">
        <f t="shared" si="6"/>
        <v>43485</v>
      </c>
      <c r="H1432" s="70">
        <f t="shared" si="7"/>
        <v>43515</v>
      </c>
      <c r="I1432" s="48">
        <v>43515</v>
      </c>
      <c r="J1432" s="49" t="s">
        <v>4846</v>
      </c>
      <c r="K1432" s="58" t="s">
        <v>7</v>
      </c>
      <c r="L1432" s="49">
        <v>0</v>
      </c>
      <c r="M1432" s="48">
        <v>43528</v>
      </c>
      <c r="N1432" s="49" t="s">
        <v>4847</v>
      </c>
      <c r="O1432" s="49" t="s">
        <v>7</v>
      </c>
      <c r="P1432" s="49">
        <v>0</v>
      </c>
      <c r="Q1432" s="51" t="s">
        <v>5002</v>
      </c>
      <c r="R1432" s="67" t="e" cm="1">
        <f t="array" ref="R1432">_xlfn.CHOOSECOLS(_xlfn.CHOOSEROWS(_xlfn._xlws.FILTER(표2[],표2[DWG No.]=C1432,""),1),6)</f>
        <v>#VALUE!</v>
      </c>
      <c r="S1432" s="67" t="e" cm="1">
        <f t="array" ref="S1432">_xlfn.CHOOSECOLS(_xlfn.CHOOSEROWS(_xlfn._xlws.FILTER(표2[],(표2[DWG No.]=C1432)*(ISNUMBER(표2[Rev.])),""),1),6)</f>
        <v>#VALUE!</v>
      </c>
    </row>
    <row r="1433" spans="1:19" ht="18" customHeight="1" x14ac:dyDescent="0.45">
      <c r="A1433" s="64">
        <v>1428</v>
      </c>
      <c r="B1433" s="49" t="s">
        <v>2912</v>
      </c>
      <c r="C1433" s="75" t="s">
        <v>4848</v>
      </c>
      <c r="D1433" s="49">
        <v>175452</v>
      </c>
      <c r="E1433" s="76" t="s">
        <v>4849</v>
      </c>
      <c r="F1433" s="49" t="s">
        <v>6</v>
      </c>
      <c r="G1433" s="70">
        <f t="shared" si="6"/>
        <v>43485</v>
      </c>
      <c r="H1433" s="70">
        <f t="shared" si="7"/>
        <v>43515</v>
      </c>
      <c r="I1433" s="48">
        <v>43515</v>
      </c>
      <c r="J1433" s="49" t="s">
        <v>4846</v>
      </c>
      <c r="K1433" s="58" t="s">
        <v>7</v>
      </c>
      <c r="L1433" s="49">
        <v>0</v>
      </c>
      <c r="M1433" s="48">
        <v>43528</v>
      </c>
      <c r="N1433" s="49" t="s">
        <v>4847</v>
      </c>
      <c r="O1433" s="49" t="s">
        <v>7</v>
      </c>
      <c r="P1433" s="49">
        <v>0</v>
      </c>
      <c r="Q1433" s="51" t="s">
        <v>5002</v>
      </c>
      <c r="R1433" s="67" t="e" cm="1">
        <f t="array" ref="R1433">_xlfn.CHOOSECOLS(_xlfn.CHOOSEROWS(_xlfn._xlws.FILTER(표2[],표2[DWG No.]=C1433,""),1),6)</f>
        <v>#VALUE!</v>
      </c>
      <c r="S1433" s="67" t="e" cm="1">
        <f t="array" ref="S1433">_xlfn.CHOOSECOLS(_xlfn.CHOOSEROWS(_xlfn._xlws.FILTER(표2[],(표2[DWG No.]=C1433)*(ISNUMBER(표2[Rev.])),""),1),6)</f>
        <v>#VALUE!</v>
      </c>
    </row>
    <row r="1434" spans="1:19" ht="18" customHeight="1" x14ac:dyDescent="0.45">
      <c r="A1434" s="64">
        <v>1429</v>
      </c>
      <c r="B1434" s="49" t="s">
        <v>2912</v>
      </c>
      <c r="C1434" s="75" t="s">
        <v>4850</v>
      </c>
      <c r="D1434" s="49">
        <v>175592</v>
      </c>
      <c r="E1434" s="76" t="s">
        <v>4851</v>
      </c>
      <c r="F1434" s="49" t="s">
        <v>6</v>
      </c>
      <c r="G1434" s="70">
        <f t="shared" si="6"/>
        <v>43459</v>
      </c>
      <c r="H1434" s="70">
        <f t="shared" si="7"/>
        <v>43489</v>
      </c>
      <c r="I1434" s="48">
        <v>43489</v>
      </c>
      <c r="J1434" s="49" t="s">
        <v>4852</v>
      </c>
      <c r="K1434" s="58" t="s">
        <v>7</v>
      </c>
      <c r="L1434" s="49">
        <v>0</v>
      </c>
      <c r="M1434" s="48">
        <v>43489</v>
      </c>
      <c r="N1434" s="49" t="s">
        <v>4853</v>
      </c>
      <c r="O1434" s="49" t="s">
        <v>7</v>
      </c>
      <c r="P1434" s="49">
        <v>0</v>
      </c>
      <c r="Q1434" s="51" t="s">
        <v>5002</v>
      </c>
      <c r="R1434" s="67" t="e" cm="1">
        <f t="array" ref="R1434">_xlfn.CHOOSECOLS(_xlfn.CHOOSEROWS(_xlfn._xlws.FILTER(표2[],표2[DWG No.]=C1434,""),1),6)</f>
        <v>#VALUE!</v>
      </c>
      <c r="S1434" s="67" t="e" cm="1">
        <f t="array" ref="S1434">_xlfn.CHOOSECOLS(_xlfn.CHOOSEROWS(_xlfn._xlws.FILTER(표2[],(표2[DWG No.]=C1434)*(ISNUMBER(표2[Rev.])),""),1),6)</f>
        <v>#VALUE!</v>
      </c>
    </row>
    <row r="1435" spans="1:19" ht="18" customHeight="1" x14ac:dyDescent="0.45">
      <c r="A1435" s="64">
        <v>1430</v>
      </c>
      <c r="B1435" s="49" t="s">
        <v>2912</v>
      </c>
      <c r="C1435" s="75" t="s">
        <v>4854</v>
      </c>
      <c r="D1435" s="49">
        <v>175255</v>
      </c>
      <c r="E1435" s="76" t="s">
        <v>4855</v>
      </c>
      <c r="F1435" s="49" t="s">
        <v>6</v>
      </c>
      <c r="G1435" s="70">
        <f t="shared" si="6"/>
        <v>43472</v>
      </c>
      <c r="H1435" s="70">
        <f t="shared" si="7"/>
        <v>43502</v>
      </c>
      <c r="I1435" s="48">
        <v>43502</v>
      </c>
      <c r="J1435" s="49" t="s">
        <v>4856</v>
      </c>
      <c r="K1435" s="58" t="s">
        <v>7</v>
      </c>
      <c r="L1435" s="49">
        <v>0</v>
      </c>
      <c r="M1435" s="48">
        <v>43509</v>
      </c>
      <c r="N1435" s="49" t="s">
        <v>4857</v>
      </c>
      <c r="O1435" s="49" t="s">
        <v>7</v>
      </c>
      <c r="P1435" s="49">
        <v>0</v>
      </c>
      <c r="Q1435" s="51" t="s">
        <v>5002</v>
      </c>
      <c r="R1435" s="67" t="e" cm="1">
        <f t="array" ref="R1435">_xlfn.CHOOSECOLS(_xlfn.CHOOSEROWS(_xlfn._xlws.FILTER(표2[],표2[DWG No.]=C1435,""),1),6)</f>
        <v>#VALUE!</v>
      </c>
      <c r="S1435" s="67" t="e" cm="1">
        <f t="array" ref="S1435">_xlfn.CHOOSECOLS(_xlfn.CHOOSEROWS(_xlfn._xlws.FILTER(표2[],(표2[DWG No.]=C1435)*(ISNUMBER(표2[Rev.])),""),1),6)</f>
        <v>#VALUE!</v>
      </c>
    </row>
    <row r="1436" spans="1:19" ht="18" customHeight="1" x14ac:dyDescent="0.45">
      <c r="A1436" s="64">
        <v>1431</v>
      </c>
      <c r="B1436" s="49" t="s">
        <v>2912</v>
      </c>
      <c r="C1436" s="75" t="s">
        <v>4858</v>
      </c>
      <c r="D1436" s="49">
        <v>175255</v>
      </c>
      <c r="E1436" s="76" t="s">
        <v>4859</v>
      </c>
      <c r="F1436" s="49" t="s">
        <v>6</v>
      </c>
      <c r="G1436" s="70">
        <f t="shared" si="6"/>
        <v>43472</v>
      </c>
      <c r="H1436" s="70">
        <f t="shared" si="7"/>
        <v>43502</v>
      </c>
      <c r="I1436" s="48">
        <v>43502</v>
      </c>
      <c r="J1436" s="49" t="s">
        <v>4856</v>
      </c>
      <c r="K1436" s="58" t="s">
        <v>7</v>
      </c>
      <c r="L1436" s="49">
        <v>0</v>
      </c>
      <c r="M1436" s="48">
        <v>43509</v>
      </c>
      <c r="N1436" s="49" t="s">
        <v>4857</v>
      </c>
      <c r="O1436" s="49" t="s">
        <v>7</v>
      </c>
      <c r="P1436" s="49">
        <v>0</v>
      </c>
      <c r="Q1436" s="51" t="s">
        <v>5002</v>
      </c>
      <c r="R1436" s="67" t="e" cm="1">
        <f t="array" ref="R1436">_xlfn.CHOOSECOLS(_xlfn.CHOOSEROWS(_xlfn._xlws.FILTER(표2[],표2[DWG No.]=C1436,""),1),6)</f>
        <v>#VALUE!</v>
      </c>
      <c r="S1436" s="67" t="e" cm="1">
        <f t="array" ref="S1436">_xlfn.CHOOSECOLS(_xlfn.CHOOSEROWS(_xlfn._xlws.FILTER(표2[],(표2[DWG No.]=C1436)*(ISNUMBER(표2[Rev.])),""),1),6)</f>
        <v>#VALUE!</v>
      </c>
    </row>
    <row r="1437" spans="1:19" ht="18" customHeight="1" x14ac:dyDescent="0.45">
      <c r="A1437" s="64">
        <v>1432</v>
      </c>
      <c r="B1437" s="49" t="s">
        <v>2912</v>
      </c>
      <c r="C1437" s="75" t="s">
        <v>4860</v>
      </c>
      <c r="D1437" s="49">
        <v>175256</v>
      </c>
      <c r="E1437" s="76" t="s">
        <v>4861</v>
      </c>
      <c r="F1437" s="49" t="s">
        <v>6</v>
      </c>
      <c r="G1437" s="70">
        <f t="shared" si="6"/>
        <v>43472</v>
      </c>
      <c r="H1437" s="70">
        <f t="shared" si="7"/>
        <v>43502</v>
      </c>
      <c r="I1437" s="48">
        <v>43502</v>
      </c>
      <c r="J1437" s="49" t="s">
        <v>4856</v>
      </c>
      <c r="K1437" s="58" t="s">
        <v>7</v>
      </c>
      <c r="L1437" s="49">
        <v>0</v>
      </c>
      <c r="M1437" s="48">
        <v>43509</v>
      </c>
      <c r="N1437" s="49" t="s">
        <v>4857</v>
      </c>
      <c r="O1437" s="49" t="s">
        <v>7</v>
      </c>
      <c r="P1437" s="49">
        <v>0</v>
      </c>
      <c r="Q1437" s="51" t="s">
        <v>5002</v>
      </c>
      <c r="R1437" s="67" t="e" cm="1">
        <f t="array" ref="R1437">_xlfn.CHOOSECOLS(_xlfn.CHOOSEROWS(_xlfn._xlws.FILTER(표2[],표2[DWG No.]=C1437,""),1),6)</f>
        <v>#VALUE!</v>
      </c>
      <c r="S1437" s="67" t="e" cm="1">
        <f t="array" ref="S1437">_xlfn.CHOOSECOLS(_xlfn.CHOOSEROWS(_xlfn._xlws.FILTER(표2[],(표2[DWG No.]=C1437)*(ISNUMBER(표2[Rev.])),""),1),6)</f>
        <v>#VALUE!</v>
      </c>
    </row>
    <row r="1438" spans="1:19" ht="18" customHeight="1" x14ac:dyDescent="0.45">
      <c r="A1438" s="64">
        <v>1433</v>
      </c>
      <c r="B1438" s="49" t="s">
        <v>2912</v>
      </c>
      <c r="C1438" s="75" t="s">
        <v>4862</v>
      </c>
      <c r="D1438" s="49">
        <v>175256</v>
      </c>
      <c r="E1438" s="76" t="s">
        <v>4863</v>
      </c>
      <c r="F1438" s="49" t="s">
        <v>6</v>
      </c>
      <c r="G1438" s="70">
        <f t="shared" si="6"/>
        <v>43472</v>
      </c>
      <c r="H1438" s="70">
        <f t="shared" si="7"/>
        <v>43502</v>
      </c>
      <c r="I1438" s="48">
        <v>43502</v>
      </c>
      <c r="J1438" s="49" t="s">
        <v>4856</v>
      </c>
      <c r="K1438" s="58" t="s">
        <v>7</v>
      </c>
      <c r="L1438" s="49">
        <v>0</v>
      </c>
      <c r="M1438" s="48">
        <v>43509</v>
      </c>
      <c r="N1438" s="49" t="s">
        <v>4857</v>
      </c>
      <c r="O1438" s="49" t="s">
        <v>7</v>
      </c>
      <c r="P1438" s="49">
        <v>0</v>
      </c>
      <c r="Q1438" s="51" t="s">
        <v>5002</v>
      </c>
      <c r="R1438" s="67" t="e" cm="1">
        <f t="array" ref="R1438">_xlfn.CHOOSECOLS(_xlfn.CHOOSEROWS(_xlfn._xlws.FILTER(표2[],표2[DWG No.]=C1438,""),1),6)</f>
        <v>#VALUE!</v>
      </c>
      <c r="S1438" s="67" t="e" cm="1">
        <f t="array" ref="S1438">_xlfn.CHOOSECOLS(_xlfn.CHOOSEROWS(_xlfn._xlws.FILTER(표2[],(표2[DWG No.]=C1438)*(ISNUMBER(표2[Rev.])),""),1),6)</f>
        <v>#VALUE!</v>
      </c>
    </row>
    <row r="1439" spans="1:19" ht="18" customHeight="1" x14ac:dyDescent="0.45">
      <c r="A1439" s="64">
        <v>1434</v>
      </c>
      <c r="B1439" s="49" t="s">
        <v>2912</v>
      </c>
      <c r="C1439" s="75" t="s">
        <v>4864</v>
      </c>
      <c r="D1439" s="49">
        <v>175452</v>
      </c>
      <c r="E1439" s="76" t="s">
        <v>4865</v>
      </c>
      <c r="F1439" s="49" t="s">
        <v>6</v>
      </c>
      <c r="G1439" s="70">
        <f t="shared" si="6"/>
        <v>43534</v>
      </c>
      <c r="H1439" s="70">
        <f t="shared" si="7"/>
        <v>43564</v>
      </c>
      <c r="I1439" s="48">
        <v>43564</v>
      </c>
      <c r="J1439" s="49" t="s">
        <v>4843</v>
      </c>
      <c r="K1439" s="58" t="s">
        <v>7</v>
      </c>
      <c r="L1439" s="49">
        <v>0</v>
      </c>
      <c r="M1439" s="48">
        <v>43579</v>
      </c>
      <c r="N1439" s="49" t="s">
        <v>3040</v>
      </c>
      <c r="O1439" s="49" t="s">
        <v>7</v>
      </c>
      <c r="P1439" s="49">
        <v>0</v>
      </c>
      <c r="Q1439" s="51" t="s">
        <v>5002</v>
      </c>
      <c r="R1439" s="67" t="e" cm="1">
        <f t="array" ref="R1439">_xlfn.CHOOSECOLS(_xlfn.CHOOSEROWS(_xlfn._xlws.FILTER(표2[],표2[DWG No.]=C1439,""),1),6)</f>
        <v>#VALUE!</v>
      </c>
      <c r="S1439" s="67" t="e" cm="1">
        <f t="array" ref="S1439">_xlfn.CHOOSECOLS(_xlfn.CHOOSEROWS(_xlfn._xlws.FILTER(표2[],(표2[DWG No.]=C1439)*(ISNUMBER(표2[Rev.])),""),1),6)</f>
        <v>#VALUE!</v>
      </c>
    </row>
    <row r="1440" spans="1:19" ht="18" customHeight="1" x14ac:dyDescent="0.45">
      <c r="A1440" s="64">
        <v>1435</v>
      </c>
      <c r="B1440" s="49" t="s">
        <v>2912</v>
      </c>
      <c r="C1440" s="53" t="s">
        <v>4866</v>
      </c>
      <c r="D1440" s="49">
        <v>145938</v>
      </c>
      <c r="E1440" s="53" t="s">
        <v>4867</v>
      </c>
      <c r="F1440" s="49" t="s">
        <v>6</v>
      </c>
      <c r="G1440" s="70">
        <f t="shared" si="6"/>
        <v>43612</v>
      </c>
      <c r="H1440" s="70">
        <f t="shared" si="7"/>
        <v>43642</v>
      </c>
      <c r="I1440" s="48">
        <v>43642</v>
      </c>
      <c r="J1440" s="49" t="s">
        <v>4868</v>
      </c>
      <c r="K1440" s="58" t="s">
        <v>7</v>
      </c>
      <c r="L1440" s="49">
        <v>0</v>
      </c>
      <c r="M1440" s="48"/>
      <c r="N1440" s="49"/>
      <c r="O1440" s="49"/>
      <c r="P1440" s="49"/>
      <c r="Q1440" s="51" t="s">
        <v>5002</v>
      </c>
      <c r="R1440" s="67" t="e" cm="1">
        <f t="array" ref="R1440">_xlfn.CHOOSECOLS(_xlfn.CHOOSEROWS(_xlfn._xlws.FILTER(표2[],표2[DWG No.]=C1440,""),1),6)</f>
        <v>#VALUE!</v>
      </c>
      <c r="S1440" s="67" t="e" cm="1">
        <f t="array" ref="S1440">_xlfn.CHOOSECOLS(_xlfn.CHOOSEROWS(_xlfn._xlws.FILTER(표2[],(표2[DWG No.]=C1440)*(ISNUMBER(표2[Rev.])),""),1),6)</f>
        <v>#VALUE!</v>
      </c>
    </row>
    <row r="1441" spans="1:19" ht="18" customHeight="1" x14ac:dyDescent="0.45">
      <c r="A1441" s="64">
        <v>1436</v>
      </c>
      <c r="B1441" s="49" t="s">
        <v>2912</v>
      </c>
      <c r="C1441" s="53" t="s">
        <v>4869</v>
      </c>
      <c r="D1441" s="49">
        <v>145940</v>
      </c>
      <c r="E1441" s="53" t="s">
        <v>4870</v>
      </c>
      <c r="F1441" s="49" t="s">
        <v>6</v>
      </c>
      <c r="G1441" s="70">
        <f t="shared" si="6"/>
        <v>43500</v>
      </c>
      <c r="H1441" s="70">
        <f t="shared" si="7"/>
        <v>43530</v>
      </c>
      <c r="I1441" s="48">
        <v>43530</v>
      </c>
      <c r="J1441" s="49" t="s">
        <v>4871</v>
      </c>
      <c r="K1441" s="58" t="s">
        <v>7</v>
      </c>
      <c r="L1441" s="49">
        <v>0</v>
      </c>
      <c r="M1441" s="48">
        <v>43537</v>
      </c>
      <c r="N1441" s="49" t="s">
        <v>3096</v>
      </c>
      <c r="O1441" s="49" t="s">
        <v>7</v>
      </c>
      <c r="P1441" s="49">
        <v>0</v>
      </c>
      <c r="Q1441" s="51" t="s">
        <v>5002</v>
      </c>
      <c r="R1441" s="67" t="e" cm="1">
        <f t="array" ref="R1441">_xlfn.CHOOSECOLS(_xlfn.CHOOSEROWS(_xlfn._xlws.FILTER(표2[],표2[DWG No.]=C1441,""),1),6)</f>
        <v>#VALUE!</v>
      </c>
      <c r="S1441" s="67" t="e" cm="1">
        <f t="array" ref="S1441">_xlfn.CHOOSECOLS(_xlfn.CHOOSEROWS(_xlfn._xlws.FILTER(표2[],(표2[DWG No.]=C1441)*(ISNUMBER(표2[Rev.])),""),1),6)</f>
        <v>#VALUE!</v>
      </c>
    </row>
    <row r="1442" spans="1:19" ht="18" customHeight="1" x14ac:dyDescent="0.45">
      <c r="A1442" s="64">
        <v>1437</v>
      </c>
      <c r="B1442" s="49" t="s">
        <v>2912</v>
      </c>
      <c r="C1442" s="50" t="s">
        <v>4872</v>
      </c>
      <c r="D1442" s="49">
        <v>156397</v>
      </c>
      <c r="E1442" s="59" t="s">
        <v>4873</v>
      </c>
      <c r="F1442" s="49" t="s">
        <v>6</v>
      </c>
      <c r="G1442" s="48">
        <f t="shared" ref="G1442:G1443" si="8">I1442</f>
        <v>43798</v>
      </c>
      <c r="H1442" s="48">
        <f t="shared" ref="H1442:H1443" si="9">G1442+30</f>
        <v>43828</v>
      </c>
      <c r="I1442" s="48">
        <v>43798</v>
      </c>
      <c r="J1442" s="49" t="s">
        <v>3325</v>
      </c>
      <c r="K1442" s="58" t="s">
        <v>5032</v>
      </c>
      <c r="L1442" s="49" t="s">
        <v>160</v>
      </c>
      <c r="M1442" s="62">
        <v>43798</v>
      </c>
      <c r="N1442" s="52" t="s">
        <v>3191</v>
      </c>
      <c r="O1442" s="49"/>
      <c r="P1442" s="49" t="s">
        <v>160</v>
      </c>
      <c r="Q1442" s="49" t="s">
        <v>160</v>
      </c>
      <c r="R1442" s="67" t="e" cm="1">
        <f t="array" ref="R1442">_xlfn.CHOOSECOLS(_xlfn.CHOOSEROWS(_xlfn._xlws.FILTER(표2[],표2[DWG No.]=C1442,""),1),6)</f>
        <v>#VALUE!</v>
      </c>
      <c r="S1442" s="67" t="e" cm="1">
        <f t="array" ref="S1442">_xlfn.CHOOSECOLS(_xlfn.CHOOSEROWS(_xlfn._xlws.FILTER(표2[],(표2[DWG No.]=C1442)*(ISNUMBER(표2[Rev.])),""),1),6)</f>
        <v>#VALUE!</v>
      </c>
    </row>
    <row r="1443" spans="1:19" ht="18" customHeight="1" x14ac:dyDescent="0.45">
      <c r="A1443" s="64">
        <v>1438</v>
      </c>
      <c r="B1443" s="49" t="s">
        <v>2912</v>
      </c>
      <c r="C1443" s="50" t="s">
        <v>4874</v>
      </c>
      <c r="D1443" s="49">
        <v>156180</v>
      </c>
      <c r="E1443" s="59" t="s">
        <v>4875</v>
      </c>
      <c r="F1443" s="49" t="s">
        <v>6</v>
      </c>
      <c r="G1443" s="48">
        <f t="shared" si="8"/>
        <v>43480</v>
      </c>
      <c r="H1443" s="48">
        <f t="shared" si="9"/>
        <v>43510</v>
      </c>
      <c r="I1443" s="48">
        <v>43480</v>
      </c>
      <c r="J1443" s="49" t="s">
        <v>4192</v>
      </c>
      <c r="K1443" s="58" t="s">
        <v>5032</v>
      </c>
      <c r="L1443" s="49" t="s">
        <v>65</v>
      </c>
      <c r="M1443" s="48">
        <v>43504</v>
      </c>
      <c r="N1443" s="49" t="s">
        <v>4840</v>
      </c>
      <c r="O1443" s="49" t="s">
        <v>6</v>
      </c>
      <c r="P1443" s="49" t="s">
        <v>65</v>
      </c>
      <c r="Q1443" s="49" t="s">
        <v>160</v>
      </c>
      <c r="R1443" s="67" t="e" cm="1">
        <f t="array" ref="R1443">_xlfn.CHOOSECOLS(_xlfn.CHOOSEROWS(_xlfn._xlws.FILTER(표2[],표2[DWG No.]=C1443,""),1),6)</f>
        <v>#VALUE!</v>
      </c>
      <c r="S1443" s="67" t="e" cm="1">
        <f t="array" ref="S1443">_xlfn.CHOOSECOLS(_xlfn.CHOOSEROWS(_xlfn._xlws.FILTER(표2[],(표2[DWG No.]=C1443)*(ISNUMBER(표2[Rev.])),""),1),6)</f>
        <v>#VALUE!</v>
      </c>
    </row>
    <row r="1444" spans="1:19" ht="18" customHeight="1" x14ac:dyDescent="0.45">
      <c r="A1444" s="64">
        <v>1439</v>
      </c>
      <c r="B1444" s="49" t="s">
        <v>2912</v>
      </c>
      <c r="C1444" s="75" t="s">
        <v>4876</v>
      </c>
      <c r="D1444" s="49">
        <v>156198</v>
      </c>
      <c r="E1444" s="59" t="s">
        <v>4877</v>
      </c>
      <c r="F1444" s="49" t="s">
        <v>6</v>
      </c>
      <c r="G1444" s="70">
        <f>H1444-30</f>
        <v>43509</v>
      </c>
      <c r="H1444" s="70">
        <f>I1444</f>
        <v>43539</v>
      </c>
      <c r="I1444" s="48">
        <v>43539</v>
      </c>
      <c r="J1444" s="49" t="s">
        <v>3274</v>
      </c>
      <c r="K1444" s="58" t="s">
        <v>7</v>
      </c>
      <c r="L1444" s="49">
        <v>0</v>
      </c>
      <c r="M1444" s="48">
        <v>43539</v>
      </c>
      <c r="N1444" s="49" t="s">
        <v>3275</v>
      </c>
      <c r="O1444" s="49" t="s">
        <v>7</v>
      </c>
      <c r="P1444" s="49">
        <v>0</v>
      </c>
      <c r="Q1444" s="51" t="s">
        <v>5002</v>
      </c>
      <c r="R1444" s="67" t="e" cm="1">
        <f t="array" ref="R1444">_xlfn.CHOOSECOLS(_xlfn.CHOOSEROWS(_xlfn._xlws.FILTER(표2[],표2[DWG No.]=C1444,""),1),6)</f>
        <v>#VALUE!</v>
      </c>
      <c r="S1444" s="67" t="e" cm="1">
        <f t="array" ref="S1444">_xlfn.CHOOSECOLS(_xlfn.CHOOSEROWS(_xlfn._xlws.FILTER(표2[],(표2[DWG No.]=C1444)*(ISNUMBER(표2[Rev.])),""),1),6)</f>
        <v>#VALUE!</v>
      </c>
    </row>
    <row r="1445" spans="1:19" ht="18" customHeight="1" x14ac:dyDescent="0.45">
      <c r="A1445" s="64">
        <v>1440</v>
      </c>
      <c r="B1445" s="49" t="s">
        <v>2912</v>
      </c>
      <c r="C1445" s="75" t="s">
        <v>4878</v>
      </c>
      <c r="D1445" s="49">
        <v>156407</v>
      </c>
      <c r="E1445" s="59" t="s">
        <v>4879</v>
      </c>
      <c r="F1445" s="49" t="s">
        <v>6</v>
      </c>
      <c r="G1445" s="48">
        <f>I1445</f>
        <v>43480</v>
      </c>
      <c r="H1445" s="48">
        <f>G1445+30</f>
        <v>43510</v>
      </c>
      <c r="I1445" s="48">
        <v>43480</v>
      </c>
      <c r="J1445" s="49" t="s">
        <v>4192</v>
      </c>
      <c r="K1445" s="58" t="s">
        <v>5032</v>
      </c>
      <c r="L1445" s="49" t="s">
        <v>65</v>
      </c>
      <c r="M1445" s="48">
        <v>43504</v>
      </c>
      <c r="N1445" s="49" t="s">
        <v>4840</v>
      </c>
      <c r="O1445" s="49" t="s">
        <v>6</v>
      </c>
      <c r="P1445" s="49" t="s">
        <v>65</v>
      </c>
      <c r="Q1445" s="51" t="s">
        <v>65</v>
      </c>
      <c r="R1445" s="67" t="e" cm="1">
        <f t="array" ref="R1445">_xlfn.CHOOSECOLS(_xlfn.CHOOSEROWS(_xlfn._xlws.FILTER(표2[],표2[DWG No.]=C1445,""),1),6)</f>
        <v>#VALUE!</v>
      </c>
      <c r="S1445" s="67" t="e" cm="1">
        <f t="array" ref="S1445">_xlfn.CHOOSECOLS(_xlfn.CHOOSEROWS(_xlfn._xlws.FILTER(표2[],(표2[DWG No.]=C1445)*(ISNUMBER(표2[Rev.])),""),1),6)</f>
        <v>#VALUE!</v>
      </c>
    </row>
    <row r="1446" spans="1:19" ht="18" customHeight="1" x14ac:dyDescent="0.45">
      <c r="A1446" s="64">
        <v>1441</v>
      </c>
      <c r="B1446" s="49" t="s">
        <v>2912</v>
      </c>
      <c r="C1446" s="75" t="s">
        <v>4880</v>
      </c>
      <c r="D1446" s="49">
        <v>165937</v>
      </c>
      <c r="E1446" s="76" t="s">
        <v>4881</v>
      </c>
      <c r="F1446" s="49" t="s">
        <v>6</v>
      </c>
      <c r="G1446" s="70">
        <f t="shared" ref="G1446:G1462" si="10">H1446-30</f>
        <v>43509</v>
      </c>
      <c r="H1446" s="70">
        <f t="shared" ref="H1446:H1462" si="11">I1446</f>
        <v>43539</v>
      </c>
      <c r="I1446" s="48">
        <v>43539</v>
      </c>
      <c r="J1446" s="49" t="s">
        <v>3274</v>
      </c>
      <c r="K1446" s="58" t="s">
        <v>7</v>
      </c>
      <c r="L1446" s="49">
        <v>0</v>
      </c>
      <c r="M1446" s="48">
        <v>43539</v>
      </c>
      <c r="N1446" s="49" t="s">
        <v>3275</v>
      </c>
      <c r="O1446" s="49" t="s">
        <v>7</v>
      </c>
      <c r="P1446" s="49">
        <v>0</v>
      </c>
      <c r="Q1446" s="51" t="s">
        <v>5002</v>
      </c>
      <c r="R1446" s="67" t="e" cm="1">
        <f t="array" ref="R1446">_xlfn.CHOOSECOLS(_xlfn.CHOOSEROWS(_xlfn._xlws.FILTER(표2[],표2[DWG No.]=C1446,""),1),6)</f>
        <v>#VALUE!</v>
      </c>
      <c r="S1446" s="67" t="e" cm="1">
        <f t="array" ref="S1446">_xlfn.CHOOSECOLS(_xlfn.CHOOSEROWS(_xlfn._xlws.FILTER(표2[],(표2[DWG No.]=C1446)*(ISNUMBER(표2[Rev.])),""),1),6)</f>
        <v>#VALUE!</v>
      </c>
    </row>
    <row r="1447" spans="1:19" ht="18" customHeight="1" x14ac:dyDescent="0.45">
      <c r="A1447" s="64">
        <v>1442</v>
      </c>
      <c r="B1447" s="49" t="s">
        <v>2912</v>
      </c>
      <c r="C1447" s="75" t="s">
        <v>4882</v>
      </c>
      <c r="D1447" s="49">
        <v>161042</v>
      </c>
      <c r="E1447" s="76" t="s">
        <v>4883</v>
      </c>
      <c r="F1447" s="49" t="s">
        <v>6</v>
      </c>
      <c r="G1447" s="70">
        <f t="shared" si="10"/>
        <v>43509</v>
      </c>
      <c r="H1447" s="70">
        <f t="shared" si="11"/>
        <v>43539</v>
      </c>
      <c r="I1447" s="48">
        <v>43539</v>
      </c>
      <c r="J1447" s="49" t="s">
        <v>3274</v>
      </c>
      <c r="K1447" s="58" t="s">
        <v>7</v>
      </c>
      <c r="L1447" s="49">
        <v>0</v>
      </c>
      <c r="M1447" s="48">
        <v>43539</v>
      </c>
      <c r="N1447" s="49" t="s">
        <v>3275</v>
      </c>
      <c r="O1447" s="49" t="s">
        <v>7</v>
      </c>
      <c r="P1447" s="49">
        <v>0</v>
      </c>
      <c r="Q1447" s="51" t="s">
        <v>5002</v>
      </c>
      <c r="R1447" s="67" t="e" cm="1">
        <f t="array" ref="R1447">_xlfn.CHOOSECOLS(_xlfn.CHOOSEROWS(_xlfn._xlws.FILTER(표2[],표2[DWG No.]=C1447,""),1),6)</f>
        <v>#VALUE!</v>
      </c>
      <c r="S1447" s="67" t="e" cm="1">
        <f t="array" ref="S1447">_xlfn.CHOOSECOLS(_xlfn.CHOOSEROWS(_xlfn._xlws.FILTER(표2[],(표2[DWG No.]=C1447)*(ISNUMBER(표2[Rev.])),""),1),6)</f>
        <v>#VALUE!</v>
      </c>
    </row>
    <row r="1448" spans="1:19" ht="18" customHeight="1" x14ac:dyDescent="0.45">
      <c r="A1448" s="64">
        <v>1443</v>
      </c>
      <c r="B1448" s="49" t="s">
        <v>2912</v>
      </c>
      <c r="C1448" s="75" t="s">
        <v>4884</v>
      </c>
      <c r="D1448" s="49">
        <v>165846</v>
      </c>
      <c r="E1448" s="76" t="s">
        <v>4885</v>
      </c>
      <c r="F1448" s="49" t="s">
        <v>6</v>
      </c>
      <c r="G1448" s="70">
        <f t="shared" si="10"/>
        <v>43509</v>
      </c>
      <c r="H1448" s="70">
        <f t="shared" si="11"/>
        <v>43539</v>
      </c>
      <c r="I1448" s="48">
        <v>43539</v>
      </c>
      <c r="J1448" s="49" t="s">
        <v>3274</v>
      </c>
      <c r="K1448" s="58" t="s">
        <v>7</v>
      </c>
      <c r="L1448" s="49">
        <v>0</v>
      </c>
      <c r="M1448" s="48">
        <v>43539</v>
      </c>
      <c r="N1448" s="49" t="s">
        <v>3275</v>
      </c>
      <c r="O1448" s="49" t="s">
        <v>7</v>
      </c>
      <c r="P1448" s="49">
        <v>0</v>
      </c>
      <c r="Q1448" s="51" t="s">
        <v>5002</v>
      </c>
      <c r="R1448" s="67" t="e" cm="1">
        <f t="array" ref="R1448">_xlfn.CHOOSECOLS(_xlfn.CHOOSEROWS(_xlfn._xlws.FILTER(표2[],표2[DWG No.]=C1448,""),1),6)</f>
        <v>#VALUE!</v>
      </c>
      <c r="S1448" s="67" t="e" cm="1">
        <f t="array" ref="S1448">_xlfn.CHOOSECOLS(_xlfn.CHOOSEROWS(_xlfn._xlws.FILTER(표2[],(표2[DWG No.]=C1448)*(ISNUMBER(표2[Rev.])),""),1),6)</f>
        <v>#VALUE!</v>
      </c>
    </row>
    <row r="1449" spans="1:19" ht="18" customHeight="1" x14ac:dyDescent="0.45">
      <c r="A1449" s="64">
        <v>1444</v>
      </c>
      <c r="B1449" s="49" t="s">
        <v>2912</v>
      </c>
      <c r="C1449" s="75" t="s">
        <v>4886</v>
      </c>
      <c r="D1449" s="49">
        <v>165943</v>
      </c>
      <c r="E1449" s="76" t="s">
        <v>4887</v>
      </c>
      <c r="F1449" s="49" t="s">
        <v>6</v>
      </c>
      <c r="G1449" s="70">
        <f t="shared" si="10"/>
        <v>43509</v>
      </c>
      <c r="H1449" s="70">
        <f t="shared" si="11"/>
        <v>43539</v>
      </c>
      <c r="I1449" s="48">
        <v>43539</v>
      </c>
      <c r="J1449" s="49" t="s">
        <v>3274</v>
      </c>
      <c r="K1449" s="58" t="s">
        <v>7</v>
      </c>
      <c r="L1449" s="49">
        <v>0</v>
      </c>
      <c r="M1449" s="48">
        <v>43539</v>
      </c>
      <c r="N1449" s="49" t="s">
        <v>3275</v>
      </c>
      <c r="O1449" s="49" t="s">
        <v>7</v>
      </c>
      <c r="P1449" s="49">
        <v>0</v>
      </c>
      <c r="Q1449" s="49" t="s">
        <v>160</v>
      </c>
      <c r="R1449" s="67" t="e" cm="1">
        <f t="array" ref="R1449">_xlfn.CHOOSECOLS(_xlfn.CHOOSEROWS(_xlfn._xlws.FILTER(표2[],표2[DWG No.]=C1449,""),1),6)</f>
        <v>#VALUE!</v>
      </c>
      <c r="S1449" s="67" t="e" cm="1">
        <f t="array" ref="S1449">_xlfn.CHOOSECOLS(_xlfn.CHOOSEROWS(_xlfn._xlws.FILTER(표2[],(표2[DWG No.]=C1449)*(ISNUMBER(표2[Rev.])),""),1),6)</f>
        <v>#VALUE!</v>
      </c>
    </row>
    <row r="1450" spans="1:19" ht="18" customHeight="1" x14ac:dyDescent="0.45">
      <c r="A1450" s="64">
        <v>1445</v>
      </c>
      <c r="B1450" s="49" t="s">
        <v>2912</v>
      </c>
      <c r="C1450" s="75" t="s">
        <v>4888</v>
      </c>
      <c r="D1450" s="49">
        <v>165847</v>
      </c>
      <c r="E1450" s="76" t="s">
        <v>4889</v>
      </c>
      <c r="F1450" s="49" t="s">
        <v>6</v>
      </c>
      <c r="G1450" s="70">
        <f t="shared" si="10"/>
        <v>43509</v>
      </c>
      <c r="H1450" s="70">
        <f t="shared" si="11"/>
        <v>43539</v>
      </c>
      <c r="I1450" s="48">
        <v>43539</v>
      </c>
      <c r="J1450" s="49" t="s">
        <v>3274</v>
      </c>
      <c r="K1450" s="58" t="s">
        <v>7</v>
      </c>
      <c r="L1450" s="49">
        <v>0</v>
      </c>
      <c r="M1450" s="48">
        <v>43539</v>
      </c>
      <c r="N1450" s="49" t="s">
        <v>3275</v>
      </c>
      <c r="O1450" s="49" t="s">
        <v>7</v>
      </c>
      <c r="P1450" s="49">
        <v>0</v>
      </c>
      <c r="Q1450" s="49" t="s">
        <v>160</v>
      </c>
      <c r="R1450" s="67" t="e" cm="1">
        <f t="array" ref="R1450">_xlfn.CHOOSECOLS(_xlfn.CHOOSEROWS(_xlfn._xlws.FILTER(표2[],표2[DWG No.]=C1450,""),1),6)</f>
        <v>#VALUE!</v>
      </c>
      <c r="S1450" s="67" t="e" cm="1">
        <f t="array" ref="S1450">_xlfn.CHOOSECOLS(_xlfn.CHOOSEROWS(_xlfn._xlws.FILTER(표2[],(표2[DWG No.]=C1450)*(ISNUMBER(표2[Rev.])),""),1),6)</f>
        <v>#VALUE!</v>
      </c>
    </row>
    <row r="1451" spans="1:19" ht="18" customHeight="1" x14ac:dyDescent="0.45">
      <c r="A1451" s="64">
        <v>1446</v>
      </c>
      <c r="B1451" s="49" t="s">
        <v>2912</v>
      </c>
      <c r="C1451" s="75" t="s">
        <v>4890</v>
      </c>
      <c r="D1451" s="49">
        <v>135841</v>
      </c>
      <c r="E1451" s="76" t="s">
        <v>4891</v>
      </c>
      <c r="F1451" s="49" t="s">
        <v>6</v>
      </c>
      <c r="G1451" s="70">
        <f t="shared" si="10"/>
        <v>43509</v>
      </c>
      <c r="H1451" s="70">
        <f t="shared" si="11"/>
        <v>43539</v>
      </c>
      <c r="I1451" s="48">
        <v>43539</v>
      </c>
      <c r="J1451" s="49" t="s">
        <v>4892</v>
      </c>
      <c r="K1451" s="58" t="s">
        <v>7</v>
      </c>
      <c r="L1451" s="49">
        <v>1</v>
      </c>
      <c r="M1451" s="48">
        <v>43539</v>
      </c>
      <c r="N1451" s="49" t="s">
        <v>3275</v>
      </c>
      <c r="O1451" s="49" t="s">
        <v>7</v>
      </c>
      <c r="P1451" s="49">
        <v>1</v>
      </c>
      <c r="Q1451" s="51" t="s">
        <v>5002</v>
      </c>
      <c r="R1451" s="67" t="e" cm="1">
        <f t="array" ref="R1451">_xlfn.CHOOSECOLS(_xlfn.CHOOSEROWS(_xlfn._xlws.FILTER(표2[],표2[DWG No.]=C1451,""),1),6)</f>
        <v>#VALUE!</v>
      </c>
      <c r="S1451" s="67" t="e" cm="1">
        <f t="array" ref="S1451">_xlfn.CHOOSECOLS(_xlfn.CHOOSEROWS(_xlfn._xlws.FILTER(표2[],(표2[DWG No.]=C1451)*(ISNUMBER(표2[Rev.])),""),1),6)</f>
        <v>#VALUE!</v>
      </c>
    </row>
    <row r="1452" spans="1:19" ht="18" customHeight="1" x14ac:dyDescent="0.45">
      <c r="A1452" s="64">
        <v>1447</v>
      </c>
      <c r="B1452" s="49" t="s">
        <v>2912</v>
      </c>
      <c r="C1452" s="50" t="s">
        <v>4893</v>
      </c>
      <c r="D1452" s="49">
        <v>156411</v>
      </c>
      <c r="E1452" s="76" t="s">
        <v>4894</v>
      </c>
      <c r="F1452" s="49" t="s">
        <v>6</v>
      </c>
      <c r="G1452" s="70">
        <f t="shared" si="10"/>
        <v>43488</v>
      </c>
      <c r="H1452" s="70">
        <f t="shared" si="11"/>
        <v>43518</v>
      </c>
      <c r="I1452" s="48">
        <v>43518</v>
      </c>
      <c r="J1452" s="49" t="s">
        <v>4789</v>
      </c>
      <c r="K1452" s="58" t="s">
        <v>7</v>
      </c>
      <c r="L1452" s="49">
        <v>0</v>
      </c>
      <c r="M1452" s="48"/>
      <c r="N1452" s="78" t="s">
        <v>4585</v>
      </c>
      <c r="O1452" s="49" t="s">
        <v>7</v>
      </c>
      <c r="P1452" s="49"/>
      <c r="Q1452" s="51" t="s">
        <v>5002</v>
      </c>
      <c r="R1452" s="67" t="e" cm="1">
        <f t="array" ref="R1452">_xlfn.CHOOSECOLS(_xlfn.CHOOSEROWS(_xlfn._xlws.FILTER(표2[],표2[DWG No.]=C1452,""),1),6)</f>
        <v>#VALUE!</v>
      </c>
      <c r="S1452" s="67" t="e" cm="1">
        <f t="array" ref="S1452">_xlfn.CHOOSECOLS(_xlfn.CHOOSEROWS(_xlfn._xlws.FILTER(표2[],(표2[DWG No.]=C1452)*(ISNUMBER(표2[Rev.])),""),1),6)</f>
        <v>#VALUE!</v>
      </c>
    </row>
    <row r="1453" spans="1:19" ht="18" customHeight="1" x14ac:dyDescent="0.45">
      <c r="A1453" s="64">
        <v>1448</v>
      </c>
      <c r="B1453" s="49" t="s">
        <v>2912</v>
      </c>
      <c r="C1453" s="50" t="s">
        <v>4895</v>
      </c>
      <c r="D1453" s="49">
        <v>175257</v>
      </c>
      <c r="E1453" s="76" t="s">
        <v>4896</v>
      </c>
      <c r="F1453" s="49" t="s">
        <v>6</v>
      </c>
      <c r="G1453" s="70">
        <f t="shared" si="10"/>
        <v>43472</v>
      </c>
      <c r="H1453" s="70">
        <f t="shared" si="11"/>
        <v>43502</v>
      </c>
      <c r="I1453" s="48">
        <v>43502</v>
      </c>
      <c r="J1453" s="49" t="s">
        <v>4856</v>
      </c>
      <c r="K1453" s="58" t="s">
        <v>7</v>
      </c>
      <c r="L1453" s="49">
        <v>0</v>
      </c>
      <c r="M1453" s="48">
        <v>43509</v>
      </c>
      <c r="N1453" s="49" t="s">
        <v>4857</v>
      </c>
      <c r="O1453" s="49" t="s">
        <v>7</v>
      </c>
      <c r="P1453" s="49">
        <v>0</v>
      </c>
      <c r="Q1453" s="51" t="s">
        <v>5002</v>
      </c>
      <c r="R1453" s="67" t="e" cm="1">
        <f t="array" ref="R1453">_xlfn.CHOOSECOLS(_xlfn.CHOOSEROWS(_xlfn._xlws.FILTER(표2[],표2[DWG No.]=C1453,""),1),6)</f>
        <v>#VALUE!</v>
      </c>
      <c r="S1453" s="67" t="e" cm="1">
        <f t="array" ref="S1453">_xlfn.CHOOSECOLS(_xlfn.CHOOSEROWS(_xlfn._xlws.FILTER(표2[],(표2[DWG No.]=C1453)*(ISNUMBER(표2[Rev.])),""),1),6)</f>
        <v>#VALUE!</v>
      </c>
    </row>
    <row r="1454" spans="1:19" ht="18" customHeight="1" x14ac:dyDescent="0.45">
      <c r="A1454" s="64">
        <v>1449</v>
      </c>
      <c r="B1454" s="49" t="s">
        <v>2912</v>
      </c>
      <c r="C1454" s="76" t="s">
        <v>4897</v>
      </c>
      <c r="D1454" s="49">
        <v>175257</v>
      </c>
      <c r="E1454" s="76" t="s">
        <v>4898</v>
      </c>
      <c r="F1454" s="49" t="s">
        <v>6</v>
      </c>
      <c r="G1454" s="70">
        <f t="shared" si="10"/>
        <v>43509</v>
      </c>
      <c r="H1454" s="70">
        <f t="shared" si="11"/>
        <v>43539</v>
      </c>
      <c r="I1454" s="48">
        <v>43539</v>
      </c>
      <c r="J1454" s="49" t="s">
        <v>4899</v>
      </c>
      <c r="K1454" s="58" t="s">
        <v>7</v>
      </c>
      <c r="L1454" s="49">
        <v>1</v>
      </c>
      <c r="M1454" s="48">
        <v>43539</v>
      </c>
      <c r="N1454" s="49" t="s">
        <v>3275</v>
      </c>
      <c r="O1454" s="49" t="s">
        <v>7</v>
      </c>
      <c r="P1454" s="49">
        <v>1</v>
      </c>
      <c r="Q1454" s="51" t="s">
        <v>5002</v>
      </c>
      <c r="R1454" s="67" t="e" cm="1">
        <f t="array" ref="R1454">_xlfn.CHOOSECOLS(_xlfn.CHOOSEROWS(_xlfn._xlws.FILTER(표2[],표2[DWG No.]=C1454,""),1),6)</f>
        <v>#VALUE!</v>
      </c>
      <c r="S1454" s="67" t="e" cm="1">
        <f t="array" ref="S1454">_xlfn.CHOOSECOLS(_xlfn.CHOOSEROWS(_xlfn._xlws.FILTER(표2[],(표2[DWG No.]=C1454)*(ISNUMBER(표2[Rev.])),""),1),6)</f>
        <v>#VALUE!</v>
      </c>
    </row>
    <row r="1455" spans="1:19" ht="18" customHeight="1" x14ac:dyDescent="0.45">
      <c r="A1455" s="64">
        <v>1450</v>
      </c>
      <c r="B1455" s="49" t="s">
        <v>2912</v>
      </c>
      <c r="C1455" s="76" t="s">
        <v>4900</v>
      </c>
      <c r="D1455" s="49">
        <v>175257</v>
      </c>
      <c r="E1455" s="76" t="s">
        <v>4901</v>
      </c>
      <c r="F1455" s="49" t="s">
        <v>6</v>
      </c>
      <c r="G1455" s="70">
        <f t="shared" si="10"/>
        <v>43472</v>
      </c>
      <c r="H1455" s="70">
        <f t="shared" si="11"/>
        <v>43502</v>
      </c>
      <c r="I1455" s="48">
        <v>43502</v>
      </c>
      <c r="J1455" s="49" t="s">
        <v>4856</v>
      </c>
      <c r="K1455" s="58" t="s">
        <v>7</v>
      </c>
      <c r="L1455" s="49">
        <v>0</v>
      </c>
      <c r="M1455" s="48">
        <v>43509</v>
      </c>
      <c r="N1455" s="49" t="s">
        <v>4857</v>
      </c>
      <c r="O1455" s="49" t="s">
        <v>7</v>
      </c>
      <c r="P1455" s="49">
        <v>0</v>
      </c>
      <c r="Q1455" s="51" t="s">
        <v>5002</v>
      </c>
      <c r="R1455" s="67" t="e" cm="1">
        <f t="array" ref="R1455">_xlfn.CHOOSECOLS(_xlfn.CHOOSEROWS(_xlfn._xlws.FILTER(표2[],표2[DWG No.]=C1455,""),1),6)</f>
        <v>#VALUE!</v>
      </c>
      <c r="S1455" s="67" t="e" cm="1">
        <f t="array" ref="S1455">_xlfn.CHOOSECOLS(_xlfn.CHOOSEROWS(_xlfn._xlws.FILTER(표2[],(표2[DWG No.]=C1455)*(ISNUMBER(표2[Rev.])),""),1),6)</f>
        <v>#VALUE!</v>
      </c>
    </row>
    <row r="1456" spans="1:19" ht="18" customHeight="1" x14ac:dyDescent="0.45">
      <c r="A1456" s="64">
        <v>1451</v>
      </c>
      <c r="B1456" s="49" t="s">
        <v>2912</v>
      </c>
      <c r="C1456" s="50" t="s">
        <v>4902</v>
      </c>
      <c r="D1456" s="49">
        <v>156398</v>
      </c>
      <c r="E1456" s="59" t="s">
        <v>4903</v>
      </c>
      <c r="F1456" s="49" t="s">
        <v>6</v>
      </c>
      <c r="G1456" s="70">
        <f t="shared" si="10"/>
        <v>43509</v>
      </c>
      <c r="H1456" s="70">
        <f t="shared" si="11"/>
        <v>43539</v>
      </c>
      <c r="I1456" s="48">
        <v>43539</v>
      </c>
      <c r="J1456" s="49" t="s">
        <v>3274</v>
      </c>
      <c r="K1456" s="58" t="s">
        <v>7</v>
      </c>
      <c r="L1456" s="49">
        <v>0</v>
      </c>
      <c r="M1456" s="48">
        <v>43539</v>
      </c>
      <c r="N1456" s="49" t="s">
        <v>3275</v>
      </c>
      <c r="O1456" s="49" t="s">
        <v>7</v>
      </c>
      <c r="P1456" s="49">
        <v>0</v>
      </c>
      <c r="Q1456" s="49" t="s">
        <v>160</v>
      </c>
      <c r="R1456" s="67" t="e" cm="1">
        <f t="array" ref="R1456">_xlfn.CHOOSECOLS(_xlfn.CHOOSEROWS(_xlfn._xlws.FILTER(표2[],표2[DWG No.]=C1456,""),1),6)</f>
        <v>#VALUE!</v>
      </c>
      <c r="S1456" s="67" t="e" cm="1">
        <f t="array" ref="S1456">_xlfn.CHOOSECOLS(_xlfn.CHOOSEROWS(_xlfn._xlws.FILTER(표2[],(표2[DWG No.]=C1456)*(ISNUMBER(표2[Rev.])),""),1),6)</f>
        <v>#VALUE!</v>
      </c>
    </row>
    <row r="1457" spans="1:19" ht="18" customHeight="1" x14ac:dyDescent="0.45">
      <c r="A1457" s="64">
        <v>1452</v>
      </c>
      <c r="B1457" s="49" t="s">
        <v>2912</v>
      </c>
      <c r="C1457" s="75" t="s">
        <v>4904</v>
      </c>
      <c r="D1457" s="49">
        <v>125625</v>
      </c>
      <c r="E1457" s="76" t="s">
        <v>4905</v>
      </c>
      <c r="F1457" s="49" t="s">
        <v>6</v>
      </c>
      <c r="G1457" s="70">
        <f t="shared" si="10"/>
        <v>43509</v>
      </c>
      <c r="H1457" s="70">
        <f t="shared" si="11"/>
        <v>43539</v>
      </c>
      <c r="I1457" s="48">
        <v>43539</v>
      </c>
      <c r="J1457" s="49" t="s">
        <v>3274</v>
      </c>
      <c r="K1457" s="58" t="s">
        <v>7</v>
      </c>
      <c r="L1457" s="49">
        <v>0</v>
      </c>
      <c r="M1457" s="48">
        <v>43539</v>
      </c>
      <c r="N1457" s="49" t="s">
        <v>3275</v>
      </c>
      <c r="O1457" s="49" t="s">
        <v>7</v>
      </c>
      <c r="P1457" s="49">
        <v>0</v>
      </c>
      <c r="Q1457" s="51" t="s">
        <v>5002</v>
      </c>
      <c r="R1457" s="67" t="e" cm="1">
        <f t="array" ref="R1457">_xlfn.CHOOSECOLS(_xlfn.CHOOSEROWS(_xlfn._xlws.FILTER(표2[],표2[DWG No.]=C1457,""),1),6)</f>
        <v>#VALUE!</v>
      </c>
      <c r="S1457" s="67" t="e" cm="1">
        <f t="array" ref="S1457">_xlfn.CHOOSECOLS(_xlfn.CHOOSEROWS(_xlfn._xlws.FILTER(표2[],(표2[DWG No.]=C1457)*(ISNUMBER(표2[Rev.])),""),1),6)</f>
        <v>#VALUE!</v>
      </c>
    </row>
    <row r="1458" spans="1:19" ht="18" customHeight="1" x14ac:dyDescent="0.45">
      <c r="A1458" s="64">
        <v>1453</v>
      </c>
      <c r="B1458" s="49" t="s">
        <v>2912</v>
      </c>
      <c r="C1458" s="79" t="s">
        <v>4906</v>
      </c>
      <c r="D1458" s="49">
        <v>115853</v>
      </c>
      <c r="E1458" s="80" t="s">
        <v>4907</v>
      </c>
      <c r="F1458" s="49" t="s">
        <v>6</v>
      </c>
      <c r="G1458" s="70">
        <f t="shared" si="10"/>
        <v>43509</v>
      </c>
      <c r="H1458" s="70">
        <f t="shared" si="11"/>
        <v>43539</v>
      </c>
      <c r="I1458" s="48">
        <v>43539</v>
      </c>
      <c r="J1458" s="49" t="s">
        <v>3274</v>
      </c>
      <c r="K1458" s="58" t="s">
        <v>7</v>
      </c>
      <c r="L1458" s="49">
        <v>0</v>
      </c>
      <c r="M1458" s="48">
        <v>43539</v>
      </c>
      <c r="N1458" s="49" t="s">
        <v>3275</v>
      </c>
      <c r="O1458" s="49" t="s">
        <v>7</v>
      </c>
      <c r="P1458" s="49">
        <v>0</v>
      </c>
      <c r="Q1458" s="51" t="s">
        <v>5002</v>
      </c>
      <c r="R1458" s="67" t="e" cm="1">
        <f t="array" ref="R1458">_xlfn.CHOOSECOLS(_xlfn.CHOOSEROWS(_xlfn._xlws.FILTER(표2[],표2[DWG No.]=C1458,""),1),6)</f>
        <v>#VALUE!</v>
      </c>
      <c r="S1458" s="67" t="e" cm="1">
        <f t="array" ref="S1458">_xlfn.CHOOSECOLS(_xlfn.CHOOSEROWS(_xlfn._xlws.FILTER(표2[],(표2[DWG No.]=C1458)*(ISNUMBER(표2[Rev.])),""),1),6)</f>
        <v>#VALUE!</v>
      </c>
    </row>
    <row r="1459" spans="1:19" ht="18" customHeight="1" x14ac:dyDescent="0.45">
      <c r="A1459" s="64">
        <v>1454</v>
      </c>
      <c r="B1459" s="49" t="s">
        <v>2912</v>
      </c>
      <c r="C1459" s="79" t="s">
        <v>4908</v>
      </c>
      <c r="D1459" s="49">
        <v>125453</v>
      </c>
      <c r="E1459" s="80" t="s">
        <v>4909</v>
      </c>
      <c r="F1459" s="49" t="s">
        <v>6</v>
      </c>
      <c r="G1459" s="70">
        <f t="shared" si="10"/>
        <v>43509</v>
      </c>
      <c r="H1459" s="70">
        <f t="shared" si="11"/>
        <v>43539</v>
      </c>
      <c r="I1459" s="48">
        <v>43539</v>
      </c>
      <c r="J1459" s="49" t="s">
        <v>3274</v>
      </c>
      <c r="K1459" s="49" t="s">
        <v>7</v>
      </c>
      <c r="L1459" s="49">
        <v>0</v>
      </c>
      <c r="M1459" s="48">
        <v>43539</v>
      </c>
      <c r="N1459" s="49" t="s">
        <v>3275</v>
      </c>
      <c r="O1459" s="49" t="s">
        <v>7</v>
      </c>
      <c r="P1459" s="49">
        <v>0</v>
      </c>
      <c r="Q1459" s="51" t="s">
        <v>5002</v>
      </c>
      <c r="R1459" s="67" t="e" cm="1">
        <f t="array" ref="R1459">_xlfn.CHOOSECOLS(_xlfn.CHOOSEROWS(_xlfn._xlws.FILTER(표2[],표2[DWG No.]=C1459,""),1),6)</f>
        <v>#VALUE!</v>
      </c>
      <c r="S1459" s="67" t="e" cm="1">
        <f t="array" ref="S1459">_xlfn.CHOOSECOLS(_xlfn.CHOOSEROWS(_xlfn._xlws.FILTER(표2[],(표2[DWG No.]=C1459)*(ISNUMBER(표2[Rev.])),""),1),6)</f>
        <v>#VALUE!</v>
      </c>
    </row>
    <row r="1460" spans="1:19" ht="18" customHeight="1" x14ac:dyDescent="0.45">
      <c r="A1460" s="64">
        <v>1455</v>
      </c>
      <c r="B1460" s="49" t="s">
        <v>2912</v>
      </c>
      <c r="C1460" s="79" t="s">
        <v>4910</v>
      </c>
      <c r="D1460" s="49">
        <v>125454</v>
      </c>
      <c r="E1460" s="80" t="s">
        <v>4911</v>
      </c>
      <c r="F1460" s="49" t="s">
        <v>6</v>
      </c>
      <c r="G1460" s="70">
        <f t="shared" si="10"/>
        <v>43509</v>
      </c>
      <c r="H1460" s="70">
        <f t="shared" si="11"/>
        <v>43539</v>
      </c>
      <c r="I1460" s="48">
        <v>43539</v>
      </c>
      <c r="J1460" s="49" t="s">
        <v>3274</v>
      </c>
      <c r="K1460" s="49" t="s">
        <v>7</v>
      </c>
      <c r="L1460" s="49">
        <v>0</v>
      </c>
      <c r="M1460" s="48">
        <v>43539</v>
      </c>
      <c r="N1460" s="49" t="s">
        <v>3275</v>
      </c>
      <c r="O1460" s="49" t="s">
        <v>7</v>
      </c>
      <c r="P1460" s="49">
        <v>0</v>
      </c>
      <c r="Q1460" s="51" t="s">
        <v>5002</v>
      </c>
      <c r="R1460" s="67" t="e" cm="1">
        <f t="array" ref="R1460">_xlfn.CHOOSECOLS(_xlfn.CHOOSEROWS(_xlfn._xlws.FILTER(표2[],표2[DWG No.]=C1460,""),1),6)</f>
        <v>#VALUE!</v>
      </c>
      <c r="S1460" s="67" t="e" cm="1">
        <f t="array" ref="S1460">_xlfn.CHOOSECOLS(_xlfn.CHOOSEROWS(_xlfn._xlws.FILTER(표2[],(표2[DWG No.]=C1460)*(ISNUMBER(표2[Rev.])),""),1),6)</f>
        <v>#VALUE!</v>
      </c>
    </row>
    <row r="1461" spans="1:19" ht="18" customHeight="1" x14ac:dyDescent="0.45">
      <c r="A1461" s="64">
        <v>1456</v>
      </c>
      <c r="B1461" s="49" t="s">
        <v>2912</v>
      </c>
      <c r="C1461" s="79" t="s">
        <v>4912</v>
      </c>
      <c r="D1461" s="49">
        <v>160040</v>
      </c>
      <c r="E1461" s="80" t="s">
        <v>4913</v>
      </c>
      <c r="F1461" s="49" t="s">
        <v>6</v>
      </c>
      <c r="G1461" s="70">
        <f t="shared" si="10"/>
        <v>43509</v>
      </c>
      <c r="H1461" s="70">
        <f t="shared" si="11"/>
        <v>43539</v>
      </c>
      <c r="I1461" s="48">
        <v>43539</v>
      </c>
      <c r="J1461" s="49" t="s">
        <v>3274</v>
      </c>
      <c r="K1461" s="49" t="s">
        <v>7</v>
      </c>
      <c r="L1461" s="49">
        <v>0</v>
      </c>
      <c r="M1461" s="48">
        <v>43539</v>
      </c>
      <c r="N1461" s="49" t="s">
        <v>3275</v>
      </c>
      <c r="O1461" s="49" t="s">
        <v>7</v>
      </c>
      <c r="P1461" s="49">
        <v>0</v>
      </c>
      <c r="Q1461" s="51" t="s">
        <v>5002</v>
      </c>
      <c r="R1461" s="67" t="e" cm="1">
        <f t="array" ref="R1461">_xlfn.CHOOSECOLS(_xlfn.CHOOSEROWS(_xlfn._xlws.FILTER(표2[],표2[DWG No.]=C1461,""),1),6)</f>
        <v>#VALUE!</v>
      </c>
      <c r="S1461" s="67" t="e" cm="1">
        <f t="array" ref="S1461">_xlfn.CHOOSECOLS(_xlfn.CHOOSEROWS(_xlfn._xlws.FILTER(표2[],(표2[DWG No.]=C1461)*(ISNUMBER(표2[Rev.])),""),1),6)</f>
        <v>#VALUE!</v>
      </c>
    </row>
    <row r="1462" spans="1:19" ht="18" customHeight="1" x14ac:dyDescent="0.45">
      <c r="A1462" s="64">
        <v>1457</v>
      </c>
      <c r="B1462" s="49" t="s">
        <v>2912</v>
      </c>
      <c r="C1462" s="79" t="s">
        <v>4914</v>
      </c>
      <c r="D1462" s="49">
        <v>161036</v>
      </c>
      <c r="E1462" s="80" t="s">
        <v>4915</v>
      </c>
      <c r="F1462" s="49" t="s">
        <v>6</v>
      </c>
      <c r="G1462" s="70">
        <f t="shared" si="10"/>
        <v>43509</v>
      </c>
      <c r="H1462" s="70">
        <f t="shared" si="11"/>
        <v>43539</v>
      </c>
      <c r="I1462" s="48">
        <v>43539</v>
      </c>
      <c r="J1462" s="49" t="s">
        <v>4916</v>
      </c>
      <c r="K1462" s="49" t="s">
        <v>7</v>
      </c>
      <c r="L1462" s="49">
        <v>0</v>
      </c>
      <c r="M1462" s="48">
        <v>43539</v>
      </c>
      <c r="N1462" s="49" t="s">
        <v>3275</v>
      </c>
      <c r="O1462" s="49" t="s">
        <v>7</v>
      </c>
      <c r="P1462" s="49">
        <v>0</v>
      </c>
      <c r="Q1462" s="51" t="s">
        <v>5002</v>
      </c>
      <c r="R1462" s="67" t="e" cm="1">
        <f t="array" ref="R1462">_xlfn.CHOOSECOLS(_xlfn.CHOOSEROWS(_xlfn._xlws.FILTER(표2[],표2[DWG No.]=C1462,""),1),6)</f>
        <v>#VALUE!</v>
      </c>
      <c r="S1462" s="67" t="e" cm="1">
        <f t="array" ref="S1462">_xlfn.CHOOSECOLS(_xlfn.CHOOSEROWS(_xlfn._xlws.FILTER(표2[],(표2[DWG No.]=C1462)*(ISNUMBER(표2[Rev.])),""),1),6)</f>
        <v>#VALUE!</v>
      </c>
    </row>
    <row r="1463" spans="1:19" ht="18" customHeight="1" x14ac:dyDescent="0.45">
      <c r="A1463" s="64">
        <v>1458</v>
      </c>
      <c r="B1463" s="49" t="s">
        <v>2912</v>
      </c>
      <c r="C1463" s="75" t="s">
        <v>4917</v>
      </c>
      <c r="D1463" s="49">
        <v>156259</v>
      </c>
      <c r="E1463" s="76" t="s">
        <v>4918</v>
      </c>
      <c r="F1463" s="49" t="s">
        <v>6</v>
      </c>
      <c r="G1463" s="48">
        <f>I1463</f>
        <v>43532</v>
      </c>
      <c r="H1463" s="48">
        <f>G1463+30</f>
        <v>43562</v>
      </c>
      <c r="I1463" s="48">
        <v>43532</v>
      </c>
      <c r="J1463" s="49" t="s">
        <v>4919</v>
      </c>
      <c r="K1463" s="58" t="s">
        <v>5032</v>
      </c>
      <c r="L1463" s="49" t="s">
        <v>65</v>
      </c>
      <c r="M1463" s="48"/>
      <c r="N1463" s="49"/>
      <c r="O1463" s="49"/>
      <c r="P1463" s="49" t="s">
        <v>65</v>
      </c>
      <c r="Q1463" s="51" t="s">
        <v>5002</v>
      </c>
      <c r="R1463" s="67" t="e" cm="1">
        <f t="array" ref="R1463">_xlfn.CHOOSECOLS(_xlfn.CHOOSEROWS(_xlfn._xlws.FILTER(표2[],표2[DWG No.]=C1463,""),1),6)</f>
        <v>#VALUE!</v>
      </c>
      <c r="S1463" s="67" t="e" cm="1">
        <f t="array" ref="S1463">_xlfn.CHOOSECOLS(_xlfn.CHOOSEROWS(_xlfn._xlws.FILTER(표2[],(표2[DWG No.]=C1463)*(ISNUMBER(표2[Rev.])),""),1),6)</f>
        <v>#VALUE!</v>
      </c>
    </row>
    <row r="1464" spans="1:19" ht="18" customHeight="1" x14ac:dyDescent="0.45">
      <c r="A1464" s="64">
        <v>1459</v>
      </c>
      <c r="B1464" s="49" t="s">
        <v>2912</v>
      </c>
      <c r="C1464" s="75" t="s">
        <v>4920</v>
      </c>
      <c r="D1464" s="49">
        <v>165690</v>
      </c>
      <c r="E1464" s="76" t="s">
        <v>4921</v>
      </c>
      <c r="F1464" s="49" t="s">
        <v>6</v>
      </c>
      <c r="G1464" s="70">
        <f t="shared" ref="G1464:G1479" si="12">H1464-30</f>
        <v>43612</v>
      </c>
      <c r="H1464" s="70">
        <f t="shared" ref="H1464:H1479" si="13">I1464</f>
        <v>43642</v>
      </c>
      <c r="I1464" s="48">
        <v>43642</v>
      </c>
      <c r="J1464" s="49" t="s">
        <v>4922</v>
      </c>
      <c r="K1464" s="49" t="s">
        <v>7</v>
      </c>
      <c r="L1464" s="49" t="s">
        <v>349</v>
      </c>
      <c r="M1464" s="48">
        <v>43650</v>
      </c>
      <c r="N1464" s="49" t="s">
        <v>4923</v>
      </c>
      <c r="O1464" s="49"/>
      <c r="P1464" s="49" t="s">
        <v>349</v>
      </c>
      <c r="Q1464" s="51" t="s">
        <v>5002</v>
      </c>
      <c r="R1464" s="67" t="e" cm="1">
        <f t="array" ref="R1464">_xlfn.CHOOSECOLS(_xlfn.CHOOSEROWS(_xlfn._xlws.FILTER(표2[],표2[DWG No.]=C1464,""),1),6)</f>
        <v>#VALUE!</v>
      </c>
      <c r="S1464" s="67" t="e" cm="1">
        <f t="array" ref="S1464">_xlfn.CHOOSECOLS(_xlfn.CHOOSEROWS(_xlfn._xlws.FILTER(표2[],(표2[DWG No.]=C1464)*(ISNUMBER(표2[Rev.])),""),1),6)</f>
        <v>#VALUE!</v>
      </c>
    </row>
    <row r="1465" spans="1:19" ht="18" customHeight="1" x14ac:dyDescent="0.45">
      <c r="A1465" s="64">
        <v>1460</v>
      </c>
      <c r="B1465" s="49" t="s">
        <v>2912</v>
      </c>
      <c r="C1465" s="75" t="s">
        <v>4924</v>
      </c>
      <c r="D1465" s="49">
        <v>165695</v>
      </c>
      <c r="E1465" s="76" t="s">
        <v>4925</v>
      </c>
      <c r="F1465" s="49" t="s">
        <v>6</v>
      </c>
      <c r="G1465" s="70">
        <f t="shared" si="12"/>
        <v>43509</v>
      </c>
      <c r="H1465" s="70">
        <f t="shared" si="13"/>
        <v>43539</v>
      </c>
      <c r="I1465" s="48">
        <v>43539</v>
      </c>
      <c r="J1465" s="49" t="s">
        <v>3274</v>
      </c>
      <c r="K1465" s="49" t="s">
        <v>7</v>
      </c>
      <c r="L1465" s="49">
        <v>0</v>
      </c>
      <c r="M1465" s="48">
        <v>43539</v>
      </c>
      <c r="N1465" s="49" t="s">
        <v>3275</v>
      </c>
      <c r="O1465" s="49" t="s">
        <v>7</v>
      </c>
      <c r="P1465" s="49">
        <v>0</v>
      </c>
      <c r="Q1465" s="51" t="s">
        <v>5002</v>
      </c>
      <c r="R1465" s="67" t="e" cm="1">
        <f t="array" ref="R1465">_xlfn.CHOOSECOLS(_xlfn.CHOOSEROWS(_xlfn._xlws.FILTER(표2[],표2[DWG No.]=C1465,""),1),6)</f>
        <v>#VALUE!</v>
      </c>
      <c r="S1465" s="67" t="e" cm="1">
        <f t="array" ref="S1465">_xlfn.CHOOSECOLS(_xlfn.CHOOSEROWS(_xlfn._xlws.FILTER(표2[],(표2[DWG No.]=C1465)*(ISNUMBER(표2[Rev.])),""),1),6)</f>
        <v>#VALUE!</v>
      </c>
    </row>
    <row r="1466" spans="1:19" ht="18" customHeight="1" x14ac:dyDescent="0.45">
      <c r="A1466" s="64">
        <v>1461</v>
      </c>
      <c r="B1466" s="49" t="s">
        <v>2912</v>
      </c>
      <c r="C1466" s="75" t="s">
        <v>4926</v>
      </c>
      <c r="D1466" s="49">
        <v>165703</v>
      </c>
      <c r="E1466" s="76" t="s">
        <v>4927</v>
      </c>
      <c r="F1466" s="49" t="s">
        <v>6</v>
      </c>
      <c r="G1466" s="70">
        <f t="shared" si="12"/>
        <v>43509</v>
      </c>
      <c r="H1466" s="70">
        <f t="shared" si="13"/>
        <v>43539</v>
      </c>
      <c r="I1466" s="48">
        <v>43539</v>
      </c>
      <c r="J1466" s="49" t="s">
        <v>3274</v>
      </c>
      <c r="K1466" s="49" t="s">
        <v>7</v>
      </c>
      <c r="L1466" s="49">
        <v>0</v>
      </c>
      <c r="M1466" s="48">
        <v>43539</v>
      </c>
      <c r="N1466" s="49" t="s">
        <v>3275</v>
      </c>
      <c r="O1466" s="49" t="s">
        <v>7</v>
      </c>
      <c r="P1466" s="49">
        <v>0</v>
      </c>
      <c r="Q1466" s="51" t="s">
        <v>5002</v>
      </c>
      <c r="R1466" s="67" t="e" cm="1">
        <f t="array" ref="R1466">_xlfn.CHOOSECOLS(_xlfn.CHOOSEROWS(_xlfn._xlws.FILTER(표2[],표2[DWG No.]=C1466,""),1),6)</f>
        <v>#VALUE!</v>
      </c>
      <c r="S1466" s="67" t="e" cm="1">
        <f t="array" ref="S1466">_xlfn.CHOOSECOLS(_xlfn.CHOOSEROWS(_xlfn._xlws.FILTER(표2[],(표2[DWG No.]=C1466)*(ISNUMBER(표2[Rev.])),""),1),6)</f>
        <v>#VALUE!</v>
      </c>
    </row>
    <row r="1467" spans="1:19" ht="18" customHeight="1" x14ac:dyDescent="0.45">
      <c r="A1467" s="64">
        <v>1462</v>
      </c>
      <c r="B1467" s="49" t="s">
        <v>2912</v>
      </c>
      <c r="C1467" s="75" t="s">
        <v>4928</v>
      </c>
      <c r="D1467" s="49">
        <v>165702</v>
      </c>
      <c r="E1467" s="76" t="s">
        <v>4929</v>
      </c>
      <c r="F1467" s="49" t="s">
        <v>6</v>
      </c>
      <c r="G1467" s="70">
        <f t="shared" si="12"/>
        <v>43509</v>
      </c>
      <c r="H1467" s="70">
        <f t="shared" si="13"/>
        <v>43539</v>
      </c>
      <c r="I1467" s="48">
        <v>43539</v>
      </c>
      <c r="J1467" s="49" t="s">
        <v>3274</v>
      </c>
      <c r="K1467" s="49" t="s">
        <v>7</v>
      </c>
      <c r="L1467" s="49">
        <v>0</v>
      </c>
      <c r="M1467" s="48">
        <v>43539</v>
      </c>
      <c r="N1467" s="49" t="s">
        <v>3275</v>
      </c>
      <c r="O1467" s="49" t="s">
        <v>7</v>
      </c>
      <c r="P1467" s="49">
        <v>0</v>
      </c>
      <c r="Q1467" s="49" t="s">
        <v>160</v>
      </c>
      <c r="R1467" s="67" t="e" cm="1">
        <f t="array" ref="R1467">_xlfn.CHOOSECOLS(_xlfn.CHOOSEROWS(_xlfn._xlws.FILTER(표2[],표2[DWG No.]=C1467,""),1),6)</f>
        <v>#VALUE!</v>
      </c>
      <c r="S1467" s="67" t="e" cm="1">
        <f t="array" ref="S1467">_xlfn.CHOOSECOLS(_xlfn.CHOOSEROWS(_xlfn._xlws.FILTER(표2[],(표2[DWG No.]=C1467)*(ISNUMBER(표2[Rev.])),""),1),6)</f>
        <v>#VALUE!</v>
      </c>
    </row>
    <row r="1468" spans="1:19" ht="18" customHeight="1" x14ac:dyDescent="0.45">
      <c r="A1468" s="64">
        <v>1463</v>
      </c>
      <c r="B1468" s="49" t="s">
        <v>2912</v>
      </c>
      <c r="C1468" s="75" t="s">
        <v>4930</v>
      </c>
      <c r="D1468" s="49">
        <v>165692</v>
      </c>
      <c r="E1468" s="76" t="s">
        <v>4931</v>
      </c>
      <c r="F1468" s="49" t="s">
        <v>6</v>
      </c>
      <c r="G1468" s="70">
        <f t="shared" si="12"/>
        <v>43509</v>
      </c>
      <c r="H1468" s="70">
        <f t="shared" si="13"/>
        <v>43539</v>
      </c>
      <c r="I1468" s="48">
        <v>43539</v>
      </c>
      <c r="J1468" s="49" t="s">
        <v>3274</v>
      </c>
      <c r="K1468" s="49" t="s">
        <v>7</v>
      </c>
      <c r="L1468" s="49">
        <v>0</v>
      </c>
      <c r="M1468" s="48">
        <v>43539</v>
      </c>
      <c r="N1468" s="49" t="s">
        <v>3275</v>
      </c>
      <c r="O1468" s="49" t="s">
        <v>7</v>
      </c>
      <c r="P1468" s="49">
        <v>0</v>
      </c>
      <c r="Q1468" s="51" t="s">
        <v>5002</v>
      </c>
      <c r="R1468" s="67" t="e" cm="1">
        <f t="array" ref="R1468">_xlfn.CHOOSECOLS(_xlfn.CHOOSEROWS(_xlfn._xlws.FILTER(표2[],표2[DWG No.]=C1468,""),1),6)</f>
        <v>#VALUE!</v>
      </c>
      <c r="S1468" s="67" t="e" cm="1">
        <f t="array" ref="S1468">_xlfn.CHOOSECOLS(_xlfn.CHOOSEROWS(_xlfn._xlws.FILTER(표2[],(표2[DWG No.]=C1468)*(ISNUMBER(표2[Rev.])),""),1),6)</f>
        <v>#VALUE!</v>
      </c>
    </row>
    <row r="1469" spans="1:19" ht="18" customHeight="1" x14ac:dyDescent="0.45">
      <c r="A1469" s="64">
        <v>1464</v>
      </c>
      <c r="B1469" s="49" t="s">
        <v>2912</v>
      </c>
      <c r="C1469" s="75" t="s">
        <v>4932</v>
      </c>
      <c r="D1469" s="49">
        <v>165687</v>
      </c>
      <c r="E1469" s="76" t="s">
        <v>4933</v>
      </c>
      <c r="F1469" s="49" t="s">
        <v>6</v>
      </c>
      <c r="G1469" s="70">
        <f t="shared" si="12"/>
        <v>43509</v>
      </c>
      <c r="H1469" s="70">
        <f t="shared" si="13"/>
        <v>43539</v>
      </c>
      <c r="I1469" s="48">
        <v>43539</v>
      </c>
      <c r="J1469" s="49" t="s">
        <v>3274</v>
      </c>
      <c r="K1469" s="49" t="s">
        <v>7</v>
      </c>
      <c r="L1469" s="49">
        <v>0</v>
      </c>
      <c r="M1469" s="48">
        <v>43539</v>
      </c>
      <c r="N1469" s="49" t="s">
        <v>3275</v>
      </c>
      <c r="O1469" s="49" t="s">
        <v>7</v>
      </c>
      <c r="P1469" s="49">
        <v>0</v>
      </c>
      <c r="Q1469" s="51" t="s">
        <v>5002</v>
      </c>
      <c r="R1469" s="67" t="e" cm="1">
        <f t="array" ref="R1469">_xlfn.CHOOSECOLS(_xlfn.CHOOSEROWS(_xlfn._xlws.FILTER(표2[],표2[DWG No.]=C1469,""),1),6)</f>
        <v>#VALUE!</v>
      </c>
      <c r="S1469" s="67" t="e" cm="1">
        <f t="array" ref="S1469">_xlfn.CHOOSECOLS(_xlfn.CHOOSEROWS(_xlfn._xlws.FILTER(표2[],(표2[DWG No.]=C1469)*(ISNUMBER(표2[Rev.])),""),1),6)</f>
        <v>#VALUE!</v>
      </c>
    </row>
    <row r="1470" spans="1:19" ht="18" customHeight="1" x14ac:dyDescent="0.45">
      <c r="A1470" s="64">
        <v>1465</v>
      </c>
      <c r="B1470" s="49" t="s">
        <v>2912</v>
      </c>
      <c r="C1470" s="50" t="s">
        <v>4934</v>
      </c>
      <c r="D1470" s="49">
        <v>115131</v>
      </c>
      <c r="E1470" s="59" t="s">
        <v>4935</v>
      </c>
      <c r="F1470" s="49" t="s">
        <v>5030</v>
      </c>
      <c r="G1470" s="70">
        <f t="shared" si="12"/>
        <v>43509</v>
      </c>
      <c r="H1470" s="70">
        <f t="shared" si="13"/>
        <v>43539</v>
      </c>
      <c r="I1470" s="48">
        <v>43539</v>
      </c>
      <c r="J1470" s="49" t="s">
        <v>4936</v>
      </c>
      <c r="K1470" s="49" t="s">
        <v>7</v>
      </c>
      <c r="L1470" s="49">
        <v>2</v>
      </c>
      <c r="M1470" s="48">
        <v>43539</v>
      </c>
      <c r="N1470" s="49" t="s">
        <v>3275</v>
      </c>
      <c r="O1470" s="49" t="s">
        <v>7</v>
      </c>
      <c r="P1470" s="49">
        <v>2</v>
      </c>
      <c r="Q1470" s="51" t="s">
        <v>5002</v>
      </c>
      <c r="R1470" s="67" t="e" cm="1">
        <f t="array" ref="R1470">_xlfn.CHOOSECOLS(_xlfn.CHOOSEROWS(_xlfn._xlws.FILTER(표2[],표2[DWG No.]=C1470,""),1),6)</f>
        <v>#VALUE!</v>
      </c>
      <c r="S1470" s="67" t="e" cm="1">
        <f t="array" ref="S1470">_xlfn.CHOOSECOLS(_xlfn.CHOOSEROWS(_xlfn._xlws.FILTER(표2[],(표2[DWG No.]=C1470)*(ISNUMBER(표2[Rev.])),""),1),6)</f>
        <v>#VALUE!</v>
      </c>
    </row>
    <row r="1471" spans="1:19" ht="18" customHeight="1" x14ac:dyDescent="0.45">
      <c r="A1471" s="64">
        <v>1466</v>
      </c>
      <c r="B1471" s="49" t="s">
        <v>2912</v>
      </c>
      <c r="C1471" s="50" t="s">
        <v>4937</v>
      </c>
      <c r="D1471" s="49">
        <v>115132</v>
      </c>
      <c r="E1471" s="59" t="s">
        <v>4938</v>
      </c>
      <c r="F1471" s="49" t="s">
        <v>5030</v>
      </c>
      <c r="G1471" s="70">
        <f t="shared" si="12"/>
        <v>43509</v>
      </c>
      <c r="H1471" s="70">
        <f t="shared" si="13"/>
        <v>43539</v>
      </c>
      <c r="I1471" s="48">
        <v>43539</v>
      </c>
      <c r="J1471" s="49" t="s">
        <v>4936</v>
      </c>
      <c r="K1471" s="49" t="s">
        <v>7</v>
      </c>
      <c r="L1471" s="49">
        <v>2</v>
      </c>
      <c r="M1471" s="48">
        <v>43539</v>
      </c>
      <c r="N1471" s="49" t="s">
        <v>3275</v>
      </c>
      <c r="O1471" s="49" t="s">
        <v>7</v>
      </c>
      <c r="P1471" s="49">
        <v>2</v>
      </c>
      <c r="Q1471" s="51" t="s">
        <v>5002</v>
      </c>
      <c r="R1471" s="67" t="e" cm="1">
        <f t="array" ref="R1471">_xlfn.CHOOSECOLS(_xlfn.CHOOSEROWS(_xlfn._xlws.FILTER(표2[],표2[DWG No.]=C1471,""),1),6)</f>
        <v>#VALUE!</v>
      </c>
      <c r="S1471" s="67" t="e" cm="1">
        <f t="array" ref="S1471">_xlfn.CHOOSECOLS(_xlfn.CHOOSEROWS(_xlfn._xlws.FILTER(표2[],(표2[DWG No.]=C1471)*(ISNUMBER(표2[Rev.])),""),1),6)</f>
        <v>#VALUE!</v>
      </c>
    </row>
    <row r="1472" spans="1:19" ht="18" customHeight="1" x14ac:dyDescent="0.45">
      <c r="A1472" s="64">
        <v>1467</v>
      </c>
      <c r="B1472" s="49" t="s">
        <v>2912</v>
      </c>
      <c r="C1472" s="53" t="s">
        <v>4939</v>
      </c>
      <c r="D1472" s="49">
        <v>165689</v>
      </c>
      <c r="E1472" s="53" t="s">
        <v>4940</v>
      </c>
      <c r="F1472" s="49" t="s">
        <v>5030</v>
      </c>
      <c r="G1472" s="70">
        <f t="shared" si="12"/>
        <v>43509</v>
      </c>
      <c r="H1472" s="70">
        <f t="shared" si="13"/>
        <v>43539</v>
      </c>
      <c r="I1472" s="61">
        <v>43539</v>
      </c>
      <c r="J1472" s="81" t="s">
        <v>3274</v>
      </c>
      <c r="K1472" s="49" t="s">
        <v>7</v>
      </c>
      <c r="L1472" s="51">
        <v>0</v>
      </c>
      <c r="M1472" s="61">
        <v>43539</v>
      </c>
      <c r="N1472" s="51" t="s">
        <v>3275</v>
      </c>
      <c r="O1472" s="49" t="s">
        <v>7</v>
      </c>
      <c r="P1472" s="51">
        <v>0</v>
      </c>
      <c r="Q1472" s="51" t="s">
        <v>5002</v>
      </c>
      <c r="R1472" s="67" t="e" cm="1">
        <f t="array" ref="R1472">_xlfn.CHOOSECOLS(_xlfn.CHOOSEROWS(_xlfn._xlws.FILTER(표2[],표2[DWG No.]=C1472,""),1),6)</f>
        <v>#VALUE!</v>
      </c>
      <c r="S1472" s="67" t="e" cm="1">
        <f t="array" ref="S1472">_xlfn.CHOOSECOLS(_xlfn.CHOOSEROWS(_xlfn._xlws.FILTER(표2[],(표2[DWG No.]=C1472)*(ISNUMBER(표2[Rev.])),""),1),6)</f>
        <v>#VALUE!</v>
      </c>
    </row>
    <row r="1473" spans="1:19" ht="18" customHeight="1" x14ac:dyDescent="0.45">
      <c r="A1473" s="64">
        <v>1468</v>
      </c>
      <c r="B1473" s="49" t="s">
        <v>2912</v>
      </c>
      <c r="C1473" s="53" t="s">
        <v>4941</v>
      </c>
      <c r="D1473" s="49">
        <v>165691</v>
      </c>
      <c r="E1473" s="53" t="s">
        <v>4942</v>
      </c>
      <c r="F1473" s="49" t="s">
        <v>5030</v>
      </c>
      <c r="G1473" s="70">
        <f t="shared" si="12"/>
        <v>43509</v>
      </c>
      <c r="H1473" s="70">
        <f t="shared" si="13"/>
        <v>43539</v>
      </c>
      <c r="I1473" s="61">
        <v>43539</v>
      </c>
      <c r="J1473" s="81" t="s">
        <v>3274</v>
      </c>
      <c r="K1473" s="49" t="s">
        <v>7</v>
      </c>
      <c r="L1473" s="51">
        <v>0</v>
      </c>
      <c r="M1473" s="61">
        <v>43539</v>
      </c>
      <c r="N1473" s="51" t="s">
        <v>3275</v>
      </c>
      <c r="O1473" s="49" t="s">
        <v>7</v>
      </c>
      <c r="P1473" s="51">
        <v>0</v>
      </c>
      <c r="Q1473" s="51" t="s">
        <v>5002</v>
      </c>
      <c r="R1473" s="67" t="e" cm="1">
        <f t="array" ref="R1473">_xlfn.CHOOSECOLS(_xlfn.CHOOSEROWS(_xlfn._xlws.FILTER(표2[],표2[DWG No.]=C1473,""),1),6)</f>
        <v>#VALUE!</v>
      </c>
      <c r="S1473" s="67" t="e" cm="1">
        <f t="array" ref="S1473">_xlfn.CHOOSECOLS(_xlfn.CHOOSEROWS(_xlfn._xlws.FILTER(표2[],(표2[DWG No.]=C1473)*(ISNUMBER(표2[Rev.])),""),1),6)</f>
        <v>#VALUE!</v>
      </c>
    </row>
    <row r="1474" spans="1:19" ht="18" customHeight="1" x14ac:dyDescent="0.45">
      <c r="A1474" s="64">
        <v>1469</v>
      </c>
      <c r="B1474" s="49" t="s">
        <v>2912</v>
      </c>
      <c r="C1474" s="53" t="s">
        <v>4943</v>
      </c>
      <c r="D1474" s="49">
        <v>165691</v>
      </c>
      <c r="E1474" s="53" t="s">
        <v>4944</v>
      </c>
      <c r="F1474" s="49" t="s">
        <v>5030</v>
      </c>
      <c r="G1474" s="70">
        <f t="shared" si="12"/>
        <v>43509</v>
      </c>
      <c r="H1474" s="70">
        <f t="shared" si="13"/>
        <v>43539</v>
      </c>
      <c r="I1474" s="61">
        <v>43539</v>
      </c>
      <c r="J1474" s="81" t="s">
        <v>3274</v>
      </c>
      <c r="K1474" s="49" t="s">
        <v>7</v>
      </c>
      <c r="L1474" s="51">
        <v>0</v>
      </c>
      <c r="M1474" s="61">
        <v>43539</v>
      </c>
      <c r="N1474" s="51" t="s">
        <v>3275</v>
      </c>
      <c r="O1474" s="49" t="s">
        <v>7</v>
      </c>
      <c r="P1474" s="51">
        <v>0</v>
      </c>
      <c r="Q1474" s="51" t="s">
        <v>5002</v>
      </c>
      <c r="R1474" s="67" t="e" cm="1">
        <f t="array" ref="R1474">_xlfn.CHOOSECOLS(_xlfn.CHOOSEROWS(_xlfn._xlws.FILTER(표2[],표2[DWG No.]=C1474,""),1),6)</f>
        <v>#VALUE!</v>
      </c>
      <c r="S1474" s="67" t="e" cm="1">
        <f t="array" ref="S1474">_xlfn.CHOOSECOLS(_xlfn.CHOOSEROWS(_xlfn._xlws.FILTER(표2[],(표2[DWG No.]=C1474)*(ISNUMBER(표2[Rev.])),""),1),6)</f>
        <v>#VALUE!</v>
      </c>
    </row>
    <row r="1475" spans="1:19" ht="18" customHeight="1" x14ac:dyDescent="0.45">
      <c r="A1475" s="64">
        <v>1470</v>
      </c>
      <c r="B1475" s="49" t="s">
        <v>2912</v>
      </c>
      <c r="C1475" s="53" t="s">
        <v>4945</v>
      </c>
      <c r="D1475" s="49">
        <v>126811</v>
      </c>
      <c r="E1475" s="53" t="s">
        <v>4946</v>
      </c>
      <c r="F1475" s="49" t="s">
        <v>5030</v>
      </c>
      <c r="G1475" s="70">
        <f t="shared" si="12"/>
        <v>43509</v>
      </c>
      <c r="H1475" s="70">
        <f t="shared" si="13"/>
        <v>43539</v>
      </c>
      <c r="I1475" s="61">
        <v>43539</v>
      </c>
      <c r="J1475" s="81" t="s">
        <v>3274</v>
      </c>
      <c r="K1475" s="49" t="s">
        <v>7</v>
      </c>
      <c r="L1475" s="51">
        <v>0</v>
      </c>
      <c r="M1475" s="61">
        <v>43539</v>
      </c>
      <c r="N1475" s="51" t="s">
        <v>3275</v>
      </c>
      <c r="O1475" s="49" t="s">
        <v>7</v>
      </c>
      <c r="P1475" s="51">
        <v>0</v>
      </c>
      <c r="Q1475" s="51" t="s">
        <v>5002</v>
      </c>
      <c r="R1475" s="67" t="e" cm="1">
        <f t="array" ref="R1475">_xlfn.CHOOSECOLS(_xlfn.CHOOSEROWS(_xlfn._xlws.FILTER(표2[],표2[DWG No.]=C1475,""),1),6)</f>
        <v>#VALUE!</v>
      </c>
      <c r="S1475" s="67" t="e" cm="1">
        <f t="array" ref="S1475">_xlfn.CHOOSECOLS(_xlfn.CHOOSEROWS(_xlfn._xlws.FILTER(표2[],(표2[DWG No.]=C1475)*(ISNUMBER(표2[Rev.])),""),1),6)</f>
        <v>#VALUE!</v>
      </c>
    </row>
    <row r="1476" spans="1:19" ht="18" customHeight="1" x14ac:dyDescent="0.45">
      <c r="A1476" s="64">
        <v>1471</v>
      </c>
      <c r="B1476" s="49" t="s">
        <v>2912</v>
      </c>
      <c r="C1476" s="53" t="s">
        <v>4947</v>
      </c>
      <c r="D1476" s="49">
        <v>126810</v>
      </c>
      <c r="E1476" s="53" t="s">
        <v>4948</v>
      </c>
      <c r="F1476" s="49" t="s">
        <v>5030</v>
      </c>
      <c r="G1476" s="70">
        <f t="shared" si="12"/>
        <v>43509</v>
      </c>
      <c r="H1476" s="70">
        <f t="shared" si="13"/>
        <v>43539</v>
      </c>
      <c r="I1476" s="61">
        <v>43539</v>
      </c>
      <c r="J1476" s="81" t="s">
        <v>3274</v>
      </c>
      <c r="K1476" s="49" t="s">
        <v>7</v>
      </c>
      <c r="L1476" s="51">
        <v>0</v>
      </c>
      <c r="M1476" s="61">
        <v>43539</v>
      </c>
      <c r="N1476" s="51" t="s">
        <v>3275</v>
      </c>
      <c r="O1476" s="49" t="s">
        <v>7</v>
      </c>
      <c r="P1476" s="51">
        <v>0</v>
      </c>
      <c r="Q1476" s="51" t="s">
        <v>5002</v>
      </c>
      <c r="R1476" s="67" t="e" cm="1">
        <f t="array" ref="R1476">_xlfn.CHOOSECOLS(_xlfn.CHOOSEROWS(_xlfn._xlws.FILTER(표2[],표2[DWG No.]=C1476,""),1),6)</f>
        <v>#VALUE!</v>
      </c>
      <c r="S1476" s="67" t="e" cm="1">
        <f t="array" ref="S1476">_xlfn.CHOOSECOLS(_xlfn.CHOOSEROWS(_xlfn._xlws.FILTER(표2[],(표2[DWG No.]=C1476)*(ISNUMBER(표2[Rev.])),""),1),6)</f>
        <v>#VALUE!</v>
      </c>
    </row>
    <row r="1477" spans="1:19" ht="18" customHeight="1" x14ac:dyDescent="0.45">
      <c r="A1477" s="64">
        <v>1472</v>
      </c>
      <c r="B1477" s="49" t="s">
        <v>2912</v>
      </c>
      <c r="C1477" s="53" t="s">
        <v>4949</v>
      </c>
      <c r="D1477" s="49">
        <v>126809</v>
      </c>
      <c r="E1477" s="53" t="s">
        <v>4950</v>
      </c>
      <c r="F1477" s="49" t="s">
        <v>5030</v>
      </c>
      <c r="G1477" s="70">
        <f t="shared" si="12"/>
        <v>43509</v>
      </c>
      <c r="H1477" s="70">
        <f t="shared" si="13"/>
        <v>43539</v>
      </c>
      <c r="I1477" s="61">
        <v>43539</v>
      </c>
      <c r="J1477" s="81" t="s">
        <v>3274</v>
      </c>
      <c r="K1477" s="49" t="s">
        <v>7</v>
      </c>
      <c r="L1477" s="51">
        <v>0</v>
      </c>
      <c r="M1477" s="61">
        <v>43539</v>
      </c>
      <c r="N1477" s="51" t="s">
        <v>3275</v>
      </c>
      <c r="O1477" s="49" t="s">
        <v>7</v>
      </c>
      <c r="P1477" s="51">
        <v>0</v>
      </c>
      <c r="Q1477" s="51" t="s">
        <v>5002</v>
      </c>
      <c r="R1477" s="67" t="e" cm="1">
        <f t="array" ref="R1477">_xlfn.CHOOSECOLS(_xlfn.CHOOSEROWS(_xlfn._xlws.FILTER(표2[],표2[DWG No.]=C1477,""),1),6)</f>
        <v>#VALUE!</v>
      </c>
      <c r="S1477" s="67" t="e" cm="1">
        <f t="array" ref="S1477">_xlfn.CHOOSECOLS(_xlfn.CHOOSEROWS(_xlfn._xlws.FILTER(표2[],(표2[DWG No.]=C1477)*(ISNUMBER(표2[Rev.])),""),1),6)</f>
        <v>#VALUE!</v>
      </c>
    </row>
    <row r="1478" spans="1:19" ht="18" customHeight="1" x14ac:dyDescent="0.45">
      <c r="A1478" s="64">
        <v>1473</v>
      </c>
      <c r="B1478" s="49" t="s">
        <v>2912</v>
      </c>
      <c r="C1478" s="53" t="s">
        <v>4951</v>
      </c>
      <c r="D1478" s="49">
        <v>125950</v>
      </c>
      <c r="E1478" s="53" t="s">
        <v>4952</v>
      </c>
      <c r="F1478" s="49" t="s">
        <v>5030</v>
      </c>
      <c r="G1478" s="70">
        <f t="shared" si="12"/>
        <v>43509</v>
      </c>
      <c r="H1478" s="70">
        <f t="shared" si="13"/>
        <v>43539</v>
      </c>
      <c r="I1478" s="61">
        <v>43539</v>
      </c>
      <c r="J1478" s="81" t="s">
        <v>3274</v>
      </c>
      <c r="K1478" s="49" t="s">
        <v>7</v>
      </c>
      <c r="L1478" s="51">
        <v>0</v>
      </c>
      <c r="M1478" s="61">
        <v>43539</v>
      </c>
      <c r="N1478" s="51" t="s">
        <v>3275</v>
      </c>
      <c r="O1478" s="49" t="s">
        <v>7</v>
      </c>
      <c r="P1478" s="51">
        <v>0</v>
      </c>
      <c r="Q1478" s="51" t="s">
        <v>5002</v>
      </c>
      <c r="R1478" s="67" t="e" cm="1">
        <f t="array" ref="R1478">_xlfn.CHOOSECOLS(_xlfn.CHOOSEROWS(_xlfn._xlws.FILTER(표2[],표2[DWG No.]=C1478,""),1),6)</f>
        <v>#VALUE!</v>
      </c>
      <c r="S1478" s="67" t="e" cm="1">
        <f t="array" ref="S1478">_xlfn.CHOOSECOLS(_xlfn.CHOOSEROWS(_xlfn._xlws.FILTER(표2[],(표2[DWG No.]=C1478)*(ISNUMBER(표2[Rev.])),""),1),6)</f>
        <v>#VALUE!</v>
      </c>
    </row>
    <row r="1479" spans="1:19" x14ac:dyDescent="0.45">
      <c r="A1479" s="64">
        <v>1474</v>
      </c>
      <c r="B1479" s="49" t="s">
        <v>5029</v>
      </c>
      <c r="C1479" s="53" t="s">
        <v>4953</v>
      </c>
      <c r="D1479" s="49">
        <v>165127</v>
      </c>
      <c r="E1479" s="53" t="s">
        <v>4954</v>
      </c>
      <c r="F1479" s="49" t="s">
        <v>5030</v>
      </c>
      <c r="G1479" s="70">
        <f t="shared" si="12"/>
        <v>43509</v>
      </c>
      <c r="H1479" s="70">
        <f t="shared" si="13"/>
        <v>43539</v>
      </c>
      <c r="I1479" s="61">
        <v>43539</v>
      </c>
      <c r="J1479" s="81" t="s">
        <v>3274</v>
      </c>
      <c r="K1479" s="49" t="s">
        <v>7</v>
      </c>
      <c r="L1479" s="51">
        <v>0</v>
      </c>
      <c r="M1479" s="61">
        <v>43539</v>
      </c>
      <c r="N1479" s="51" t="s">
        <v>3275</v>
      </c>
      <c r="O1479" s="49" t="s">
        <v>7</v>
      </c>
      <c r="P1479" s="51">
        <v>0</v>
      </c>
      <c r="Q1479" s="51" t="s">
        <v>5002</v>
      </c>
      <c r="R1479" s="67" t="e" cm="1">
        <f t="array" ref="R1479">_xlfn.CHOOSECOLS(_xlfn.CHOOSEROWS(_xlfn._xlws.FILTER(표2[],표2[DWG No.]=C1479,""),1),6)</f>
        <v>#VALUE!</v>
      </c>
      <c r="S1479" s="67" t="e" cm="1">
        <f t="array" ref="S1479">_xlfn.CHOOSECOLS(_xlfn.CHOOSEROWS(_xlfn._xlws.FILTER(표2[],(표2[DWG No.]=C1479)*(ISNUMBER(표2[Rev.])),""),1),6)</f>
        <v>#VALUE!</v>
      </c>
    </row>
    <row r="1480" spans="1:19" x14ac:dyDescent="0.45">
      <c r="A1480" s="64">
        <v>1475</v>
      </c>
      <c r="B1480" s="49" t="s">
        <v>2912</v>
      </c>
      <c r="C1480" s="50" t="s">
        <v>4955</v>
      </c>
      <c r="D1480" s="49">
        <v>156258</v>
      </c>
      <c r="E1480" s="59" t="s">
        <v>4956</v>
      </c>
      <c r="F1480" s="49" t="s">
        <v>6</v>
      </c>
      <c r="G1480" s="48">
        <f t="shared" ref="G1480:G1481" si="14">I1480</f>
        <v>43579</v>
      </c>
      <c r="H1480" s="48">
        <f t="shared" ref="H1480:H1481" si="15">G1480+30</f>
        <v>43609</v>
      </c>
      <c r="I1480" s="48">
        <v>43579</v>
      </c>
      <c r="J1480" s="49" t="s">
        <v>4957</v>
      </c>
      <c r="K1480" s="58" t="s">
        <v>5032</v>
      </c>
      <c r="L1480" s="49" t="s">
        <v>65</v>
      </c>
      <c r="M1480" s="48">
        <v>43594</v>
      </c>
      <c r="N1480" s="49" t="s">
        <v>3959</v>
      </c>
      <c r="O1480" s="49" t="s">
        <v>6</v>
      </c>
      <c r="P1480" s="49" t="s">
        <v>65</v>
      </c>
      <c r="Q1480" s="49" t="s">
        <v>160</v>
      </c>
      <c r="R1480" s="67" t="e" cm="1">
        <f t="array" ref="R1480">_xlfn.CHOOSECOLS(_xlfn.CHOOSEROWS(_xlfn._xlws.FILTER(표2[],표2[DWG No.]=C1480,""),1),6)</f>
        <v>#VALUE!</v>
      </c>
      <c r="S1480" s="67" t="e" cm="1">
        <f t="array" ref="S1480">_xlfn.CHOOSECOLS(_xlfn.CHOOSEROWS(_xlfn._xlws.FILTER(표2[],(표2[DWG No.]=C1480)*(ISNUMBER(표2[Rev.])),""),1),6)</f>
        <v>#VALUE!</v>
      </c>
    </row>
    <row r="1481" spans="1:19" x14ac:dyDescent="0.45">
      <c r="A1481" s="64">
        <v>1476</v>
      </c>
      <c r="B1481" s="49" t="s">
        <v>2912</v>
      </c>
      <c r="C1481" s="50" t="s">
        <v>4958</v>
      </c>
      <c r="D1481" s="49">
        <v>145041</v>
      </c>
      <c r="E1481" s="59" t="s">
        <v>4959</v>
      </c>
      <c r="F1481" s="49" t="s">
        <v>6</v>
      </c>
      <c r="G1481" s="48">
        <f t="shared" si="14"/>
        <v>43609</v>
      </c>
      <c r="H1481" s="48">
        <f t="shared" si="15"/>
        <v>43639</v>
      </c>
      <c r="I1481" s="48">
        <v>43609</v>
      </c>
      <c r="J1481" s="49" t="s">
        <v>4711</v>
      </c>
      <c r="K1481" s="58" t="s">
        <v>5032</v>
      </c>
      <c r="L1481" s="49" t="s">
        <v>160</v>
      </c>
      <c r="M1481" s="48">
        <v>43609</v>
      </c>
      <c r="N1481" s="49" t="s">
        <v>4712</v>
      </c>
      <c r="O1481" s="49"/>
      <c r="P1481" s="49" t="s">
        <v>160</v>
      </c>
      <c r="Q1481" s="49" t="s">
        <v>160</v>
      </c>
      <c r="R1481" s="67" t="e" cm="1">
        <f t="array" ref="R1481">_xlfn.CHOOSECOLS(_xlfn.CHOOSEROWS(_xlfn._xlws.FILTER(표2[],표2[DWG No.]=C1481,""),1),6)</f>
        <v>#VALUE!</v>
      </c>
      <c r="S1481" s="67" t="e" cm="1">
        <f t="array" ref="S1481">_xlfn.CHOOSECOLS(_xlfn.CHOOSEROWS(_xlfn._xlws.FILTER(표2[],(표2[DWG No.]=C1481)*(ISNUMBER(표2[Rev.])),""),1),6)</f>
        <v>#VALUE!</v>
      </c>
    </row>
    <row r="1482" spans="1:19" x14ac:dyDescent="0.45">
      <c r="A1482" s="64">
        <v>1477</v>
      </c>
      <c r="B1482" s="49" t="s">
        <v>5029</v>
      </c>
      <c r="C1482" s="50" t="s">
        <v>4960</v>
      </c>
      <c r="D1482" s="49">
        <v>156351</v>
      </c>
      <c r="E1482" s="59" t="s">
        <v>4961</v>
      </c>
      <c r="F1482" s="49" t="s">
        <v>5030</v>
      </c>
      <c r="G1482" s="70">
        <f>H1482-30</f>
        <v>43515</v>
      </c>
      <c r="H1482" s="70">
        <f>I1482</f>
        <v>43545</v>
      </c>
      <c r="I1482" s="48">
        <v>43545</v>
      </c>
      <c r="J1482" s="49" t="s">
        <v>4178</v>
      </c>
      <c r="K1482" s="49" t="s">
        <v>7</v>
      </c>
      <c r="L1482" s="49">
        <v>0</v>
      </c>
      <c r="M1482" s="48">
        <v>43545</v>
      </c>
      <c r="N1482" s="49" t="s">
        <v>4178</v>
      </c>
      <c r="O1482" s="49" t="s">
        <v>7</v>
      </c>
      <c r="P1482" s="49">
        <v>0</v>
      </c>
      <c r="Q1482" s="49" t="s">
        <v>160</v>
      </c>
      <c r="R1482" s="67" t="e" cm="1">
        <f t="array" ref="R1482">_xlfn.CHOOSECOLS(_xlfn.CHOOSEROWS(_xlfn._xlws.FILTER(표2[],표2[DWG No.]=C1482,""),1),6)</f>
        <v>#VALUE!</v>
      </c>
      <c r="S1482" s="67" t="e" cm="1">
        <f t="array" ref="S1482">_xlfn.CHOOSECOLS(_xlfn.CHOOSEROWS(_xlfn._xlws.FILTER(표2[],(표2[DWG No.]=C1482)*(ISNUMBER(표2[Rev.])),""),1),6)</f>
        <v>#VALUE!</v>
      </c>
    </row>
    <row r="1483" spans="1:19" x14ac:dyDescent="0.45">
      <c r="A1483" s="64">
        <v>1478</v>
      </c>
      <c r="B1483" s="49" t="s">
        <v>2912</v>
      </c>
      <c r="C1483" s="50" t="s">
        <v>4962</v>
      </c>
      <c r="D1483" s="49">
        <v>156415</v>
      </c>
      <c r="E1483" s="59" t="s">
        <v>4963</v>
      </c>
      <c r="F1483" s="49" t="s">
        <v>6</v>
      </c>
      <c r="G1483" s="48">
        <f t="shared" ref="G1483:G1492" si="16">I1483</f>
        <v>43727</v>
      </c>
      <c r="H1483" s="48">
        <f t="shared" ref="H1483:H1492" si="17">G1483+30</f>
        <v>43757</v>
      </c>
      <c r="I1483" s="48">
        <v>43727</v>
      </c>
      <c r="J1483" s="49" t="s">
        <v>4964</v>
      </c>
      <c r="K1483" s="58" t="s">
        <v>5032</v>
      </c>
      <c r="L1483" s="49" t="s">
        <v>160</v>
      </c>
      <c r="M1483" s="48">
        <v>43734</v>
      </c>
      <c r="N1483" s="49" t="s">
        <v>3401</v>
      </c>
      <c r="O1483" s="49"/>
      <c r="P1483" s="49" t="s">
        <v>160</v>
      </c>
      <c r="Q1483" s="49" t="s">
        <v>65</v>
      </c>
      <c r="R1483" s="67" t="e" cm="1">
        <f t="array" ref="R1483">_xlfn.CHOOSECOLS(_xlfn.CHOOSEROWS(_xlfn._xlws.FILTER(표2[],표2[DWG No.]=C1483,""),1),6)</f>
        <v>#VALUE!</v>
      </c>
      <c r="S1483" s="67" t="e" cm="1">
        <f t="array" ref="S1483">_xlfn.CHOOSECOLS(_xlfn.CHOOSEROWS(_xlfn._xlws.FILTER(표2[],(표2[DWG No.]=C1483)*(ISNUMBER(표2[Rev.])),""),1),6)</f>
        <v>#VALUE!</v>
      </c>
    </row>
    <row r="1484" spans="1:19" x14ac:dyDescent="0.45">
      <c r="A1484" s="64">
        <v>1479</v>
      </c>
      <c r="B1484" s="49" t="s">
        <v>2912</v>
      </c>
      <c r="C1484" s="50" t="s">
        <v>4965</v>
      </c>
      <c r="D1484" s="49">
        <v>156416</v>
      </c>
      <c r="E1484" s="59" t="s">
        <v>4966</v>
      </c>
      <c r="F1484" s="49" t="s">
        <v>6</v>
      </c>
      <c r="G1484" s="48">
        <f t="shared" si="16"/>
        <v>43683</v>
      </c>
      <c r="H1484" s="48">
        <f t="shared" si="17"/>
        <v>43713</v>
      </c>
      <c r="I1484" s="48">
        <v>43683</v>
      </c>
      <c r="J1484" s="49" t="s">
        <v>4967</v>
      </c>
      <c r="K1484" s="58" t="s">
        <v>5032</v>
      </c>
      <c r="L1484" s="49" t="s">
        <v>65</v>
      </c>
      <c r="M1484" s="48">
        <v>43707</v>
      </c>
      <c r="N1484" s="49" t="s">
        <v>4968</v>
      </c>
      <c r="O1484" s="49" t="s">
        <v>6</v>
      </c>
      <c r="P1484" s="49" t="s">
        <v>65</v>
      </c>
      <c r="Q1484" s="49" t="s">
        <v>160</v>
      </c>
      <c r="R1484" s="67" t="e" cm="1">
        <f t="array" ref="R1484">_xlfn.CHOOSECOLS(_xlfn.CHOOSEROWS(_xlfn._xlws.FILTER(표2[],표2[DWG No.]=C1484,""),1),6)</f>
        <v>#VALUE!</v>
      </c>
      <c r="S1484" s="67" t="e" cm="1">
        <f t="array" ref="S1484">_xlfn.CHOOSECOLS(_xlfn.CHOOSEROWS(_xlfn._xlws.FILTER(표2[],(표2[DWG No.]=C1484)*(ISNUMBER(표2[Rev.])),""),1),6)</f>
        <v>#VALUE!</v>
      </c>
    </row>
    <row r="1485" spans="1:19" x14ac:dyDescent="0.45">
      <c r="A1485" s="64">
        <v>1480</v>
      </c>
      <c r="B1485" s="49" t="s">
        <v>2912</v>
      </c>
      <c r="C1485" s="50" t="s">
        <v>4969</v>
      </c>
      <c r="D1485" s="49">
        <v>165616</v>
      </c>
      <c r="E1485" s="59" t="s">
        <v>4970</v>
      </c>
      <c r="F1485" s="49" t="s">
        <v>6</v>
      </c>
      <c r="G1485" s="48">
        <f t="shared" si="16"/>
        <v>44072</v>
      </c>
      <c r="H1485" s="48">
        <f t="shared" si="17"/>
        <v>44102</v>
      </c>
      <c r="I1485" s="82">
        <v>44072</v>
      </c>
      <c r="J1485" s="83" t="s">
        <v>5031</v>
      </c>
      <c r="K1485" s="83" t="s">
        <v>4991</v>
      </c>
      <c r="L1485" s="83">
        <v>0</v>
      </c>
      <c r="M1485" s="62">
        <v>43790</v>
      </c>
      <c r="N1485" s="52" t="s">
        <v>3784</v>
      </c>
      <c r="O1485" s="49"/>
      <c r="P1485" s="49" t="s">
        <v>160</v>
      </c>
      <c r="Q1485" s="49" t="s">
        <v>160</v>
      </c>
      <c r="R1485" s="67" t="e" cm="1">
        <f t="array" ref="R1485">_xlfn.CHOOSECOLS(_xlfn.CHOOSEROWS(_xlfn._xlws.FILTER(표2[],표2[DWG No.]=C1485,""),1),6)</f>
        <v>#VALUE!</v>
      </c>
      <c r="S1485" s="67" t="e" cm="1">
        <f t="array" ref="S1485">_xlfn.CHOOSECOLS(_xlfn.CHOOSEROWS(_xlfn._xlws.FILTER(표2[],(표2[DWG No.]=C1485)*(ISNUMBER(표2[Rev.])),""),1),6)</f>
        <v>#VALUE!</v>
      </c>
    </row>
    <row r="1486" spans="1:19" x14ac:dyDescent="0.45">
      <c r="A1486" s="64">
        <v>1481</v>
      </c>
      <c r="B1486" s="49" t="s">
        <v>2912</v>
      </c>
      <c r="C1486" s="50" t="s">
        <v>4971</v>
      </c>
      <c r="D1486" s="49">
        <v>156395</v>
      </c>
      <c r="E1486" s="59" t="s">
        <v>4972</v>
      </c>
      <c r="F1486" s="49" t="s">
        <v>6</v>
      </c>
      <c r="G1486" s="48">
        <f t="shared" si="16"/>
        <v>43798</v>
      </c>
      <c r="H1486" s="48">
        <f t="shared" si="17"/>
        <v>43828</v>
      </c>
      <c r="I1486" s="48">
        <v>43798</v>
      </c>
      <c r="J1486" s="49" t="s">
        <v>4749</v>
      </c>
      <c r="K1486" s="58" t="s">
        <v>5032</v>
      </c>
      <c r="L1486" s="49" t="s">
        <v>160</v>
      </c>
      <c r="M1486" s="48">
        <v>43798</v>
      </c>
      <c r="N1486" s="49" t="s">
        <v>3191</v>
      </c>
      <c r="O1486" s="49"/>
      <c r="P1486" s="49" t="s">
        <v>160</v>
      </c>
      <c r="Q1486" s="49" t="s">
        <v>65</v>
      </c>
      <c r="R1486" s="67" t="e" cm="1">
        <f t="array" ref="R1486">_xlfn.CHOOSECOLS(_xlfn.CHOOSEROWS(_xlfn._xlws.FILTER(표2[],표2[DWG No.]=C1486,""),1),6)</f>
        <v>#VALUE!</v>
      </c>
      <c r="S1486" s="67" t="e" cm="1">
        <f t="array" ref="S1486">_xlfn.CHOOSECOLS(_xlfn.CHOOSEROWS(_xlfn._xlws.FILTER(표2[],(표2[DWG No.]=C1486)*(ISNUMBER(표2[Rev.])),""),1),6)</f>
        <v>#VALUE!</v>
      </c>
    </row>
    <row r="1487" spans="1:19" x14ac:dyDescent="0.45">
      <c r="A1487" s="64">
        <v>1482</v>
      </c>
      <c r="B1487" s="49" t="s">
        <v>2912</v>
      </c>
      <c r="C1487" s="53" t="s">
        <v>4973</v>
      </c>
      <c r="D1487" s="49">
        <v>165707</v>
      </c>
      <c r="E1487" s="53" t="s">
        <v>4974</v>
      </c>
      <c r="F1487" s="49" t="s">
        <v>6</v>
      </c>
      <c r="G1487" s="48">
        <f t="shared" si="16"/>
        <v>43860</v>
      </c>
      <c r="H1487" s="48">
        <f t="shared" si="17"/>
        <v>43890</v>
      </c>
      <c r="I1487" s="48">
        <v>43860</v>
      </c>
      <c r="J1487" s="49" t="s">
        <v>4975</v>
      </c>
      <c r="K1487" s="58" t="s">
        <v>5032</v>
      </c>
      <c r="L1487" s="49" t="s">
        <v>65</v>
      </c>
      <c r="M1487" s="48">
        <v>43864</v>
      </c>
      <c r="N1487" s="52" t="s">
        <v>4976</v>
      </c>
      <c r="O1487" s="49"/>
      <c r="P1487" s="49" t="s">
        <v>65</v>
      </c>
      <c r="Q1487" s="49" t="s">
        <v>164</v>
      </c>
      <c r="R1487" s="67" t="e" cm="1">
        <f t="array" ref="R1487">_xlfn.CHOOSECOLS(_xlfn.CHOOSEROWS(_xlfn._xlws.FILTER(표2[],표2[DWG No.]=C1487,""),1),6)</f>
        <v>#VALUE!</v>
      </c>
      <c r="S1487" s="67" t="e" cm="1">
        <f t="array" ref="S1487">_xlfn.CHOOSECOLS(_xlfn.CHOOSEROWS(_xlfn._xlws.FILTER(표2[],(표2[DWG No.]=C1487)*(ISNUMBER(표2[Rev.])),""),1),6)</f>
        <v>#VALUE!</v>
      </c>
    </row>
    <row r="1488" spans="1:19" x14ac:dyDescent="0.45">
      <c r="A1488" s="64">
        <v>1483</v>
      </c>
      <c r="B1488" s="49" t="s">
        <v>2912</v>
      </c>
      <c r="C1488" s="53" t="s">
        <v>4977</v>
      </c>
      <c r="D1488" s="49">
        <v>165708</v>
      </c>
      <c r="E1488" s="53" t="s">
        <v>4978</v>
      </c>
      <c r="F1488" s="49" t="s">
        <v>6</v>
      </c>
      <c r="G1488" s="48">
        <f t="shared" si="16"/>
        <v>43860</v>
      </c>
      <c r="H1488" s="48">
        <f t="shared" si="17"/>
        <v>43890</v>
      </c>
      <c r="I1488" s="48">
        <v>43860</v>
      </c>
      <c r="J1488" s="49" t="s">
        <v>4975</v>
      </c>
      <c r="K1488" s="58" t="s">
        <v>5032</v>
      </c>
      <c r="L1488" s="49" t="s">
        <v>65</v>
      </c>
      <c r="M1488" s="48">
        <v>43864</v>
      </c>
      <c r="N1488" s="52" t="s">
        <v>4976</v>
      </c>
      <c r="O1488" s="49"/>
      <c r="P1488" s="49" t="s">
        <v>65</v>
      </c>
      <c r="Q1488" s="49" t="s">
        <v>164</v>
      </c>
      <c r="R1488" s="67" t="e" cm="1">
        <f t="array" ref="R1488">_xlfn.CHOOSECOLS(_xlfn.CHOOSEROWS(_xlfn._xlws.FILTER(표2[],표2[DWG No.]=C1488,""),1),6)</f>
        <v>#VALUE!</v>
      </c>
      <c r="S1488" s="67" t="e" cm="1">
        <f t="array" ref="S1488">_xlfn.CHOOSECOLS(_xlfn.CHOOSEROWS(_xlfn._xlws.FILTER(표2[],(표2[DWG No.]=C1488)*(ISNUMBER(표2[Rev.])),""),1),6)</f>
        <v>#VALUE!</v>
      </c>
    </row>
    <row r="1489" spans="1:19" x14ac:dyDescent="0.45">
      <c r="A1489" s="64">
        <v>1484</v>
      </c>
      <c r="B1489" s="49" t="s">
        <v>2912</v>
      </c>
      <c r="C1489" s="53" t="s">
        <v>4979</v>
      </c>
      <c r="D1489" s="49">
        <v>165709</v>
      </c>
      <c r="E1489" s="53" t="s">
        <v>4980</v>
      </c>
      <c r="F1489" s="49" t="s">
        <v>6</v>
      </c>
      <c r="G1489" s="48">
        <f t="shared" si="16"/>
        <v>44072</v>
      </c>
      <c r="H1489" s="48">
        <f t="shared" si="17"/>
        <v>44102</v>
      </c>
      <c r="I1489" s="82">
        <v>44072</v>
      </c>
      <c r="J1489" s="83" t="s">
        <v>5031</v>
      </c>
      <c r="K1489" s="83" t="s">
        <v>4991</v>
      </c>
      <c r="L1489" s="83">
        <v>0</v>
      </c>
      <c r="M1489" s="48">
        <v>43864</v>
      </c>
      <c r="N1489" s="52" t="s">
        <v>4976</v>
      </c>
      <c r="O1489" s="49"/>
      <c r="P1489" s="49" t="s">
        <v>65</v>
      </c>
      <c r="Q1489" s="49" t="s">
        <v>164</v>
      </c>
      <c r="R1489" s="67" t="e" cm="1">
        <f t="array" ref="R1489">_xlfn.CHOOSECOLS(_xlfn.CHOOSEROWS(_xlfn._xlws.FILTER(표2[],표2[DWG No.]=C1489,""),1),6)</f>
        <v>#VALUE!</v>
      </c>
      <c r="S1489" s="67" t="e" cm="1">
        <f t="array" ref="S1489">_xlfn.CHOOSECOLS(_xlfn.CHOOSEROWS(_xlfn._xlws.FILTER(표2[],(표2[DWG No.]=C1489)*(ISNUMBER(표2[Rev.])),""),1),6)</f>
        <v>#VALUE!</v>
      </c>
    </row>
    <row r="1490" spans="1:19" x14ac:dyDescent="0.45">
      <c r="A1490" s="64">
        <v>1485</v>
      </c>
      <c r="B1490" s="49" t="s">
        <v>2912</v>
      </c>
      <c r="C1490" s="50" t="s">
        <v>4981</v>
      </c>
      <c r="D1490" s="49">
        <v>175182</v>
      </c>
      <c r="E1490" s="76" t="s">
        <v>4982</v>
      </c>
      <c r="F1490" s="49" t="s">
        <v>6</v>
      </c>
      <c r="G1490" s="48">
        <f t="shared" si="16"/>
        <v>44119</v>
      </c>
      <c r="H1490" s="48">
        <f t="shared" si="17"/>
        <v>44149</v>
      </c>
      <c r="I1490" s="82">
        <v>44119</v>
      </c>
      <c r="J1490" s="83" t="s">
        <v>5031</v>
      </c>
      <c r="K1490" s="83" t="s">
        <v>4991</v>
      </c>
      <c r="L1490" s="83">
        <v>0</v>
      </c>
      <c r="M1490" s="48">
        <v>43906</v>
      </c>
      <c r="N1490" s="49" t="s">
        <v>4984</v>
      </c>
      <c r="O1490" s="49"/>
      <c r="P1490" s="49" t="s">
        <v>160</v>
      </c>
      <c r="Q1490" s="49" t="s">
        <v>164</v>
      </c>
      <c r="R1490" s="67" t="e" cm="1">
        <f t="array" ref="R1490">_xlfn.CHOOSECOLS(_xlfn.CHOOSEROWS(_xlfn._xlws.FILTER(표2[],표2[DWG No.]=C1490,""),1),6)</f>
        <v>#VALUE!</v>
      </c>
      <c r="S1490" s="67" t="e" cm="1">
        <f t="array" ref="S1490">_xlfn.CHOOSECOLS(_xlfn.CHOOSEROWS(_xlfn._xlws.FILTER(표2[],(표2[DWG No.]=C1490)*(ISNUMBER(표2[Rev.])),""),1),6)</f>
        <v>#VALUE!</v>
      </c>
    </row>
    <row r="1491" spans="1:19" x14ac:dyDescent="0.45">
      <c r="A1491" s="64">
        <v>1486</v>
      </c>
      <c r="B1491" s="49" t="s">
        <v>2912</v>
      </c>
      <c r="C1491" s="50" t="s">
        <v>4985</v>
      </c>
      <c r="D1491" s="49">
        <v>175183</v>
      </c>
      <c r="E1491" s="59" t="s">
        <v>4986</v>
      </c>
      <c r="F1491" s="49" t="s">
        <v>6</v>
      </c>
      <c r="G1491" s="48">
        <f t="shared" si="16"/>
        <v>44117</v>
      </c>
      <c r="H1491" s="48">
        <f t="shared" si="17"/>
        <v>44147</v>
      </c>
      <c r="I1491" s="82">
        <v>44117</v>
      </c>
      <c r="J1491" s="83" t="s">
        <v>5031</v>
      </c>
      <c r="K1491" s="83" t="s">
        <v>4991</v>
      </c>
      <c r="L1491" s="83">
        <v>0</v>
      </c>
      <c r="M1491" s="48">
        <v>43906</v>
      </c>
      <c r="N1491" s="49" t="s">
        <v>4984</v>
      </c>
      <c r="O1491" s="49"/>
      <c r="P1491" s="49" t="s">
        <v>160</v>
      </c>
      <c r="Q1491" s="49" t="s">
        <v>164</v>
      </c>
      <c r="R1491" s="67" t="e" cm="1">
        <f t="array" ref="R1491">_xlfn.CHOOSECOLS(_xlfn.CHOOSEROWS(_xlfn._xlws.FILTER(표2[],표2[DWG No.]=C1491,""),1),6)</f>
        <v>#VALUE!</v>
      </c>
      <c r="S1491" s="67" t="e" cm="1">
        <f t="array" ref="S1491">_xlfn.CHOOSECOLS(_xlfn.CHOOSEROWS(_xlfn._xlws.FILTER(표2[],(표2[DWG No.]=C1491)*(ISNUMBER(표2[Rev.])),""),1),6)</f>
        <v>#VALUE!</v>
      </c>
    </row>
    <row r="1492" spans="1:19" x14ac:dyDescent="0.45">
      <c r="A1492" s="64">
        <v>1487</v>
      </c>
      <c r="B1492" s="49" t="s">
        <v>2912</v>
      </c>
      <c r="C1492" s="50" t="s">
        <v>4987</v>
      </c>
      <c r="D1492" s="49">
        <v>175353</v>
      </c>
      <c r="E1492" s="59" t="s">
        <v>4988</v>
      </c>
      <c r="F1492" s="49" t="s">
        <v>6</v>
      </c>
      <c r="G1492" s="48">
        <f t="shared" si="16"/>
        <v>43889</v>
      </c>
      <c r="H1492" s="48">
        <f t="shared" si="17"/>
        <v>43919</v>
      </c>
      <c r="I1492" s="48">
        <v>43889</v>
      </c>
      <c r="J1492" s="49" t="s">
        <v>4983</v>
      </c>
      <c r="K1492" s="58" t="s">
        <v>5032</v>
      </c>
      <c r="L1492" s="49" t="s">
        <v>160</v>
      </c>
      <c r="M1492" s="48">
        <v>43906</v>
      </c>
      <c r="N1492" s="49" t="s">
        <v>4984</v>
      </c>
      <c r="O1492" s="49"/>
      <c r="P1492" s="49" t="s">
        <v>160</v>
      </c>
      <c r="Q1492" s="49" t="s">
        <v>164</v>
      </c>
      <c r="R1492" s="67" t="e" cm="1">
        <f t="array" ref="R1492">_xlfn.CHOOSECOLS(_xlfn.CHOOSEROWS(_xlfn._xlws.FILTER(표2[],표2[DWG No.]=C1492,""),1),6)</f>
        <v>#VALUE!</v>
      </c>
      <c r="S1492" s="67" t="e" cm="1">
        <f t="array" ref="S1492">_xlfn.CHOOSECOLS(_xlfn.CHOOSEROWS(_xlfn._xlws.FILTER(표2[],(표2[DWG No.]=C1492)*(ISNUMBER(표2[Rev.])),""),1),6)</f>
        <v>#VALUE!</v>
      </c>
    </row>
    <row r="1493" spans="1:19" x14ac:dyDescent="0.45">
      <c r="A1493" s="64">
        <v>1488</v>
      </c>
      <c r="B1493" s="49" t="s">
        <v>2912</v>
      </c>
      <c r="C1493" s="50" t="s">
        <v>4989</v>
      </c>
      <c r="D1493" s="49">
        <v>115331</v>
      </c>
      <c r="E1493" s="59" t="s">
        <v>4990</v>
      </c>
      <c r="F1493" s="49" t="s">
        <v>5030</v>
      </c>
      <c r="G1493" s="70">
        <f>H1493-30</f>
        <v>43905</v>
      </c>
      <c r="H1493" s="70">
        <f>I1493</f>
        <v>43935</v>
      </c>
      <c r="I1493" s="48">
        <v>43935</v>
      </c>
      <c r="J1493" s="49" t="s">
        <v>5001</v>
      </c>
      <c r="K1493" s="49" t="s">
        <v>7</v>
      </c>
      <c r="L1493" s="49">
        <v>0</v>
      </c>
      <c r="M1493" s="48"/>
      <c r="N1493" s="49"/>
      <c r="O1493" s="49"/>
      <c r="P1493" s="49"/>
      <c r="Q1493" s="49"/>
      <c r="R1493" s="70"/>
      <c r="S1493" s="70"/>
    </row>
  </sheetData>
  <autoFilter ref="A5:Q1493" xr:uid="{00000000-0009-0000-0000-000001000000}"/>
  <mergeCells count="12">
    <mergeCell ref="R2:R3"/>
    <mergeCell ref="S2:S3"/>
    <mergeCell ref="A2:A4"/>
    <mergeCell ref="B2:B3"/>
    <mergeCell ref="C2:C4"/>
    <mergeCell ref="D2:D4"/>
    <mergeCell ref="E2:E4"/>
    <mergeCell ref="F2:F3"/>
    <mergeCell ref="G2:G3"/>
    <mergeCell ref="H2:H3"/>
    <mergeCell ref="M2:Q3"/>
    <mergeCell ref="I2:L3"/>
  </mergeCells>
  <phoneticPr fontId="24" type="noConversion"/>
  <pageMargins left="0.70763888888888904" right="0.70763888888888904" top="0.74791666666666701" bottom="0.74791666666666701" header="0.31388888888888899" footer="0.31388888888888899"/>
  <pageSetup paperSize="8" scale="5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0FC1-F7C3-49B2-B585-801ACD1FF132}">
  <dimension ref="A1:K1750"/>
  <sheetViews>
    <sheetView zoomScale="80" zoomScaleNormal="80" workbookViewId="0">
      <pane ySplit="3" topLeftCell="A813" activePane="bottomLeft" state="frozen"/>
      <selection pane="bottomLeft" activeCell="E1701" sqref="E1701"/>
    </sheetView>
  </sheetViews>
  <sheetFormatPr defaultColWidth="9" defaultRowHeight="16" x14ac:dyDescent="0.45"/>
  <cols>
    <col min="1" max="1" width="9.83203125" style="318" customWidth="1"/>
    <col min="2" max="2" width="21.25" style="318" customWidth="1"/>
    <col min="3" max="3" width="24.4140625" style="318" customWidth="1"/>
    <col min="4" max="4" width="78.4140625" style="318" customWidth="1"/>
    <col min="5" max="5" width="10" style="318" customWidth="1"/>
    <col min="6" max="6" width="13.4140625" style="392" customWidth="1"/>
    <col min="7" max="7" width="13.4140625" style="319" customWidth="1"/>
    <col min="8" max="8" width="24.25" style="320" customWidth="1"/>
    <col min="9" max="9" width="13.4140625" style="320" customWidth="1"/>
    <col min="10" max="10" width="13.25" style="320" customWidth="1"/>
    <col min="11" max="11" width="37.4140625" style="106" customWidth="1"/>
    <col min="12" max="16384" width="9" style="106"/>
  </cols>
  <sheetData>
    <row r="1" spans="1:11" ht="21" customHeight="1" thickBot="1" x14ac:dyDescent="0.5">
      <c r="A1" s="102" t="s">
        <v>5035</v>
      </c>
      <c r="B1" s="103"/>
      <c r="C1" s="103"/>
      <c r="D1" s="103"/>
      <c r="E1" s="103"/>
      <c r="F1" s="391"/>
      <c r="G1" s="104"/>
      <c r="H1" s="105"/>
      <c r="I1" s="105"/>
      <c r="J1" s="105"/>
    </row>
    <row r="2" spans="1:11" ht="15" customHeight="1" x14ac:dyDescent="0.45">
      <c r="A2" s="107" t="s">
        <v>5036</v>
      </c>
      <c r="B2" s="108"/>
      <c r="C2" s="108"/>
      <c r="D2" s="108"/>
      <c r="E2" s="108"/>
      <c r="F2" s="109"/>
      <c r="G2" s="110"/>
      <c r="H2" s="111" t="s">
        <v>5037</v>
      </c>
      <c r="I2" s="112"/>
      <c r="J2" s="113"/>
    </row>
    <row r="3" spans="1:11" ht="28.5" thickBot="1" x14ac:dyDescent="0.5">
      <c r="A3" s="321" t="s">
        <v>5038</v>
      </c>
      <c r="B3" s="322" t="s">
        <v>5039</v>
      </c>
      <c r="C3" s="322" t="s">
        <v>5040</v>
      </c>
      <c r="D3" s="322" t="s">
        <v>5041</v>
      </c>
      <c r="E3" s="322" t="s">
        <v>5042</v>
      </c>
      <c r="F3" s="396" t="s">
        <v>5043</v>
      </c>
      <c r="G3" s="323" t="s">
        <v>5044</v>
      </c>
      <c r="H3" s="324" t="s">
        <v>5045</v>
      </c>
      <c r="I3" s="325" t="s">
        <v>6272</v>
      </c>
      <c r="J3" s="326" t="s">
        <v>5046</v>
      </c>
      <c r="K3" s="106" t="s">
        <v>5047</v>
      </c>
    </row>
    <row r="4" spans="1:11" ht="15" customHeight="1" x14ac:dyDescent="0.45">
      <c r="A4" s="330">
        <v>1457</v>
      </c>
      <c r="B4" s="288" t="s">
        <v>5940</v>
      </c>
      <c r="C4" s="288" t="s">
        <v>5941</v>
      </c>
      <c r="D4" s="288" t="s">
        <v>1985</v>
      </c>
      <c r="E4" s="288"/>
      <c r="F4" s="339">
        <v>42737</v>
      </c>
      <c r="G4" s="345">
        <f ca="1">IF(ISBLANK(I4),TODAY()-F4,I4-F4)</f>
        <v>387</v>
      </c>
      <c r="H4" s="346" t="s">
        <v>5344</v>
      </c>
      <c r="I4" s="365">
        <v>43124</v>
      </c>
      <c r="J4" s="379" t="s">
        <v>5113</v>
      </c>
    </row>
    <row r="5" spans="1:11" ht="15" customHeight="1" x14ac:dyDescent="0.45">
      <c r="A5" s="114">
        <v>1</v>
      </c>
      <c r="B5" s="115" t="s">
        <v>5048</v>
      </c>
      <c r="C5" s="116" t="s">
        <v>5049</v>
      </c>
      <c r="D5" s="117" t="s">
        <v>5050</v>
      </c>
      <c r="E5" s="115" t="s">
        <v>5002</v>
      </c>
      <c r="F5" s="118">
        <v>42745</v>
      </c>
      <c r="G5" s="119">
        <f ca="1">IF(ISBLANK(I5),TODAY()-F5,I5-F5)</f>
        <v>23</v>
      </c>
      <c r="H5" s="120" t="s">
        <v>5002</v>
      </c>
      <c r="I5" s="121">
        <v>42768</v>
      </c>
      <c r="J5" s="122" t="s">
        <v>5051</v>
      </c>
    </row>
    <row r="6" spans="1:11" ht="15" customHeight="1" x14ac:dyDescent="0.45">
      <c r="A6" s="114">
        <v>2</v>
      </c>
      <c r="B6" s="115" t="s">
        <v>5048</v>
      </c>
      <c r="C6" s="116" t="s">
        <v>5052</v>
      </c>
      <c r="D6" s="117" t="s">
        <v>5053</v>
      </c>
      <c r="E6" s="115" t="s">
        <v>5002</v>
      </c>
      <c r="F6" s="118">
        <v>42745</v>
      </c>
      <c r="G6" s="119">
        <f ca="1">IF(ISBLANK(I6),TODAY()-F6,I6-F6)</f>
        <v>23</v>
      </c>
      <c r="H6" s="120" t="s">
        <v>5002</v>
      </c>
      <c r="I6" s="121">
        <v>42768</v>
      </c>
      <c r="J6" s="122" t="s">
        <v>5051</v>
      </c>
    </row>
    <row r="7" spans="1:11" ht="15" customHeight="1" x14ac:dyDescent="0.45">
      <c r="A7" s="114">
        <v>12</v>
      </c>
      <c r="B7" s="116" t="s">
        <v>5054</v>
      </c>
      <c r="C7" s="116" t="s">
        <v>516</v>
      </c>
      <c r="D7" s="116" t="s">
        <v>518</v>
      </c>
      <c r="E7" s="116" t="s">
        <v>5002</v>
      </c>
      <c r="F7" s="123">
        <v>42776</v>
      </c>
      <c r="G7" s="119">
        <f ca="1">IF(ISBLANK(I7),TODAY()-F7,I7-F7)</f>
        <v>55</v>
      </c>
      <c r="H7" s="124" t="s">
        <v>5003</v>
      </c>
      <c r="I7" s="121">
        <v>42831</v>
      </c>
      <c r="J7" s="122" t="s">
        <v>5051</v>
      </c>
    </row>
    <row r="8" spans="1:11" ht="15" customHeight="1" x14ac:dyDescent="0.45">
      <c r="A8" s="114">
        <v>13</v>
      </c>
      <c r="B8" s="116" t="s">
        <v>5054</v>
      </c>
      <c r="C8" s="116" t="s">
        <v>520</v>
      </c>
      <c r="D8" s="116" t="s">
        <v>522</v>
      </c>
      <c r="E8" s="116" t="s">
        <v>5002</v>
      </c>
      <c r="F8" s="123">
        <v>42776</v>
      </c>
      <c r="G8" s="119">
        <f ca="1">IF(ISBLANK(I8),TODAY()-F8,I8-F8)</f>
        <v>55</v>
      </c>
      <c r="H8" s="124" t="s">
        <v>5062</v>
      </c>
      <c r="I8" s="121">
        <v>42831</v>
      </c>
      <c r="J8" s="122" t="s">
        <v>5051</v>
      </c>
    </row>
    <row r="9" spans="1:11" ht="15" customHeight="1" x14ac:dyDescent="0.45">
      <c r="A9" s="114">
        <v>14</v>
      </c>
      <c r="B9" s="116" t="s">
        <v>5054</v>
      </c>
      <c r="C9" s="116" t="s">
        <v>523</v>
      </c>
      <c r="D9" s="116" t="s">
        <v>525</v>
      </c>
      <c r="E9" s="116" t="s">
        <v>5002</v>
      </c>
      <c r="F9" s="123">
        <v>42776</v>
      </c>
      <c r="G9" s="119">
        <f ca="1">IF(ISBLANK(I9),TODAY()-F9,I9-F9)</f>
        <v>55</v>
      </c>
      <c r="H9" s="124" t="s">
        <v>5062</v>
      </c>
      <c r="I9" s="121">
        <v>42831</v>
      </c>
      <c r="J9" s="122" t="s">
        <v>5051</v>
      </c>
    </row>
    <row r="10" spans="1:11" ht="15" customHeight="1" x14ac:dyDescent="0.45">
      <c r="A10" s="114">
        <v>15</v>
      </c>
      <c r="B10" s="116" t="s">
        <v>5068</v>
      </c>
      <c r="C10" s="116" t="s">
        <v>186</v>
      </c>
      <c r="D10" s="116" t="s">
        <v>188</v>
      </c>
      <c r="E10" s="116" t="s">
        <v>5002</v>
      </c>
      <c r="F10" s="123">
        <v>42776</v>
      </c>
      <c r="G10" s="119">
        <f ca="1">IF(ISBLANK(I10),TODAY()-F10,I10-F10)</f>
        <v>13</v>
      </c>
      <c r="H10" s="124" t="s">
        <v>5003</v>
      </c>
      <c r="I10" s="125">
        <v>42789</v>
      </c>
      <c r="J10" s="122" t="s">
        <v>5051</v>
      </c>
    </row>
    <row r="11" spans="1:11" ht="15" customHeight="1" x14ac:dyDescent="0.45">
      <c r="A11" s="114">
        <v>16</v>
      </c>
      <c r="B11" s="115" t="s">
        <v>5069</v>
      </c>
      <c r="C11" s="116" t="s">
        <v>157</v>
      </c>
      <c r="D11" s="116" t="s">
        <v>5070</v>
      </c>
      <c r="E11" s="115" t="s">
        <v>5002</v>
      </c>
      <c r="F11" s="118">
        <v>42776</v>
      </c>
      <c r="G11" s="119">
        <f ca="1">IF(ISBLANK(I11),TODAY()-F11,I11-F11)</f>
        <v>11</v>
      </c>
      <c r="H11" s="124" t="s">
        <v>5062</v>
      </c>
      <c r="I11" s="125">
        <v>42787</v>
      </c>
      <c r="J11" s="122" t="s">
        <v>5051</v>
      </c>
    </row>
    <row r="12" spans="1:11" ht="15" customHeight="1" x14ac:dyDescent="0.45">
      <c r="A12" s="114">
        <v>3</v>
      </c>
      <c r="B12" s="116" t="s">
        <v>5054</v>
      </c>
      <c r="C12" s="116" t="s">
        <v>5055</v>
      </c>
      <c r="D12" s="116" t="s">
        <v>5056</v>
      </c>
      <c r="E12" s="116" t="s">
        <v>5002</v>
      </c>
      <c r="F12" s="123">
        <v>42779</v>
      </c>
      <c r="G12" s="119">
        <f ca="1">IF(ISBLANK(I12),TODAY()-F12,I12-F12)</f>
        <v>52</v>
      </c>
      <c r="H12" s="124" t="s">
        <v>5004</v>
      </c>
      <c r="I12" s="121">
        <v>42831</v>
      </c>
      <c r="J12" s="122" t="s">
        <v>5051</v>
      </c>
    </row>
    <row r="13" spans="1:11" ht="15" customHeight="1" x14ac:dyDescent="0.45">
      <c r="A13" s="114">
        <v>4</v>
      </c>
      <c r="B13" s="116" t="s">
        <v>5054</v>
      </c>
      <c r="C13" s="116" t="s">
        <v>5057</v>
      </c>
      <c r="D13" s="116" t="s">
        <v>199</v>
      </c>
      <c r="E13" s="116" t="s">
        <v>5002</v>
      </c>
      <c r="F13" s="123">
        <v>42779</v>
      </c>
      <c r="G13" s="119">
        <f ca="1">IF(ISBLANK(I13),TODAY()-F13,I13-F13)</f>
        <v>52</v>
      </c>
      <c r="H13" s="124" t="s">
        <v>5003</v>
      </c>
      <c r="I13" s="121">
        <v>42831</v>
      </c>
      <c r="J13" s="122" t="s">
        <v>5051</v>
      </c>
    </row>
    <row r="14" spans="1:11" ht="15" customHeight="1" x14ac:dyDescent="0.45">
      <c r="A14" s="114">
        <v>5</v>
      </c>
      <c r="B14" s="116" t="s">
        <v>5054</v>
      </c>
      <c r="C14" s="116" t="s">
        <v>5058</v>
      </c>
      <c r="D14" s="116" t="s">
        <v>202</v>
      </c>
      <c r="E14" s="116" t="s">
        <v>5002</v>
      </c>
      <c r="F14" s="123">
        <v>42779</v>
      </c>
      <c r="G14" s="119">
        <f ca="1">IF(ISBLANK(I14),TODAY()-F14,I14-F14)</f>
        <v>52</v>
      </c>
      <c r="H14" s="124" t="s">
        <v>5003</v>
      </c>
      <c r="I14" s="121">
        <v>42831</v>
      </c>
      <c r="J14" s="122" t="s">
        <v>5051</v>
      </c>
    </row>
    <row r="15" spans="1:11" ht="15" customHeight="1" x14ac:dyDescent="0.45">
      <c r="A15" s="114">
        <v>6</v>
      </c>
      <c r="B15" s="116" t="s">
        <v>5054</v>
      </c>
      <c r="C15" s="116" t="s">
        <v>5059</v>
      </c>
      <c r="D15" s="116" t="s">
        <v>5060</v>
      </c>
      <c r="E15" s="116" t="s">
        <v>5002</v>
      </c>
      <c r="F15" s="123">
        <v>42779</v>
      </c>
      <c r="G15" s="119">
        <f ca="1">IF(ISBLANK(I15),TODAY()-F15,I15-F15)</f>
        <v>52</v>
      </c>
      <c r="H15" s="124" t="s">
        <v>5002</v>
      </c>
      <c r="I15" s="121">
        <v>42831</v>
      </c>
      <c r="J15" s="122" t="s">
        <v>5051</v>
      </c>
    </row>
    <row r="16" spans="1:11" ht="15" customHeight="1" x14ac:dyDescent="0.45">
      <c r="A16" s="114">
        <v>7</v>
      </c>
      <c r="B16" s="116" t="s">
        <v>5054</v>
      </c>
      <c r="C16" s="116" t="s">
        <v>5061</v>
      </c>
      <c r="D16" s="116" t="s">
        <v>208</v>
      </c>
      <c r="E16" s="116" t="s">
        <v>5002</v>
      </c>
      <c r="F16" s="123">
        <v>42779</v>
      </c>
      <c r="G16" s="119">
        <f ca="1">IF(ISBLANK(I16),TODAY()-F16,I16-F16)</f>
        <v>52</v>
      </c>
      <c r="H16" s="124" t="s">
        <v>5062</v>
      </c>
      <c r="I16" s="121">
        <v>42831</v>
      </c>
      <c r="J16" s="122" t="s">
        <v>5051</v>
      </c>
    </row>
    <row r="17" spans="1:10" ht="15" customHeight="1" x14ac:dyDescent="0.45">
      <c r="A17" s="114">
        <v>8</v>
      </c>
      <c r="B17" s="116" t="s">
        <v>5054</v>
      </c>
      <c r="C17" s="116" t="s">
        <v>5063</v>
      </c>
      <c r="D17" s="116" t="s">
        <v>214</v>
      </c>
      <c r="E17" s="116" t="s">
        <v>5002</v>
      </c>
      <c r="F17" s="123">
        <v>42779</v>
      </c>
      <c r="G17" s="119">
        <f ca="1">IF(ISBLANK(I17),TODAY()-F17,I17-F17)</f>
        <v>52</v>
      </c>
      <c r="H17" s="124" t="s">
        <v>5002</v>
      </c>
      <c r="I17" s="121">
        <v>42831</v>
      </c>
      <c r="J17" s="122" t="s">
        <v>5051</v>
      </c>
    </row>
    <row r="18" spans="1:10" ht="15" customHeight="1" x14ac:dyDescent="0.45">
      <c r="A18" s="114">
        <v>9</v>
      </c>
      <c r="B18" s="116" t="s">
        <v>5054</v>
      </c>
      <c r="C18" s="116" t="s">
        <v>5064</v>
      </c>
      <c r="D18" s="116" t="s">
        <v>219</v>
      </c>
      <c r="E18" s="116" t="s">
        <v>5002</v>
      </c>
      <c r="F18" s="123">
        <v>42779</v>
      </c>
      <c r="G18" s="119">
        <f ca="1">IF(ISBLANK(I18),TODAY()-F18,I18-F18)</f>
        <v>52</v>
      </c>
      <c r="H18" s="124" t="s">
        <v>5003</v>
      </c>
      <c r="I18" s="121">
        <v>42831</v>
      </c>
      <c r="J18" s="122" t="s">
        <v>5051</v>
      </c>
    </row>
    <row r="19" spans="1:10" ht="15" customHeight="1" x14ac:dyDescent="0.45">
      <c r="A19" s="114">
        <v>10</v>
      </c>
      <c r="B19" s="116" t="s">
        <v>5054</v>
      </c>
      <c r="C19" s="116" t="s">
        <v>5065</v>
      </c>
      <c r="D19" s="116" t="s">
        <v>224</v>
      </c>
      <c r="E19" s="116" t="s">
        <v>5002</v>
      </c>
      <c r="F19" s="123">
        <v>42779</v>
      </c>
      <c r="G19" s="119">
        <f ca="1">IF(ISBLANK(I19),TODAY()-F19,I19-F19)</f>
        <v>52</v>
      </c>
      <c r="H19" s="124" t="s">
        <v>5003</v>
      </c>
      <c r="I19" s="121">
        <v>42831</v>
      </c>
      <c r="J19" s="122" t="s">
        <v>5051</v>
      </c>
    </row>
    <row r="20" spans="1:10" ht="15" customHeight="1" x14ac:dyDescent="0.45">
      <c r="A20" s="114">
        <v>11</v>
      </c>
      <c r="B20" s="116" t="s">
        <v>5066</v>
      </c>
      <c r="C20" s="116" t="s">
        <v>226</v>
      </c>
      <c r="D20" s="116" t="s">
        <v>5067</v>
      </c>
      <c r="E20" s="116" t="s">
        <v>5002</v>
      </c>
      <c r="F20" s="123">
        <v>42779</v>
      </c>
      <c r="G20" s="119">
        <f ca="1">IF(ISBLANK(I20),TODAY()-F20,I20-F20)</f>
        <v>52</v>
      </c>
      <c r="H20" s="124" t="s">
        <v>5003</v>
      </c>
      <c r="I20" s="121">
        <v>42831</v>
      </c>
      <c r="J20" s="122" t="s">
        <v>5051</v>
      </c>
    </row>
    <row r="21" spans="1:10" ht="15" customHeight="1" x14ac:dyDescent="0.45">
      <c r="A21" s="114">
        <v>17</v>
      </c>
      <c r="B21" s="116" t="s">
        <v>5071</v>
      </c>
      <c r="C21" s="116" t="s">
        <v>532</v>
      </c>
      <c r="D21" s="116" t="s">
        <v>5072</v>
      </c>
      <c r="E21" s="116" t="s">
        <v>5002</v>
      </c>
      <c r="F21" s="123">
        <v>42788</v>
      </c>
      <c r="G21" s="119">
        <f ca="1">IF(ISBLANK(I21),TODAY()-F21,I21-F21)</f>
        <v>12</v>
      </c>
      <c r="H21" s="124" t="s">
        <v>5003</v>
      </c>
      <c r="I21" s="125">
        <v>42800</v>
      </c>
      <c r="J21" s="122" t="s">
        <v>5051</v>
      </c>
    </row>
    <row r="22" spans="1:10" ht="15" customHeight="1" x14ac:dyDescent="0.45">
      <c r="A22" s="114">
        <v>18</v>
      </c>
      <c r="B22" s="116" t="s">
        <v>5071</v>
      </c>
      <c r="C22" s="116" t="s">
        <v>537</v>
      </c>
      <c r="D22" s="116" t="s">
        <v>5073</v>
      </c>
      <c r="E22" s="116" t="s">
        <v>5002</v>
      </c>
      <c r="F22" s="123">
        <v>42788</v>
      </c>
      <c r="G22" s="119">
        <f ca="1">IF(ISBLANK(I22),TODAY()-F22,I22-F22)</f>
        <v>12</v>
      </c>
      <c r="H22" s="124" t="s">
        <v>5062</v>
      </c>
      <c r="I22" s="125">
        <v>42800</v>
      </c>
      <c r="J22" s="122" t="s">
        <v>5051</v>
      </c>
    </row>
    <row r="23" spans="1:10" ht="15" customHeight="1" x14ac:dyDescent="0.45">
      <c r="A23" s="114">
        <v>19</v>
      </c>
      <c r="B23" s="116" t="s">
        <v>5074</v>
      </c>
      <c r="C23" s="116" t="s">
        <v>258</v>
      </c>
      <c r="D23" s="116" t="s">
        <v>260</v>
      </c>
      <c r="E23" s="116" t="s">
        <v>5002</v>
      </c>
      <c r="F23" s="123">
        <v>42803</v>
      </c>
      <c r="G23" s="119">
        <f ca="1">IF(ISBLANK(I23),TODAY()-F23,I23-F23)</f>
        <v>89</v>
      </c>
      <c r="H23" s="124" t="s">
        <v>5003</v>
      </c>
      <c r="I23" s="121">
        <v>42892</v>
      </c>
      <c r="J23" s="122" t="s">
        <v>5051</v>
      </c>
    </row>
    <row r="24" spans="1:10" ht="15" customHeight="1" x14ac:dyDescent="0.45">
      <c r="A24" s="114">
        <v>20</v>
      </c>
      <c r="B24" s="116" t="s">
        <v>5074</v>
      </c>
      <c r="C24" s="116" t="s">
        <v>263</v>
      </c>
      <c r="D24" s="116" t="s">
        <v>265</v>
      </c>
      <c r="E24" s="116" t="s">
        <v>5002</v>
      </c>
      <c r="F24" s="123">
        <v>42803</v>
      </c>
      <c r="G24" s="119">
        <f ca="1">IF(ISBLANK(I24),TODAY()-F24,I24-F24)</f>
        <v>89</v>
      </c>
      <c r="H24" s="124" t="s">
        <v>5003</v>
      </c>
      <c r="I24" s="121">
        <v>42892</v>
      </c>
      <c r="J24" s="122" t="s">
        <v>5051</v>
      </c>
    </row>
    <row r="25" spans="1:10" ht="15" customHeight="1" x14ac:dyDescent="0.45">
      <c r="A25" s="114">
        <v>21</v>
      </c>
      <c r="B25" s="116" t="s">
        <v>5074</v>
      </c>
      <c r="C25" s="116" t="s">
        <v>266</v>
      </c>
      <c r="D25" s="116" t="s">
        <v>268</v>
      </c>
      <c r="E25" s="116" t="s">
        <v>5002</v>
      </c>
      <c r="F25" s="123">
        <v>42803</v>
      </c>
      <c r="G25" s="119">
        <f ca="1">IF(ISBLANK(I25),TODAY()-F25,I25-F25)</f>
        <v>89</v>
      </c>
      <c r="H25" s="124" t="s">
        <v>5003</v>
      </c>
      <c r="I25" s="121">
        <v>42892</v>
      </c>
      <c r="J25" s="122" t="s">
        <v>5051</v>
      </c>
    </row>
    <row r="26" spans="1:10" ht="15" customHeight="1" x14ac:dyDescent="0.45">
      <c r="A26" s="114">
        <v>22</v>
      </c>
      <c r="B26" s="116" t="s">
        <v>5074</v>
      </c>
      <c r="C26" s="116" t="s">
        <v>270</v>
      </c>
      <c r="D26" s="116" t="s">
        <v>272</v>
      </c>
      <c r="E26" s="116" t="s">
        <v>5002</v>
      </c>
      <c r="F26" s="123">
        <v>42803</v>
      </c>
      <c r="G26" s="119">
        <f ca="1">IF(ISBLANK(I26),TODAY()-F26,I26-F26)</f>
        <v>89</v>
      </c>
      <c r="H26" s="124" t="s">
        <v>5003</v>
      </c>
      <c r="I26" s="121">
        <v>42892</v>
      </c>
      <c r="J26" s="122" t="s">
        <v>5051</v>
      </c>
    </row>
    <row r="27" spans="1:10" ht="15" customHeight="1" x14ac:dyDescent="0.45">
      <c r="A27" s="114">
        <v>23</v>
      </c>
      <c r="B27" s="116" t="s">
        <v>5074</v>
      </c>
      <c r="C27" s="116" t="s">
        <v>273</v>
      </c>
      <c r="D27" s="116" t="s">
        <v>275</v>
      </c>
      <c r="E27" s="116" t="s">
        <v>5002</v>
      </c>
      <c r="F27" s="123">
        <v>42803</v>
      </c>
      <c r="G27" s="119">
        <f ca="1">IF(ISBLANK(I27),TODAY()-F27,I27-F27)</f>
        <v>43</v>
      </c>
      <c r="H27" s="126" t="s">
        <v>160</v>
      </c>
      <c r="I27" s="127">
        <v>42846</v>
      </c>
      <c r="J27" s="122" t="s">
        <v>5051</v>
      </c>
    </row>
    <row r="28" spans="1:10" ht="15" customHeight="1" x14ac:dyDescent="0.45">
      <c r="A28" s="114">
        <v>24</v>
      </c>
      <c r="B28" s="116" t="s">
        <v>5074</v>
      </c>
      <c r="C28" s="116" t="s">
        <v>277</v>
      </c>
      <c r="D28" s="116" t="s">
        <v>279</v>
      </c>
      <c r="E28" s="116" t="s">
        <v>5002</v>
      </c>
      <c r="F28" s="123">
        <v>42803</v>
      </c>
      <c r="G28" s="119">
        <f ca="1">IF(ISBLANK(I28),TODAY()-F28,I28-F28)</f>
        <v>43</v>
      </c>
      <c r="H28" s="126" t="s">
        <v>160</v>
      </c>
      <c r="I28" s="127">
        <v>42846</v>
      </c>
      <c r="J28" s="122" t="s">
        <v>5051</v>
      </c>
    </row>
    <row r="29" spans="1:10" ht="15" customHeight="1" x14ac:dyDescent="0.45">
      <c r="A29" s="114">
        <v>25</v>
      </c>
      <c r="B29" s="116" t="s">
        <v>5074</v>
      </c>
      <c r="C29" s="116" t="s">
        <v>280</v>
      </c>
      <c r="D29" s="116" t="s">
        <v>282</v>
      </c>
      <c r="E29" s="116" t="s">
        <v>5002</v>
      </c>
      <c r="F29" s="123">
        <v>42803</v>
      </c>
      <c r="G29" s="119">
        <f ca="1">IF(ISBLANK(I29),TODAY()-F29,I29-F29)</f>
        <v>43</v>
      </c>
      <c r="H29" s="126" t="s">
        <v>160</v>
      </c>
      <c r="I29" s="127">
        <v>42846</v>
      </c>
      <c r="J29" s="122" t="s">
        <v>5051</v>
      </c>
    </row>
    <row r="30" spans="1:10" ht="15" customHeight="1" x14ac:dyDescent="0.45">
      <c r="A30" s="114">
        <v>26</v>
      </c>
      <c r="B30" s="116" t="s">
        <v>5075</v>
      </c>
      <c r="C30" s="116" t="s">
        <v>309</v>
      </c>
      <c r="D30" s="116" t="s">
        <v>311</v>
      </c>
      <c r="E30" s="116" t="s">
        <v>5002</v>
      </c>
      <c r="F30" s="123">
        <v>42803</v>
      </c>
      <c r="G30" s="119">
        <f ca="1">IF(ISBLANK(I30),TODAY()-F30,I30-F30)</f>
        <v>43</v>
      </c>
      <c r="H30" s="126" t="s">
        <v>160</v>
      </c>
      <c r="I30" s="127">
        <v>42846</v>
      </c>
      <c r="J30" s="122" t="s">
        <v>5051</v>
      </c>
    </row>
    <row r="31" spans="1:10" ht="15" customHeight="1" x14ac:dyDescent="0.45">
      <c r="A31" s="114">
        <v>27</v>
      </c>
      <c r="B31" s="116" t="s">
        <v>5075</v>
      </c>
      <c r="C31" s="116" t="s">
        <v>312</v>
      </c>
      <c r="D31" s="116" t="s">
        <v>314</v>
      </c>
      <c r="E31" s="116" t="s">
        <v>5002</v>
      </c>
      <c r="F31" s="123">
        <v>42803</v>
      </c>
      <c r="G31" s="119">
        <f ca="1">IF(ISBLANK(I31),TODAY()-F31,I31-F31)</f>
        <v>43</v>
      </c>
      <c r="H31" s="126" t="s">
        <v>160</v>
      </c>
      <c r="I31" s="127">
        <v>42846</v>
      </c>
      <c r="J31" s="122" t="s">
        <v>5051</v>
      </c>
    </row>
    <row r="32" spans="1:10" ht="15" customHeight="1" x14ac:dyDescent="0.45">
      <c r="A32" s="114">
        <v>28</v>
      </c>
      <c r="B32" s="116" t="s">
        <v>5076</v>
      </c>
      <c r="C32" s="116" t="s">
        <v>5077</v>
      </c>
      <c r="D32" s="116" t="s">
        <v>5078</v>
      </c>
      <c r="E32" s="116" t="s">
        <v>5002</v>
      </c>
      <c r="F32" s="123">
        <v>42803</v>
      </c>
      <c r="G32" s="119">
        <f ca="1">IF(ISBLANK(I32),TODAY()-F32,I32-F32)</f>
        <v>27</v>
      </c>
      <c r="H32" s="124" t="s">
        <v>5062</v>
      </c>
      <c r="I32" s="121">
        <v>42830</v>
      </c>
      <c r="J32" s="122" t="s">
        <v>5051</v>
      </c>
    </row>
    <row r="33" spans="1:10" ht="15" customHeight="1" x14ac:dyDescent="0.45">
      <c r="A33" s="114">
        <v>29</v>
      </c>
      <c r="B33" s="116" t="s">
        <v>5076</v>
      </c>
      <c r="C33" s="116" t="s">
        <v>5079</v>
      </c>
      <c r="D33" s="116" t="s">
        <v>5080</v>
      </c>
      <c r="E33" s="116" t="s">
        <v>5002</v>
      </c>
      <c r="F33" s="123">
        <v>42803</v>
      </c>
      <c r="G33" s="119">
        <f ca="1">IF(ISBLANK(I33),TODAY()-F33,I33-F33)</f>
        <v>27</v>
      </c>
      <c r="H33" s="124" t="s">
        <v>5062</v>
      </c>
      <c r="I33" s="121">
        <v>42830</v>
      </c>
      <c r="J33" s="122" t="s">
        <v>5051</v>
      </c>
    </row>
    <row r="34" spans="1:10" ht="15" customHeight="1" x14ac:dyDescent="0.45">
      <c r="A34" s="114">
        <v>30</v>
      </c>
      <c r="B34" s="116" t="s">
        <v>5076</v>
      </c>
      <c r="C34" s="116" t="s">
        <v>5081</v>
      </c>
      <c r="D34" s="116" t="s">
        <v>5082</v>
      </c>
      <c r="E34" s="116" t="s">
        <v>5002</v>
      </c>
      <c r="F34" s="123">
        <v>42803</v>
      </c>
      <c r="G34" s="119">
        <f ca="1">IF(ISBLANK(I34),TODAY()-F34,I34-F34)</f>
        <v>27</v>
      </c>
      <c r="H34" s="124" t="s">
        <v>5062</v>
      </c>
      <c r="I34" s="121">
        <v>42830</v>
      </c>
      <c r="J34" s="122" t="s">
        <v>5051</v>
      </c>
    </row>
    <row r="35" spans="1:10" ht="15" customHeight="1" x14ac:dyDescent="0.45">
      <c r="A35" s="114">
        <v>31</v>
      </c>
      <c r="B35" s="116" t="s">
        <v>5083</v>
      </c>
      <c r="C35" s="116" t="s">
        <v>5084</v>
      </c>
      <c r="D35" s="116" t="s">
        <v>5085</v>
      </c>
      <c r="E35" s="116" t="s">
        <v>5002</v>
      </c>
      <c r="F35" s="123">
        <v>42803</v>
      </c>
      <c r="G35" s="119">
        <f ca="1">IF(ISBLANK(I35),TODAY()-F35,I35-F35)</f>
        <v>98</v>
      </c>
      <c r="H35" s="124" t="s">
        <v>5003</v>
      </c>
      <c r="I35" s="121">
        <v>42901</v>
      </c>
      <c r="J35" s="122" t="s">
        <v>5051</v>
      </c>
    </row>
    <row r="36" spans="1:10" ht="15" customHeight="1" x14ac:dyDescent="0.45">
      <c r="A36" s="114">
        <v>32</v>
      </c>
      <c r="B36" s="116" t="s">
        <v>5086</v>
      </c>
      <c r="C36" s="116" t="s">
        <v>291</v>
      </c>
      <c r="D36" s="116" t="s">
        <v>293</v>
      </c>
      <c r="E36" s="116" t="s">
        <v>5002</v>
      </c>
      <c r="F36" s="123">
        <v>42803</v>
      </c>
      <c r="G36" s="119">
        <f ca="1">IF(ISBLANK(I36),TODAY()-F36,I36-F36)</f>
        <v>43</v>
      </c>
      <c r="H36" s="126" t="s">
        <v>160</v>
      </c>
      <c r="I36" s="127">
        <v>42846</v>
      </c>
      <c r="J36" s="122" t="s">
        <v>5051</v>
      </c>
    </row>
    <row r="37" spans="1:10" ht="15" customHeight="1" x14ac:dyDescent="0.45">
      <c r="A37" s="114">
        <v>33</v>
      </c>
      <c r="B37" s="116" t="s">
        <v>5086</v>
      </c>
      <c r="C37" s="116" t="s">
        <v>5087</v>
      </c>
      <c r="D37" s="116" t="s">
        <v>298</v>
      </c>
      <c r="E37" s="116" t="s">
        <v>5002</v>
      </c>
      <c r="F37" s="123">
        <v>42803</v>
      </c>
      <c r="G37" s="119">
        <f ca="1">IF(ISBLANK(I37),TODAY()-F37,I37-F37)</f>
        <v>43</v>
      </c>
      <c r="H37" s="126" t="s">
        <v>160</v>
      </c>
      <c r="I37" s="127">
        <v>42846</v>
      </c>
      <c r="J37" s="122" t="s">
        <v>5051</v>
      </c>
    </row>
    <row r="38" spans="1:10" ht="15" customHeight="1" x14ac:dyDescent="0.45">
      <c r="A38" s="114">
        <v>34</v>
      </c>
      <c r="B38" s="116" t="s">
        <v>5086</v>
      </c>
      <c r="C38" s="116" t="s">
        <v>315</v>
      </c>
      <c r="D38" s="116" t="s">
        <v>317</v>
      </c>
      <c r="E38" s="116" t="s">
        <v>5002</v>
      </c>
      <c r="F38" s="123">
        <v>42803</v>
      </c>
      <c r="G38" s="119">
        <f ca="1">IF(ISBLANK(I38),TODAY()-F38,I38-F38)</f>
        <v>43</v>
      </c>
      <c r="H38" s="126" t="s">
        <v>160</v>
      </c>
      <c r="I38" s="127">
        <v>42846</v>
      </c>
      <c r="J38" s="122" t="s">
        <v>5051</v>
      </c>
    </row>
    <row r="39" spans="1:10" ht="15" customHeight="1" x14ac:dyDescent="0.45">
      <c r="A39" s="114">
        <v>35</v>
      </c>
      <c r="B39" s="116" t="s">
        <v>5088</v>
      </c>
      <c r="C39" s="116" t="s">
        <v>299</v>
      </c>
      <c r="D39" s="116" t="s">
        <v>301</v>
      </c>
      <c r="E39" s="116" t="s">
        <v>5002</v>
      </c>
      <c r="F39" s="123">
        <v>42803</v>
      </c>
      <c r="G39" s="119">
        <f ca="1">IF(ISBLANK(I39),TODAY()-F39,I39-F39)</f>
        <v>43</v>
      </c>
      <c r="H39" s="126" t="s">
        <v>164</v>
      </c>
      <c r="I39" s="127">
        <v>42846</v>
      </c>
      <c r="J39" s="122" t="s">
        <v>5051</v>
      </c>
    </row>
    <row r="40" spans="1:10" ht="15" customHeight="1" x14ac:dyDescent="0.45">
      <c r="A40" s="114">
        <v>36</v>
      </c>
      <c r="B40" s="116" t="s">
        <v>5088</v>
      </c>
      <c r="C40" s="116" t="s">
        <v>303</v>
      </c>
      <c r="D40" s="116" t="s">
        <v>305</v>
      </c>
      <c r="E40" s="116" t="s">
        <v>5002</v>
      </c>
      <c r="F40" s="123">
        <v>42803</v>
      </c>
      <c r="G40" s="119">
        <f ca="1">IF(ISBLANK(I40),TODAY()-F40,I40-F40)</f>
        <v>43</v>
      </c>
      <c r="H40" s="126" t="s">
        <v>160</v>
      </c>
      <c r="I40" s="127">
        <v>42846</v>
      </c>
      <c r="J40" s="122" t="s">
        <v>5051</v>
      </c>
    </row>
    <row r="41" spans="1:10" ht="15" customHeight="1" x14ac:dyDescent="0.45">
      <c r="A41" s="114">
        <v>37</v>
      </c>
      <c r="B41" s="118" t="s">
        <v>5089</v>
      </c>
      <c r="C41" s="116" t="s">
        <v>5090</v>
      </c>
      <c r="D41" s="116" t="s">
        <v>5091</v>
      </c>
      <c r="E41" s="118" t="s">
        <v>5002</v>
      </c>
      <c r="F41" s="123">
        <v>42803</v>
      </c>
      <c r="G41" s="119">
        <f ca="1">IF(ISBLANK(I41),TODAY()-F41,I41-F41)</f>
        <v>29</v>
      </c>
      <c r="H41" s="124" t="s">
        <v>5004</v>
      </c>
      <c r="I41" s="121">
        <v>42832</v>
      </c>
      <c r="J41" s="122" t="s">
        <v>5051</v>
      </c>
    </row>
    <row r="42" spans="1:10" ht="15" customHeight="1" x14ac:dyDescent="0.45">
      <c r="A42" s="114">
        <v>38</v>
      </c>
      <c r="B42" s="118" t="s">
        <v>5089</v>
      </c>
      <c r="C42" s="116" t="s">
        <v>5092</v>
      </c>
      <c r="D42" s="116" t="s">
        <v>5093</v>
      </c>
      <c r="E42" s="118" t="s">
        <v>5002</v>
      </c>
      <c r="F42" s="123">
        <v>42803</v>
      </c>
      <c r="G42" s="119">
        <f ca="1">IF(ISBLANK(I42),TODAY()-F42,I42-F42)</f>
        <v>29</v>
      </c>
      <c r="H42" s="124" t="s">
        <v>5004</v>
      </c>
      <c r="I42" s="121">
        <v>42832</v>
      </c>
      <c r="J42" s="122" t="s">
        <v>5051</v>
      </c>
    </row>
    <row r="43" spans="1:10" ht="15" customHeight="1" x14ac:dyDescent="0.45">
      <c r="A43" s="114">
        <v>39</v>
      </c>
      <c r="B43" s="118" t="s">
        <v>5089</v>
      </c>
      <c r="C43" s="116" t="s">
        <v>5094</v>
      </c>
      <c r="D43" s="116" t="s">
        <v>5095</v>
      </c>
      <c r="E43" s="118" t="s">
        <v>5002</v>
      </c>
      <c r="F43" s="123">
        <v>42803</v>
      </c>
      <c r="G43" s="119">
        <f ca="1">IF(ISBLANK(I43),TODAY()-F43,I43-F43)</f>
        <v>29</v>
      </c>
      <c r="H43" s="124" t="s">
        <v>5003</v>
      </c>
      <c r="I43" s="121">
        <v>42832</v>
      </c>
      <c r="J43" s="122" t="s">
        <v>5051</v>
      </c>
    </row>
    <row r="44" spans="1:10" ht="15" customHeight="1" x14ac:dyDescent="0.45">
      <c r="A44" s="114">
        <v>40</v>
      </c>
      <c r="B44" s="118" t="s">
        <v>5089</v>
      </c>
      <c r="C44" s="116" t="s">
        <v>5096</v>
      </c>
      <c r="D44" s="116" t="s">
        <v>5097</v>
      </c>
      <c r="E44" s="118" t="s">
        <v>5002</v>
      </c>
      <c r="F44" s="123">
        <v>42803</v>
      </c>
      <c r="G44" s="119">
        <f ca="1">IF(ISBLANK(I44),TODAY()-F44,I44-F44)</f>
        <v>29</v>
      </c>
      <c r="H44" s="124" t="s">
        <v>5003</v>
      </c>
      <c r="I44" s="121">
        <v>42832</v>
      </c>
      <c r="J44" s="122" t="s">
        <v>5051</v>
      </c>
    </row>
    <row r="45" spans="1:10" ht="15" customHeight="1" x14ac:dyDescent="0.45">
      <c r="A45" s="114">
        <v>41</v>
      </c>
      <c r="B45" s="118" t="s">
        <v>5089</v>
      </c>
      <c r="C45" s="116" t="s">
        <v>5098</v>
      </c>
      <c r="D45" s="116" t="s">
        <v>5099</v>
      </c>
      <c r="E45" s="118" t="s">
        <v>5002</v>
      </c>
      <c r="F45" s="123">
        <v>42803</v>
      </c>
      <c r="G45" s="119">
        <f ca="1">IF(ISBLANK(I45),TODAY()-F45,I45-F45)</f>
        <v>27</v>
      </c>
      <c r="H45" s="124" t="s">
        <v>5004</v>
      </c>
      <c r="I45" s="121">
        <v>42830</v>
      </c>
      <c r="J45" s="122" t="s">
        <v>5051</v>
      </c>
    </row>
    <row r="46" spans="1:10" ht="15" customHeight="1" x14ac:dyDescent="0.45">
      <c r="A46" s="114">
        <v>42</v>
      </c>
      <c r="B46" s="118" t="s">
        <v>5089</v>
      </c>
      <c r="C46" s="116" t="s">
        <v>5100</v>
      </c>
      <c r="D46" s="116" t="s">
        <v>5101</v>
      </c>
      <c r="E46" s="118" t="s">
        <v>5002</v>
      </c>
      <c r="F46" s="123">
        <v>42803</v>
      </c>
      <c r="G46" s="119">
        <f ca="1">IF(ISBLANK(I46),TODAY()-F46,I46-F46)</f>
        <v>27</v>
      </c>
      <c r="H46" s="124" t="s">
        <v>5004</v>
      </c>
      <c r="I46" s="121">
        <v>42830</v>
      </c>
      <c r="J46" s="122" t="s">
        <v>5051</v>
      </c>
    </row>
    <row r="47" spans="1:10" ht="15" customHeight="1" x14ac:dyDescent="0.45">
      <c r="A47" s="114">
        <v>43</v>
      </c>
      <c r="B47" s="118" t="s">
        <v>5089</v>
      </c>
      <c r="C47" s="116" t="s">
        <v>5102</v>
      </c>
      <c r="D47" s="116" t="s">
        <v>5103</v>
      </c>
      <c r="E47" s="118" t="s">
        <v>5002</v>
      </c>
      <c r="F47" s="123">
        <v>42803</v>
      </c>
      <c r="G47" s="119">
        <f ca="1">IF(ISBLANK(I47),TODAY()-F47,I47-F47)</f>
        <v>29</v>
      </c>
      <c r="H47" s="124" t="s">
        <v>5062</v>
      </c>
      <c r="I47" s="121">
        <v>42832</v>
      </c>
      <c r="J47" s="122" t="s">
        <v>5051</v>
      </c>
    </row>
    <row r="48" spans="1:10" ht="15" customHeight="1" x14ac:dyDescent="0.45">
      <c r="A48" s="114">
        <v>44</v>
      </c>
      <c r="B48" s="118" t="s">
        <v>5089</v>
      </c>
      <c r="C48" s="116" t="s">
        <v>5104</v>
      </c>
      <c r="D48" s="116" t="s">
        <v>5105</v>
      </c>
      <c r="E48" s="118" t="s">
        <v>5002</v>
      </c>
      <c r="F48" s="123">
        <v>42803</v>
      </c>
      <c r="G48" s="119">
        <f ca="1">IF(ISBLANK(I48),TODAY()-F48,I48-F48)</f>
        <v>29</v>
      </c>
      <c r="H48" s="124" t="s">
        <v>5004</v>
      </c>
      <c r="I48" s="121">
        <v>42832</v>
      </c>
      <c r="J48" s="122" t="s">
        <v>5051</v>
      </c>
    </row>
    <row r="49" spans="1:10" ht="15" customHeight="1" x14ac:dyDescent="0.45">
      <c r="A49" s="114">
        <v>45</v>
      </c>
      <c r="B49" s="118" t="s">
        <v>5089</v>
      </c>
      <c r="C49" s="116" t="s">
        <v>5106</v>
      </c>
      <c r="D49" s="116" t="s">
        <v>5107</v>
      </c>
      <c r="E49" s="118" t="s">
        <v>5002</v>
      </c>
      <c r="F49" s="123">
        <v>42803</v>
      </c>
      <c r="G49" s="119">
        <f ca="1">IF(ISBLANK(I49),TODAY()-F49,I49-F49)</f>
        <v>29</v>
      </c>
      <c r="H49" s="124" t="s">
        <v>5004</v>
      </c>
      <c r="I49" s="121">
        <v>42832</v>
      </c>
      <c r="J49" s="122" t="s">
        <v>5051</v>
      </c>
    </row>
    <row r="50" spans="1:10" ht="15" customHeight="1" x14ac:dyDescent="0.45">
      <c r="A50" s="114">
        <v>46</v>
      </c>
      <c r="B50" s="116" t="s">
        <v>5108</v>
      </c>
      <c r="C50" s="116" t="s">
        <v>1281</v>
      </c>
      <c r="D50" s="116" t="s">
        <v>1283</v>
      </c>
      <c r="E50" s="116" t="s">
        <v>5002</v>
      </c>
      <c r="F50" s="123">
        <v>42803</v>
      </c>
      <c r="G50" s="119">
        <f ca="1">IF(ISBLANK(I50),TODAY()-F50,I50-F50)</f>
        <v>43</v>
      </c>
      <c r="H50" s="126" t="s">
        <v>160</v>
      </c>
      <c r="I50" s="127">
        <v>42846</v>
      </c>
      <c r="J50" s="122" t="s">
        <v>5051</v>
      </c>
    </row>
    <row r="51" spans="1:10" ht="15" customHeight="1" x14ac:dyDescent="0.45">
      <c r="A51" s="114">
        <v>47</v>
      </c>
      <c r="B51" s="115" t="s">
        <v>5109</v>
      </c>
      <c r="C51" s="116" t="s">
        <v>186</v>
      </c>
      <c r="D51" s="116" t="s">
        <v>188</v>
      </c>
      <c r="E51" s="115" t="s">
        <v>5003</v>
      </c>
      <c r="F51" s="118">
        <v>42803</v>
      </c>
      <c r="G51" s="119">
        <f ca="1">IF(ISBLANK(I51),TODAY()-F51,I51-F51)</f>
        <v>27</v>
      </c>
      <c r="H51" s="120" t="s">
        <v>5062</v>
      </c>
      <c r="I51" s="121">
        <v>42830</v>
      </c>
      <c r="J51" s="122" t="s">
        <v>5051</v>
      </c>
    </row>
    <row r="52" spans="1:10" ht="15" customHeight="1" x14ac:dyDescent="0.45">
      <c r="A52" s="114">
        <v>50</v>
      </c>
      <c r="B52" s="116" t="s">
        <v>5114</v>
      </c>
      <c r="C52" s="116" t="s">
        <v>284</v>
      </c>
      <c r="D52" s="116" t="s">
        <v>5115</v>
      </c>
      <c r="E52" s="116" t="s">
        <v>5002</v>
      </c>
      <c r="F52" s="123">
        <v>42809</v>
      </c>
      <c r="G52" s="119">
        <f ca="1">IF(ISBLANK(I52),TODAY()-F52,I52-F52)</f>
        <v>50</v>
      </c>
      <c r="H52" s="124" t="s">
        <v>5062</v>
      </c>
      <c r="I52" s="121">
        <v>42859</v>
      </c>
      <c r="J52" s="122" t="s">
        <v>5051</v>
      </c>
    </row>
    <row r="53" spans="1:10" ht="15" customHeight="1" x14ac:dyDescent="0.45">
      <c r="A53" s="114">
        <v>51</v>
      </c>
      <c r="B53" s="116" t="s">
        <v>5114</v>
      </c>
      <c r="C53" s="116" t="s">
        <v>288</v>
      </c>
      <c r="D53" s="116" t="s">
        <v>5116</v>
      </c>
      <c r="E53" s="116" t="s">
        <v>5002</v>
      </c>
      <c r="F53" s="123">
        <v>42809</v>
      </c>
      <c r="G53" s="119">
        <f ca="1">IF(ISBLANK(I53),TODAY()-F53,I53-F53)</f>
        <v>50</v>
      </c>
      <c r="H53" s="124" t="s">
        <v>5062</v>
      </c>
      <c r="I53" s="121">
        <v>42859</v>
      </c>
      <c r="J53" s="122" t="s">
        <v>5051</v>
      </c>
    </row>
    <row r="54" spans="1:10" ht="15" customHeight="1" x14ac:dyDescent="0.35">
      <c r="A54" s="114">
        <v>48</v>
      </c>
      <c r="B54" s="116" t="s">
        <v>5110</v>
      </c>
      <c r="C54" s="116" t="s">
        <v>319</v>
      </c>
      <c r="D54" s="128" t="s">
        <v>321</v>
      </c>
      <c r="E54" s="116" t="s">
        <v>5002</v>
      </c>
      <c r="F54" s="123">
        <v>42816</v>
      </c>
      <c r="G54" s="119">
        <f ca="1">IF(ISBLANK(I54),TODAY()-F54,I54-F54)</f>
        <v>14</v>
      </c>
      <c r="H54" s="124" t="s">
        <v>5111</v>
      </c>
      <c r="I54" s="121">
        <v>42830</v>
      </c>
      <c r="J54" s="122" t="s">
        <v>5051</v>
      </c>
    </row>
    <row r="55" spans="1:10" ht="15" customHeight="1" x14ac:dyDescent="0.45">
      <c r="A55" s="114">
        <v>49</v>
      </c>
      <c r="B55" s="116" t="s">
        <v>5112</v>
      </c>
      <c r="C55" s="116" t="s">
        <v>528</v>
      </c>
      <c r="D55" s="116" t="s">
        <v>530</v>
      </c>
      <c r="E55" s="116" t="s">
        <v>5002</v>
      </c>
      <c r="F55" s="123">
        <v>42816</v>
      </c>
      <c r="G55" s="119">
        <f ca="1">IF(ISBLANK(I55),TODAY()-F55,I55-F55)</f>
        <v>78</v>
      </c>
      <c r="H55" s="126" t="s">
        <v>5002</v>
      </c>
      <c r="I55" s="127">
        <v>42894</v>
      </c>
      <c r="J55" s="122" t="s">
        <v>5113</v>
      </c>
    </row>
    <row r="56" spans="1:10" ht="15" customHeight="1" x14ac:dyDescent="0.45">
      <c r="A56" s="114">
        <v>52</v>
      </c>
      <c r="B56" s="116" t="s">
        <v>5117</v>
      </c>
      <c r="C56" s="116" t="s">
        <v>1215</v>
      </c>
      <c r="D56" s="116" t="s">
        <v>5118</v>
      </c>
      <c r="E56" s="116" t="s">
        <v>5002</v>
      </c>
      <c r="F56" s="123">
        <v>42816</v>
      </c>
      <c r="G56" s="119">
        <f ca="1">IF(ISBLANK(I56),TODAY()-F56,I56-F56)</f>
        <v>43</v>
      </c>
      <c r="H56" s="124" t="s">
        <v>5002</v>
      </c>
      <c r="I56" s="121">
        <v>42859</v>
      </c>
      <c r="J56" s="122" t="s">
        <v>5051</v>
      </c>
    </row>
    <row r="57" spans="1:10" ht="15" customHeight="1" x14ac:dyDescent="0.45">
      <c r="A57" s="114">
        <v>53</v>
      </c>
      <c r="B57" s="118" t="s">
        <v>5119</v>
      </c>
      <c r="C57" s="116" t="s">
        <v>5120</v>
      </c>
      <c r="D57" s="116" t="s">
        <v>5121</v>
      </c>
      <c r="E57" s="118" t="s">
        <v>5002</v>
      </c>
      <c r="F57" s="123">
        <v>42816</v>
      </c>
      <c r="G57" s="119">
        <f ca="1">IF(ISBLANK(I57),TODAY()-F57,I57-F57)</f>
        <v>30</v>
      </c>
      <c r="H57" s="126" t="s">
        <v>164</v>
      </c>
      <c r="I57" s="127">
        <v>42846</v>
      </c>
      <c r="J57" s="122" t="s">
        <v>5051</v>
      </c>
    </row>
    <row r="58" spans="1:10" ht="15" customHeight="1" x14ac:dyDescent="0.35">
      <c r="A58" s="114">
        <v>54</v>
      </c>
      <c r="B58" s="116" t="s">
        <v>5122</v>
      </c>
      <c r="C58" s="116" t="s">
        <v>323</v>
      </c>
      <c r="D58" s="128" t="s">
        <v>325</v>
      </c>
      <c r="E58" s="116" t="s">
        <v>5002</v>
      </c>
      <c r="F58" s="123">
        <v>42816</v>
      </c>
      <c r="G58" s="119">
        <f ca="1">IF(ISBLANK(I58),TODAY()-F58,I58-F58)</f>
        <v>43</v>
      </c>
      <c r="H58" s="124" t="s">
        <v>5003</v>
      </c>
      <c r="I58" s="121">
        <v>42859</v>
      </c>
      <c r="J58" s="122" t="s">
        <v>5051</v>
      </c>
    </row>
    <row r="59" spans="1:10" ht="15" customHeight="1" x14ac:dyDescent="0.45">
      <c r="A59" s="114">
        <v>55</v>
      </c>
      <c r="B59" s="116" t="s">
        <v>5123</v>
      </c>
      <c r="C59" s="116" t="s">
        <v>1479</v>
      </c>
      <c r="D59" s="116" t="s">
        <v>1481</v>
      </c>
      <c r="E59" s="116" t="s">
        <v>5002</v>
      </c>
      <c r="F59" s="123">
        <v>42816</v>
      </c>
      <c r="G59" s="119">
        <f ca="1">IF(ISBLANK(I59),TODAY()-F59,I59-F59)</f>
        <v>15</v>
      </c>
      <c r="H59" s="124" t="s">
        <v>5004</v>
      </c>
      <c r="I59" s="121">
        <v>42831</v>
      </c>
      <c r="J59" s="122" t="s">
        <v>5051</v>
      </c>
    </row>
    <row r="60" spans="1:10" ht="15" customHeight="1" x14ac:dyDescent="0.45">
      <c r="A60" s="114">
        <v>56</v>
      </c>
      <c r="B60" s="116" t="s">
        <v>5123</v>
      </c>
      <c r="C60" s="116" t="s">
        <v>1483</v>
      </c>
      <c r="D60" s="116" t="s">
        <v>1485</v>
      </c>
      <c r="E60" s="116" t="s">
        <v>5002</v>
      </c>
      <c r="F60" s="123">
        <v>42816</v>
      </c>
      <c r="G60" s="119">
        <f ca="1">IF(ISBLANK(I60),TODAY()-F60,I60-F60)</f>
        <v>15</v>
      </c>
      <c r="H60" s="124" t="s">
        <v>5004</v>
      </c>
      <c r="I60" s="121">
        <v>42831</v>
      </c>
      <c r="J60" s="122" t="s">
        <v>5051</v>
      </c>
    </row>
    <row r="61" spans="1:10" ht="15" customHeight="1" x14ac:dyDescent="0.45">
      <c r="A61" s="114">
        <v>57</v>
      </c>
      <c r="B61" s="116" t="s">
        <v>5123</v>
      </c>
      <c r="C61" s="116" t="s">
        <v>1486</v>
      </c>
      <c r="D61" s="116" t="s">
        <v>1488</v>
      </c>
      <c r="E61" s="116" t="s">
        <v>5002</v>
      </c>
      <c r="F61" s="123">
        <v>42816</v>
      </c>
      <c r="G61" s="119">
        <f ca="1">IF(ISBLANK(I61),TODAY()-F61,I61-F61)</f>
        <v>15</v>
      </c>
      <c r="H61" s="124" t="s">
        <v>5004</v>
      </c>
      <c r="I61" s="121">
        <v>42831</v>
      </c>
      <c r="J61" s="122" t="s">
        <v>5051</v>
      </c>
    </row>
    <row r="62" spans="1:10" ht="15" customHeight="1" x14ac:dyDescent="0.45">
      <c r="A62" s="114">
        <v>58</v>
      </c>
      <c r="B62" s="116" t="s">
        <v>5123</v>
      </c>
      <c r="C62" s="116" t="s">
        <v>1489</v>
      </c>
      <c r="D62" s="116" t="s">
        <v>1491</v>
      </c>
      <c r="E62" s="116" t="s">
        <v>5002</v>
      </c>
      <c r="F62" s="123">
        <v>42816</v>
      </c>
      <c r="G62" s="119">
        <f ca="1">IF(ISBLANK(I62),TODAY()-F62,I62-F62)</f>
        <v>15</v>
      </c>
      <c r="H62" s="124" t="s">
        <v>5004</v>
      </c>
      <c r="I62" s="121">
        <v>42831</v>
      </c>
      <c r="J62" s="122" t="s">
        <v>5051</v>
      </c>
    </row>
    <row r="63" spans="1:10" ht="15" customHeight="1" x14ac:dyDescent="0.45">
      <c r="A63" s="114">
        <v>59</v>
      </c>
      <c r="B63" s="116" t="s">
        <v>5123</v>
      </c>
      <c r="C63" s="116" t="s">
        <v>1492</v>
      </c>
      <c r="D63" s="116" t="s">
        <v>1494</v>
      </c>
      <c r="E63" s="116" t="s">
        <v>5002</v>
      </c>
      <c r="F63" s="123">
        <v>42816</v>
      </c>
      <c r="G63" s="119">
        <f ca="1">IF(ISBLANK(I63),TODAY()-F63,I63-F63)</f>
        <v>15</v>
      </c>
      <c r="H63" s="124" t="s">
        <v>5004</v>
      </c>
      <c r="I63" s="121">
        <v>42831</v>
      </c>
      <c r="J63" s="122" t="s">
        <v>5051</v>
      </c>
    </row>
    <row r="64" spans="1:10" ht="15" customHeight="1" x14ac:dyDescent="0.45">
      <c r="A64" s="114">
        <v>60</v>
      </c>
      <c r="B64" s="116" t="s">
        <v>5124</v>
      </c>
      <c r="C64" s="116" t="s">
        <v>1495</v>
      </c>
      <c r="D64" s="116" t="s">
        <v>5125</v>
      </c>
      <c r="E64" s="116" t="s">
        <v>5002</v>
      </c>
      <c r="F64" s="123">
        <v>42816</v>
      </c>
      <c r="G64" s="119">
        <f ca="1">IF(ISBLANK(I64),TODAY()-F64,I64-F64)</f>
        <v>15</v>
      </c>
      <c r="H64" s="124" t="s">
        <v>5004</v>
      </c>
      <c r="I64" s="121">
        <v>42831</v>
      </c>
      <c r="J64" s="122" t="s">
        <v>5051</v>
      </c>
    </row>
    <row r="65" spans="1:10" ht="15" customHeight="1" x14ac:dyDescent="0.45">
      <c r="A65" s="114">
        <v>61</v>
      </c>
      <c r="B65" s="116" t="s">
        <v>5124</v>
      </c>
      <c r="C65" s="116" t="s">
        <v>1501</v>
      </c>
      <c r="D65" s="116" t="s">
        <v>5126</v>
      </c>
      <c r="E65" s="116" t="s">
        <v>5002</v>
      </c>
      <c r="F65" s="123">
        <v>42816</v>
      </c>
      <c r="G65" s="119">
        <f ca="1">IF(ISBLANK(I65),TODAY()-F65,I65-F65)</f>
        <v>15</v>
      </c>
      <c r="H65" s="124" t="s">
        <v>5004</v>
      </c>
      <c r="I65" s="121">
        <v>42831</v>
      </c>
      <c r="J65" s="122" t="s">
        <v>5051</v>
      </c>
    </row>
    <row r="66" spans="1:10" ht="15" customHeight="1" x14ac:dyDescent="0.45">
      <c r="A66" s="114">
        <v>62</v>
      </c>
      <c r="B66" s="116" t="s">
        <v>5124</v>
      </c>
      <c r="C66" s="116" t="s">
        <v>1505</v>
      </c>
      <c r="D66" s="116" t="s">
        <v>5127</v>
      </c>
      <c r="E66" s="116" t="s">
        <v>5002</v>
      </c>
      <c r="F66" s="123">
        <v>42816</v>
      </c>
      <c r="G66" s="119">
        <f ca="1">IF(ISBLANK(I66),TODAY()-F66,I66-F66)</f>
        <v>15</v>
      </c>
      <c r="H66" s="124" t="s">
        <v>5004</v>
      </c>
      <c r="I66" s="121">
        <v>42831</v>
      </c>
      <c r="J66" s="122" t="s">
        <v>5051</v>
      </c>
    </row>
    <row r="67" spans="1:10" ht="15" customHeight="1" x14ac:dyDescent="0.45">
      <c r="A67" s="114">
        <v>63</v>
      </c>
      <c r="B67" s="116" t="s">
        <v>5124</v>
      </c>
      <c r="C67" s="116" t="s">
        <v>1509</v>
      </c>
      <c r="D67" s="116" t="s">
        <v>5128</v>
      </c>
      <c r="E67" s="116" t="s">
        <v>5002</v>
      </c>
      <c r="F67" s="123">
        <v>42816</v>
      </c>
      <c r="G67" s="119">
        <f ca="1">IF(ISBLANK(I67),TODAY()-F67,I67-F67)</f>
        <v>15</v>
      </c>
      <c r="H67" s="124" t="s">
        <v>5004</v>
      </c>
      <c r="I67" s="121">
        <v>42831</v>
      </c>
      <c r="J67" s="122" t="s">
        <v>5051</v>
      </c>
    </row>
    <row r="68" spans="1:10" ht="15" customHeight="1" x14ac:dyDescent="0.45">
      <c r="A68" s="114">
        <v>64</v>
      </c>
      <c r="B68" s="116" t="s">
        <v>5124</v>
      </c>
      <c r="C68" s="116" t="s">
        <v>1513</v>
      </c>
      <c r="D68" s="116" t="s">
        <v>1515</v>
      </c>
      <c r="E68" s="116" t="s">
        <v>5002</v>
      </c>
      <c r="F68" s="123">
        <v>42816</v>
      </c>
      <c r="G68" s="119">
        <f ca="1">IF(ISBLANK(I68),TODAY()-F68,I68-F68)</f>
        <v>15</v>
      </c>
      <c r="H68" s="124" t="s">
        <v>5004</v>
      </c>
      <c r="I68" s="121">
        <v>42831</v>
      </c>
      <c r="J68" s="122" t="s">
        <v>5051</v>
      </c>
    </row>
    <row r="69" spans="1:10" ht="15" customHeight="1" x14ac:dyDescent="0.45">
      <c r="A69" s="114">
        <v>65</v>
      </c>
      <c r="B69" s="116" t="s">
        <v>5124</v>
      </c>
      <c r="C69" s="116" t="s">
        <v>1517</v>
      </c>
      <c r="D69" s="116" t="s">
        <v>1519</v>
      </c>
      <c r="E69" s="116" t="s">
        <v>5002</v>
      </c>
      <c r="F69" s="123">
        <v>42816</v>
      </c>
      <c r="G69" s="119">
        <f ca="1">IF(ISBLANK(I69),TODAY()-F69,I69-F69)</f>
        <v>15</v>
      </c>
      <c r="H69" s="124" t="s">
        <v>5004</v>
      </c>
      <c r="I69" s="121">
        <v>42831</v>
      </c>
      <c r="J69" s="122" t="s">
        <v>5051</v>
      </c>
    </row>
    <row r="70" spans="1:10" ht="15" customHeight="1" x14ac:dyDescent="0.45">
      <c r="A70" s="114">
        <v>66</v>
      </c>
      <c r="B70" s="116" t="s">
        <v>5124</v>
      </c>
      <c r="C70" s="116" t="s">
        <v>1521</v>
      </c>
      <c r="D70" s="116" t="s">
        <v>1523</v>
      </c>
      <c r="E70" s="116" t="s">
        <v>5002</v>
      </c>
      <c r="F70" s="123">
        <v>42816</v>
      </c>
      <c r="G70" s="119">
        <f ca="1">IF(ISBLANK(I70),TODAY()-F70,I70-F70)</f>
        <v>15</v>
      </c>
      <c r="H70" s="124" t="s">
        <v>5004</v>
      </c>
      <c r="I70" s="121">
        <v>42831</v>
      </c>
      <c r="J70" s="122" t="s">
        <v>5051</v>
      </c>
    </row>
    <row r="71" spans="1:10" ht="15" customHeight="1" x14ac:dyDescent="0.45">
      <c r="A71" s="114">
        <v>67</v>
      </c>
      <c r="B71" s="116" t="s">
        <v>5124</v>
      </c>
      <c r="C71" s="116" t="s">
        <v>1525</v>
      </c>
      <c r="D71" s="116" t="s">
        <v>1527</v>
      </c>
      <c r="E71" s="116" t="s">
        <v>5002</v>
      </c>
      <c r="F71" s="123">
        <v>42816</v>
      </c>
      <c r="G71" s="119">
        <f ca="1">IF(ISBLANK(I71),TODAY()-F71,I71-F71)</f>
        <v>15</v>
      </c>
      <c r="H71" s="124" t="s">
        <v>5004</v>
      </c>
      <c r="I71" s="121">
        <v>42831</v>
      </c>
      <c r="J71" s="122" t="s">
        <v>5051</v>
      </c>
    </row>
    <row r="72" spans="1:10" ht="15" customHeight="1" x14ac:dyDescent="0.45">
      <c r="A72" s="114">
        <v>68</v>
      </c>
      <c r="B72" s="116" t="s">
        <v>5124</v>
      </c>
      <c r="C72" s="116" t="s">
        <v>1529</v>
      </c>
      <c r="D72" s="116" t="s">
        <v>1531</v>
      </c>
      <c r="E72" s="116" t="s">
        <v>5002</v>
      </c>
      <c r="F72" s="123">
        <v>42816</v>
      </c>
      <c r="G72" s="119">
        <f ca="1">IF(ISBLANK(I72),TODAY()-F72,I72-F72)</f>
        <v>15</v>
      </c>
      <c r="H72" s="124" t="s">
        <v>5004</v>
      </c>
      <c r="I72" s="121">
        <v>42831</v>
      </c>
      <c r="J72" s="122" t="s">
        <v>5051</v>
      </c>
    </row>
    <row r="73" spans="1:10" ht="15" customHeight="1" x14ac:dyDescent="0.45">
      <c r="A73" s="114">
        <v>69</v>
      </c>
      <c r="B73" s="116" t="s">
        <v>5129</v>
      </c>
      <c r="C73" s="116" t="s">
        <v>1607</v>
      </c>
      <c r="D73" s="129" t="s">
        <v>1609</v>
      </c>
      <c r="E73" s="116" t="s">
        <v>5002</v>
      </c>
      <c r="F73" s="123">
        <v>42816</v>
      </c>
      <c r="G73" s="119">
        <f ca="1">IF(ISBLANK(I73),TODAY()-F73,I73-F73)</f>
        <v>30</v>
      </c>
      <c r="H73" s="126" t="s">
        <v>2702</v>
      </c>
      <c r="I73" s="127">
        <v>42846</v>
      </c>
      <c r="J73" s="122" t="s">
        <v>5051</v>
      </c>
    </row>
    <row r="74" spans="1:10" ht="15" customHeight="1" x14ac:dyDescent="0.45">
      <c r="A74" s="114">
        <v>70</v>
      </c>
      <c r="B74" s="116" t="s">
        <v>5129</v>
      </c>
      <c r="C74" s="116" t="s">
        <v>1611</v>
      </c>
      <c r="D74" s="129" t="s">
        <v>1613</v>
      </c>
      <c r="E74" s="116" t="s">
        <v>5002</v>
      </c>
      <c r="F74" s="123">
        <v>42816</v>
      </c>
      <c r="G74" s="119">
        <f ca="1">IF(ISBLANK(I74),TODAY()-F74,I74-F74)</f>
        <v>30</v>
      </c>
      <c r="H74" s="126" t="s">
        <v>2702</v>
      </c>
      <c r="I74" s="127">
        <v>42846</v>
      </c>
      <c r="J74" s="122" t="s">
        <v>5051</v>
      </c>
    </row>
    <row r="75" spans="1:10" ht="15" customHeight="1" x14ac:dyDescent="0.45">
      <c r="A75" s="114">
        <v>71</v>
      </c>
      <c r="B75" s="116" t="s">
        <v>5129</v>
      </c>
      <c r="C75" s="129" t="s">
        <v>5130</v>
      </c>
      <c r="D75" s="129" t="s">
        <v>5131</v>
      </c>
      <c r="E75" s="116" t="s">
        <v>5002</v>
      </c>
      <c r="F75" s="123">
        <v>42816</v>
      </c>
      <c r="G75" s="119">
        <f ca="1">IF(ISBLANK(I75),TODAY()-F75,I75-F75)</f>
        <v>30</v>
      </c>
      <c r="H75" s="126" t="s">
        <v>164</v>
      </c>
      <c r="I75" s="127">
        <v>42846</v>
      </c>
      <c r="J75" s="122" t="s">
        <v>5051</v>
      </c>
    </row>
    <row r="76" spans="1:10" ht="15" customHeight="1" x14ac:dyDescent="0.45">
      <c r="A76" s="114">
        <v>72</v>
      </c>
      <c r="B76" s="116" t="s">
        <v>5129</v>
      </c>
      <c r="C76" s="129" t="s">
        <v>5132</v>
      </c>
      <c r="D76" s="129" t="s">
        <v>5133</v>
      </c>
      <c r="E76" s="116" t="s">
        <v>5002</v>
      </c>
      <c r="F76" s="123">
        <v>42816</v>
      </c>
      <c r="G76" s="119">
        <f ca="1">IF(ISBLANK(I76),TODAY()-F76,I76-F76)</f>
        <v>30</v>
      </c>
      <c r="H76" s="126" t="s">
        <v>164</v>
      </c>
      <c r="I76" s="127">
        <v>42846</v>
      </c>
      <c r="J76" s="122" t="s">
        <v>5051</v>
      </c>
    </row>
    <row r="77" spans="1:10" ht="15" customHeight="1" x14ac:dyDescent="0.45">
      <c r="A77" s="114">
        <v>73</v>
      </c>
      <c r="B77" s="116" t="s">
        <v>5129</v>
      </c>
      <c r="C77" s="129" t="s">
        <v>5134</v>
      </c>
      <c r="D77" s="129" t="s">
        <v>5135</v>
      </c>
      <c r="E77" s="116" t="s">
        <v>5002</v>
      </c>
      <c r="F77" s="123">
        <v>42816</v>
      </c>
      <c r="G77" s="119">
        <f ca="1">IF(ISBLANK(I77),TODAY()-F77,I77-F77)</f>
        <v>30</v>
      </c>
      <c r="H77" s="126" t="s">
        <v>2702</v>
      </c>
      <c r="I77" s="127">
        <v>42846</v>
      </c>
      <c r="J77" s="122" t="s">
        <v>5051</v>
      </c>
    </row>
    <row r="78" spans="1:10" ht="15" customHeight="1" x14ac:dyDescent="0.45">
      <c r="A78" s="114">
        <v>74</v>
      </c>
      <c r="B78" s="116" t="s">
        <v>5129</v>
      </c>
      <c r="C78" s="129" t="s">
        <v>5136</v>
      </c>
      <c r="D78" s="129" t="s">
        <v>5137</v>
      </c>
      <c r="E78" s="116" t="s">
        <v>5002</v>
      </c>
      <c r="F78" s="123">
        <v>42816</v>
      </c>
      <c r="G78" s="119">
        <f ca="1">IF(ISBLANK(I78),TODAY()-F78,I78-F78)</f>
        <v>30</v>
      </c>
      <c r="H78" s="126" t="s">
        <v>2702</v>
      </c>
      <c r="I78" s="127">
        <v>42846</v>
      </c>
      <c r="J78" s="122" t="s">
        <v>5051</v>
      </c>
    </row>
    <row r="79" spans="1:10" ht="15" customHeight="1" x14ac:dyDescent="0.45">
      <c r="A79" s="114">
        <v>75</v>
      </c>
      <c r="B79" s="115" t="s">
        <v>5138</v>
      </c>
      <c r="C79" s="116" t="s">
        <v>157</v>
      </c>
      <c r="D79" s="116" t="s">
        <v>5070</v>
      </c>
      <c r="E79" s="115">
        <v>0</v>
      </c>
      <c r="F79" s="118">
        <v>42816</v>
      </c>
      <c r="G79" s="119">
        <f ca="1">IF(ISBLANK(I79),TODAY()-F79,I79-F79)</f>
        <v>30</v>
      </c>
      <c r="H79" s="126" t="s">
        <v>160</v>
      </c>
      <c r="I79" s="127">
        <v>42846</v>
      </c>
      <c r="J79" s="122" t="s">
        <v>5051</v>
      </c>
    </row>
    <row r="80" spans="1:10" ht="15" customHeight="1" x14ac:dyDescent="0.45">
      <c r="A80" s="114">
        <v>76</v>
      </c>
      <c r="B80" s="118" t="s">
        <v>5139</v>
      </c>
      <c r="C80" s="116" t="s">
        <v>70</v>
      </c>
      <c r="D80" s="130" t="s">
        <v>5140</v>
      </c>
      <c r="E80" s="115" t="s">
        <v>65</v>
      </c>
      <c r="F80" s="131">
        <v>42816</v>
      </c>
      <c r="G80" s="119">
        <f ca="1">IF(ISBLANK(I80),TODAY()-F80,I80-F80)</f>
        <v>43</v>
      </c>
      <c r="H80" s="126" t="s">
        <v>5003</v>
      </c>
      <c r="I80" s="121">
        <v>42859</v>
      </c>
      <c r="J80" s="122" t="s">
        <v>5051</v>
      </c>
    </row>
    <row r="81" spans="1:10" ht="15" customHeight="1" x14ac:dyDescent="0.45">
      <c r="A81" s="114">
        <v>77</v>
      </c>
      <c r="B81" s="116" t="s">
        <v>5141</v>
      </c>
      <c r="C81" s="116" t="s">
        <v>166</v>
      </c>
      <c r="D81" s="116" t="s">
        <v>5142</v>
      </c>
      <c r="E81" s="116" t="s">
        <v>5002</v>
      </c>
      <c r="F81" s="123">
        <v>42816</v>
      </c>
      <c r="G81" s="119">
        <f ca="1">IF(ISBLANK(I81),TODAY()-F81,I81-F81)</f>
        <v>15</v>
      </c>
      <c r="H81" s="124" t="s">
        <v>5062</v>
      </c>
      <c r="I81" s="121">
        <v>42831</v>
      </c>
      <c r="J81" s="122" t="s">
        <v>5051</v>
      </c>
    </row>
    <row r="82" spans="1:10" ht="15" customHeight="1" x14ac:dyDescent="0.45">
      <c r="A82" s="114">
        <v>78</v>
      </c>
      <c r="B82" s="116" t="s">
        <v>5141</v>
      </c>
      <c r="C82" s="116" t="s">
        <v>5143</v>
      </c>
      <c r="D82" s="116" t="s">
        <v>5144</v>
      </c>
      <c r="E82" s="116" t="s">
        <v>5002</v>
      </c>
      <c r="F82" s="123">
        <v>42816</v>
      </c>
      <c r="G82" s="119">
        <f ca="1">IF(ISBLANK(I82),TODAY()-F82,I82-F82)</f>
        <v>15</v>
      </c>
      <c r="H82" s="124" t="s">
        <v>5062</v>
      </c>
      <c r="I82" s="121">
        <v>42831</v>
      </c>
      <c r="J82" s="122" t="s">
        <v>5051</v>
      </c>
    </row>
    <row r="83" spans="1:10" ht="15" customHeight="1" x14ac:dyDescent="0.45">
      <c r="A83" s="114">
        <v>79</v>
      </c>
      <c r="B83" s="116" t="s">
        <v>5141</v>
      </c>
      <c r="C83" s="116" t="s">
        <v>5145</v>
      </c>
      <c r="D83" s="116" t="s">
        <v>5146</v>
      </c>
      <c r="E83" s="116" t="s">
        <v>5002</v>
      </c>
      <c r="F83" s="123">
        <v>42816</v>
      </c>
      <c r="G83" s="119">
        <f ca="1">IF(ISBLANK(I83),TODAY()-F83,I83-F83)</f>
        <v>15</v>
      </c>
      <c r="H83" s="124" t="s">
        <v>5062</v>
      </c>
      <c r="I83" s="121">
        <v>42831</v>
      </c>
      <c r="J83" s="122" t="s">
        <v>5051</v>
      </c>
    </row>
    <row r="84" spans="1:10" ht="15" customHeight="1" x14ac:dyDescent="0.45">
      <c r="A84" s="114">
        <v>80</v>
      </c>
      <c r="B84" s="116" t="s">
        <v>5141</v>
      </c>
      <c r="C84" s="116" t="s">
        <v>5147</v>
      </c>
      <c r="D84" s="116" t="s">
        <v>5148</v>
      </c>
      <c r="E84" s="116" t="s">
        <v>5002</v>
      </c>
      <c r="F84" s="123">
        <v>42816</v>
      </c>
      <c r="G84" s="119">
        <f ca="1">IF(ISBLANK(I84),TODAY()-F84,I84-F84)</f>
        <v>15</v>
      </c>
      <c r="H84" s="124" t="s">
        <v>5062</v>
      </c>
      <c r="I84" s="121">
        <v>42831</v>
      </c>
      <c r="J84" s="122" t="s">
        <v>5051</v>
      </c>
    </row>
    <row r="85" spans="1:10" ht="15" customHeight="1" x14ac:dyDescent="0.45">
      <c r="A85" s="114">
        <v>81</v>
      </c>
      <c r="B85" s="116" t="s">
        <v>5141</v>
      </c>
      <c r="C85" s="116" t="s">
        <v>5149</v>
      </c>
      <c r="D85" s="116" t="s">
        <v>5150</v>
      </c>
      <c r="E85" s="116" t="s">
        <v>5002</v>
      </c>
      <c r="F85" s="123">
        <v>42816</v>
      </c>
      <c r="G85" s="119">
        <f ca="1">IF(ISBLANK(I85),TODAY()-F85,I85-F85)</f>
        <v>15</v>
      </c>
      <c r="H85" s="124" t="s">
        <v>5062</v>
      </c>
      <c r="I85" s="121">
        <v>42831</v>
      </c>
      <c r="J85" s="122" t="s">
        <v>5051</v>
      </c>
    </row>
    <row r="86" spans="1:10" ht="15" customHeight="1" x14ac:dyDescent="0.45">
      <c r="A86" s="114">
        <v>82</v>
      </c>
      <c r="B86" s="116" t="s">
        <v>5141</v>
      </c>
      <c r="C86" s="116" t="s">
        <v>5151</v>
      </c>
      <c r="D86" s="116" t="s">
        <v>5152</v>
      </c>
      <c r="E86" s="116" t="s">
        <v>5002</v>
      </c>
      <c r="F86" s="123">
        <v>42816</v>
      </c>
      <c r="G86" s="119">
        <f ca="1">IF(ISBLANK(I86),TODAY()-F86,I86-F86)</f>
        <v>15</v>
      </c>
      <c r="H86" s="124" t="s">
        <v>5062</v>
      </c>
      <c r="I86" s="121">
        <v>42831</v>
      </c>
      <c r="J86" s="122" t="s">
        <v>5051</v>
      </c>
    </row>
    <row r="87" spans="1:10" ht="15" customHeight="1" x14ac:dyDescent="0.45">
      <c r="A87" s="114">
        <v>83</v>
      </c>
      <c r="B87" s="116" t="s">
        <v>5141</v>
      </c>
      <c r="C87" s="116" t="s">
        <v>5153</v>
      </c>
      <c r="D87" s="116" t="s">
        <v>5154</v>
      </c>
      <c r="E87" s="116" t="s">
        <v>5002</v>
      </c>
      <c r="F87" s="123">
        <v>42816</v>
      </c>
      <c r="G87" s="119">
        <f ca="1">IF(ISBLANK(I87),TODAY()-F87,I87-F87)</f>
        <v>15</v>
      </c>
      <c r="H87" s="124" t="s">
        <v>5062</v>
      </c>
      <c r="I87" s="121">
        <v>42831</v>
      </c>
      <c r="J87" s="122" t="s">
        <v>5051</v>
      </c>
    </row>
    <row r="88" spans="1:10" ht="15" customHeight="1" x14ac:dyDescent="0.45">
      <c r="A88" s="114">
        <v>84</v>
      </c>
      <c r="B88" s="116" t="s">
        <v>5155</v>
      </c>
      <c r="C88" s="116" t="s">
        <v>1922</v>
      </c>
      <c r="D88" s="116" t="s">
        <v>1924</v>
      </c>
      <c r="E88" s="116" t="s">
        <v>5002</v>
      </c>
      <c r="F88" s="123">
        <v>42816</v>
      </c>
      <c r="G88" s="119">
        <f ca="1">IF(ISBLANK(I88),TODAY()-F88,I88-F88)</f>
        <v>15</v>
      </c>
      <c r="H88" s="124" t="s">
        <v>5004</v>
      </c>
      <c r="I88" s="121">
        <v>42831</v>
      </c>
      <c r="J88" s="122" t="s">
        <v>5051</v>
      </c>
    </row>
    <row r="89" spans="1:10" ht="15" customHeight="1" x14ac:dyDescent="0.45">
      <c r="A89" s="114">
        <v>85</v>
      </c>
      <c r="B89" s="116" t="s">
        <v>5156</v>
      </c>
      <c r="C89" s="116" t="s">
        <v>1602</v>
      </c>
      <c r="D89" s="129" t="s">
        <v>1604</v>
      </c>
      <c r="E89" s="116" t="s">
        <v>5002</v>
      </c>
      <c r="F89" s="123">
        <v>42816</v>
      </c>
      <c r="G89" s="119">
        <f ca="1">IF(ISBLANK(I89),TODAY()-F89,I89-F89)</f>
        <v>43</v>
      </c>
      <c r="H89" s="124" t="s">
        <v>5004</v>
      </c>
      <c r="I89" s="121">
        <v>42859</v>
      </c>
      <c r="J89" s="122" t="s">
        <v>5051</v>
      </c>
    </row>
    <row r="90" spans="1:10" ht="15" customHeight="1" x14ac:dyDescent="0.45">
      <c r="A90" s="114">
        <v>86</v>
      </c>
      <c r="B90" s="115" t="s">
        <v>5157</v>
      </c>
      <c r="C90" s="116" t="s">
        <v>5158</v>
      </c>
      <c r="D90" s="116" t="s">
        <v>5159</v>
      </c>
      <c r="E90" s="115" t="s">
        <v>5002</v>
      </c>
      <c r="F90" s="123">
        <v>42831</v>
      </c>
      <c r="G90" s="119">
        <f ca="1">IF(ISBLANK(I90),TODAY()-F90,I90-F90)</f>
        <v>53</v>
      </c>
      <c r="H90" s="132" t="s">
        <v>160</v>
      </c>
      <c r="I90" s="133">
        <v>42884</v>
      </c>
      <c r="J90" s="134" t="s">
        <v>5160</v>
      </c>
    </row>
    <row r="91" spans="1:10" ht="15" customHeight="1" x14ac:dyDescent="0.45">
      <c r="A91" s="114">
        <v>87</v>
      </c>
      <c r="B91" s="116" t="s">
        <v>5161</v>
      </c>
      <c r="C91" s="116" t="s">
        <v>1845</v>
      </c>
      <c r="D91" s="116" t="s">
        <v>1847</v>
      </c>
      <c r="E91" s="116" t="s">
        <v>5002</v>
      </c>
      <c r="F91" s="123">
        <v>42831</v>
      </c>
      <c r="G91" s="119">
        <f ca="1">IF(ISBLANK(I91),TODAY()-F91,I91-F91)</f>
        <v>53</v>
      </c>
      <c r="H91" s="132" t="s">
        <v>160</v>
      </c>
      <c r="I91" s="133">
        <v>42884</v>
      </c>
      <c r="J91" s="134" t="s">
        <v>5160</v>
      </c>
    </row>
    <row r="92" spans="1:10" ht="15" customHeight="1" x14ac:dyDescent="0.45">
      <c r="A92" s="114">
        <v>88</v>
      </c>
      <c r="B92" s="116" t="s">
        <v>5161</v>
      </c>
      <c r="C92" s="116" t="s">
        <v>1874</v>
      </c>
      <c r="D92" s="116" t="s">
        <v>1876</v>
      </c>
      <c r="E92" s="116" t="s">
        <v>5002</v>
      </c>
      <c r="F92" s="123">
        <v>42831</v>
      </c>
      <c r="G92" s="119">
        <f ca="1">IF(ISBLANK(I92),TODAY()-F92,I92-F92)</f>
        <v>61</v>
      </c>
      <c r="H92" s="132" t="s">
        <v>164</v>
      </c>
      <c r="I92" s="121">
        <v>42892</v>
      </c>
      <c r="J92" s="134" t="s">
        <v>5160</v>
      </c>
    </row>
    <row r="93" spans="1:10" ht="15" customHeight="1" x14ac:dyDescent="0.45">
      <c r="A93" s="114">
        <v>89</v>
      </c>
      <c r="B93" s="116" t="s">
        <v>5161</v>
      </c>
      <c r="C93" s="116" t="s">
        <v>1881</v>
      </c>
      <c r="D93" s="116" t="s">
        <v>5162</v>
      </c>
      <c r="E93" s="116" t="s">
        <v>5002</v>
      </c>
      <c r="F93" s="123">
        <v>42831</v>
      </c>
      <c r="G93" s="119">
        <f ca="1">IF(ISBLANK(I93),TODAY()-F93,I93-F93)</f>
        <v>61</v>
      </c>
      <c r="H93" s="132" t="s">
        <v>164</v>
      </c>
      <c r="I93" s="121">
        <v>42892</v>
      </c>
      <c r="J93" s="134" t="s">
        <v>5160</v>
      </c>
    </row>
    <row r="94" spans="1:10" ht="15" customHeight="1" x14ac:dyDescent="0.45">
      <c r="A94" s="114">
        <v>90</v>
      </c>
      <c r="B94" s="116" t="s">
        <v>5161</v>
      </c>
      <c r="C94" s="116" t="s">
        <v>1947</v>
      </c>
      <c r="D94" s="116" t="s">
        <v>1949</v>
      </c>
      <c r="E94" s="116" t="s">
        <v>5002</v>
      </c>
      <c r="F94" s="123">
        <v>42831</v>
      </c>
      <c r="G94" s="119">
        <f ca="1">IF(ISBLANK(I94),TODAY()-F94,I94-F94)</f>
        <v>61</v>
      </c>
      <c r="H94" s="132" t="s">
        <v>164</v>
      </c>
      <c r="I94" s="121">
        <v>42892</v>
      </c>
      <c r="J94" s="134" t="s">
        <v>5160</v>
      </c>
    </row>
    <row r="95" spans="1:10" ht="15" customHeight="1" x14ac:dyDescent="0.45">
      <c r="A95" s="114">
        <v>91</v>
      </c>
      <c r="B95" s="116" t="s">
        <v>5163</v>
      </c>
      <c r="C95" s="116" t="s">
        <v>1848</v>
      </c>
      <c r="D95" s="116" t="s">
        <v>1850</v>
      </c>
      <c r="E95" s="116" t="s">
        <v>5002</v>
      </c>
      <c r="F95" s="123">
        <v>42831</v>
      </c>
      <c r="G95" s="119">
        <f ca="1">IF(ISBLANK(I95),TODAY()-F95,I95-F95)</f>
        <v>61</v>
      </c>
      <c r="H95" s="132" t="s">
        <v>164</v>
      </c>
      <c r="I95" s="121">
        <v>42892</v>
      </c>
      <c r="J95" s="134" t="s">
        <v>5160</v>
      </c>
    </row>
    <row r="96" spans="1:10" ht="15" customHeight="1" x14ac:dyDescent="0.45">
      <c r="A96" s="114">
        <v>92</v>
      </c>
      <c r="B96" s="116" t="s">
        <v>5164</v>
      </c>
      <c r="C96" s="116" t="s">
        <v>1289</v>
      </c>
      <c r="D96" s="116" t="s">
        <v>1291</v>
      </c>
      <c r="E96" s="116" t="s">
        <v>5002</v>
      </c>
      <c r="F96" s="123">
        <v>42831</v>
      </c>
      <c r="G96" s="119">
        <f ca="1">IF(ISBLANK(I96),TODAY()-F96,I96-F96)</f>
        <v>53</v>
      </c>
      <c r="H96" s="132" t="s">
        <v>164</v>
      </c>
      <c r="I96" s="133">
        <v>42884</v>
      </c>
      <c r="J96" s="134" t="s">
        <v>5160</v>
      </c>
    </row>
    <row r="97" spans="1:10" ht="15" customHeight="1" x14ac:dyDescent="0.45">
      <c r="A97" s="114">
        <v>93</v>
      </c>
      <c r="B97" s="135" t="s">
        <v>5165</v>
      </c>
      <c r="C97" s="135" t="s">
        <v>1803</v>
      </c>
      <c r="D97" s="135" t="s">
        <v>1805</v>
      </c>
      <c r="E97" s="135" t="s">
        <v>5002</v>
      </c>
      <c r="F97" s="136">
        <v>42831</v>
      </c>
      <c r="G97" s="119">
        <f ca="1">IF(ISBLANK(I97),TODAY()-F97,I97-F97)</f>
        <v>76</v>
      </c>
      <c r="H97" s="126" t="s">
        <v>5002</v>
      </c>
      <c r="I97" s="127">
        <v>42907</v>
      </c>
      <c r="J97" s="122" t="s">
        <v>5051</v>
      </c>
    </row>
    <row r="98" spans="1:10" ht="15" customHeight="1" x14ac:dyDescent="0.45">
      <c r="A98" s="114">
        <v>94</v>
      </c>
      <c r="B98" s="135" t="s">
        <v>5165</v>
      </c>
      <c r="C98" s="135" t="s">
        <v>1834</v>
      </c>
      <c r="D98" s="135" t="s">
        <v>1836</v>
      </c>
      <c r="E98" s="135" t="s">
        <v>5002</v>
      </c>
      <c r="F98" s="136">
        <v>42831</v>
      </c>
      <c r="G98" s="119">
        <f ca="1">IF(ISBLANK(I98),TODAY()-F98,I98-F98)</f>
        <v>69</v>
      </c>
      <c r="H98" s="126" t="s">
        <v>5003</v>
      </c>
      <c r="I98" s="127">
        <v>42900</v>
      </c>
      <c r="J98" s="122" t="s">
        <v>5051</v>
      </c>
    </row>
    <row r="99" spans="1:10" ht="15" customHeight="1" x14ac:dyDescent="0.45">
      <c r="A99" s="114">
        <v>95</v>
      </c>
      <c r="B99" s="135" t="s">
        <v>5165</v>
      </c>
      <c r="C99" s="135" t="s">
        <v>1839</v>
      </c>
      <c r="D99" s="135" t="s">
        <v>1841</v>
      </c>
      <c r="E99" s="135" t="s">
        <v>5002</v>
      </c>
      <c r="F99" s="136">
        <v>42831</v>
      </c>
      <c r="G99" s="119">
        <f ca="1">IF(ISBLANK(I99),TODAY()-F99,I99-F99)</f>
        <v>69</v>
      </c>
      <c r="H99" s="126" t="s">
        <v>5003</v>
      </c>
      <c r="I99" s="127">
        <v>42900</v>
      </c>
      <c r="J99" s="122" t="s">
        <v>5051</v>
      </c>
    </row>
    <row r="100" spans="1:10" ht="15" customHeight="1" x14ac:dyDescent="0.45">
      <c r="A100" s="114">
        <v>96</v>
      </c>
      <c r="B100" s="135" t="s">
        <v>5165</v>
      </c>
      <c r="C100" s="135" t="s">
        <v>1842</v>
      </c>
      <c r="D100" s="135" t="s">
        <v>1844</v>
      </c>
      <c r="E100" s="135" t="s">
        <v>5002</v>
      </c>
      <c r="F100" s="136">
        <v>42831</v>
      </c>
      <c r="G100" s="119">
        <f ca="1">IF(ISBLANK(I100),TODAY()-F100,I100-F100)</f>
        <v>69</v>
      </c>
      <c r="H100" s="126" t="s">
        <v>5003</v>
      </c>
      <c r="I100" s="127">
        <v>42900</v>
      </c>
      <c r="J100" s="122" t="s">
        <v>5051</v>
      </c>
    </row>
    <row r="101" spans="1:10" ht="15" customHeight="1" x14ac:dyDescent="0.45">
      <c r="A101" s="114">
        <v>97</v>
      </c>
      <c r="B101" s="116" t="s">
        <v>5166</v>
      </c>
      <c r="C101" s="116" t="s">
        <v>1219</v>
      </c>
      <c r="D101" s="116" t="s">
        <v>5167</v>
      </c>
      <c r="E101" s="116" t="s">
        <v>5002</v>
      </c>
      <c r="F101" s="123">
        <v>42831</v>
      </c>
      <c r="G101" s="119">
        <f ca="1">IF(ISBLANK(I101),TODAY()-F101,I101-F101)</f>
        <v>53</v>
      </c>
      <c r="H101" s="132" t="s">
        <v>164</v>
      </c>
      <c r="I101" s="133">
        <v>42884</v>
      </c>
      <c r="J101" s="134" t="s">
        <v>5160</v>
      </c>
    </row>
    <row r="102" spans="1:10" ht="15" customHeight="1" x14ac:dyDescent="0.45">
      <c r="A102" s="114">
        <v>98</v>
      </c>
      <c r="B102" s="116" t="s">
        <v>5166</v>
      </c>
      <c r="C102" s="116" t="s">
        <v>1223</v>
      </c>
      <c r="D102" s="116" t="s">
        <v>5168</v>
      </c>
      <c r="E102" s="116" t="s">
        <v>5002</v>
      </c>
      <c r="F102" s="123">
        <v>42831</v>
      </c>
      <c r="G102" s="119">
        <f ca="1">IF(ISBLANK(I102),TODAY()-F102,I102-F102)</f>
        <v>53</v>
      </c>
      <c r="H102" s="132" t="s">
        <v>164</v>
      </c>
      <c r="I102" s="133">
        <v>42884</v>
      </c>
      <c r="J102" s="134" t="s">
        <v>5160</v>
      </c>
    </row>
    <row r="103" spans="1:10" ht="15" customHeight="1" x14ac:dyDescent="0.45">
      <c r="A103" s="114">
        <v>99</v>
      </c>
      <c r="B103" s="116" t="s">
        <v>5166</v>
      </c>
      <c r="C103" s="116" t="s">
        <v>1226</v>
      </c>
      <c r="D103" s="116" t="s">
        <v>5169</v>
      </c>
      <c r="E103" s="116" t="s">
        <v>5002</v>
      </c>
      <c r="F103" s="123">
        <v>42831</v>
      </c>
      <c r="G103" s="119">
        <f ca="1">IF(ISBLANK(I103),TODAY()-F103,I103-F103)</f>
        <v>53</v>
      </c>
      <c r="H103" s="132" t="s">
        <v>164</v>
      </c>
      <c r="I103" s="133">
        <v>42884</v>
      </c>
      <c r="J103" s="134" t="s">
        <v>5160</v>
      </c>
    </row>
    <row r="104" spans="1:10" ht="15" customHeight="1" x14ac:dyDescent="0.45">
      <c r="A104" s="114">
        <v>100</v>
      </c>
      <c r="B104" s="116" t="s">
        <v>5170</v>
      </c>
      <c r="C104" s="116" t="s">
        <v>5171</v>
      </c>
      <c r="D104" s="116" t="s">
        <v>5172</v>
      </c>
      <c r="E104" s="116" t="s">
        <v>5002</v>
      </c>
      <c r="F104" s="123">
        <v>42835</v>
      </c>
      <c r="G104" s="119">
        <f ca="1">IF(ISBLANK(I104),TODAY()-F104,I104-F104)</f>
        <v>49</v>
      </c>
      <c r="H104" s="132" t="s">
        <v>164</v>
      </c>
      <c r="I104" s="133">
        <v>42884</v>
      </c>
      <c r="J104" s="134" t="s">
        <v>5160</v>
      </c>
    </row>
    <row r="105" spans="1:10" ht="15" customHeight="1" x14ac:dyDescent="0.45">
      <c r="A105" s="137">
        <v>101</v>
      </c>
      <c r="B105" s="116" t="s">
        <v>5173</v>
      </c>
      <c r="C105" s="116" t="s">
        <v>5174</v>
      </c>
      <c r="D105" s="116" t="s">
        <v>5175</v>
      </c>
      <c r="E105" s="116" t="s">
        <v>5002</v>
      </c>
      <c r="F105" s="123">
        <v>42835</v>
      </c>
      <c r="G105" s="119">
        <f ca="1">IF(ISBLANK(I105),TODAY()-F105,I105-F105)</f>
        <v>49</v>
      </c>
      <c r="H105" s="132" t="s">
        <v>164</v>
      </c>
      <c r="I105" s="133">
        <v>42884</v>
      </c>
      <c r="J105" s="134" t="s">
        <v>5160</v>
      </c>
    </row>
    <row r="106" spans="1:10" ht="15" customHeight="1" x14ac:dyDescent="0.45">
      <c r="A106" s="137">
        <v>102</v>
      </c>
      <c r="B106" s="116" t="s">
        <v>5173</v>
      </c>
      <c r="C106" s="116" t="s">
        <v>5176</v>
      </c>
      <c r="D106" s="116" t="s">
        <v>5177</v>
      </c>
      <c r="E106" s="116" t="s">
        <v>5002</v>
      </c>
      <c r="F106" s="123">
        <v>42835</v>
      </c>
      <c r="G106" s="119">
        <f ca="1">IF(ISBLANK(I106),TODAY()-F106,I106-F106)</f>
        <v>49</v>
      </c>
      <c r="H106" s="132" t="s">
        <v>164</v>
      </c>
      <c r="I106" s="133">
        <v>42884</v>
      </c>
      <c r="J106" s="134" t="s">
        <v>5160</v>
      </c>
    </row>
    <row r="107" spans="1:10" ht="15" customHeight="1" x14ac:dyDescent="0.45">
      <c r="A107" s="137">
        <v>103</v>
      </c>
      <c r="B107" s="116" t="s">
        <v>5178</v>
      </c>
      <c r="C107" s="116" t="s">
        <v>5179</v>
      </c>
      <c r="D107" s="116" t="s">
        <v>5072</v>
      </c>
      <c r="E107" s="116">
        <v>0</v>
      </c>
      <c r="F107" s="123">
        <v>42835</v>
      </c>
      <c r="G107" s="119">
        <f ca="1">IF(ISBLANK(I107),TODAY()-F107,I107-F107)</f>
        <v>49</v>
      </c>
      <c r="H107" s="132" t="s">
        <v>164</v>
      </c>
      <c r="I107" s="133">
        <v>42884</v>
      </c>
      <c r="J107" s="134" t="s">
        <v>5160</v>
      </c>
    </row>
    <row r="108" spans="1:10" ht="15" customHeight="1" x14ac:dyDescent="0.45">
      <c r="A108" s="137">
        <v>104</v>
      </c>
      <c r="B108" s="116" t="s">
        <v>5180</v>
      </c>
      <c r="C108" s="116" t="s">
        <v>5181</v>
      </c>
      <c r="D108" s="116" t="s">
        <v>5182</v>
      </c>
      <c r="E108" s="116" t="s">
        <v>5002</v>
      </c>
      <c r="F108" s="123">
        <v>42835</v>
      </c>
      <c r="G108" s="119">
        <f ca="1">IF(ISBLANK(I108),TODAY()-F108,I108-F108)</f>
        <v>49</v>
      </c>
      <c r="H108" s="132" t="s">
        <v>164</v>
      </c>
      <c r="I108" s="133">
        <v>42884</v>
      </c>
      <c r="J108" s="134" t="s">
        <v>5160</v>
      </c>
    </row>
    <row r="109" spans="1:10" ht="15" customHeight="1" x14ac:dyDescent="0.45">
      <c r="A109" s="137">
        <v>105</v>
      </c>
      <c r="B109" s="116" t="s">
        <v>5180</v>
      </c>
      <c r="C109" s="116" t="s">
        <v>5183</v>
      </c>
      <c r="D109" s="116" t="s">
        <v>5184</v>
      </c>
      <c r="E109" s="116" t="s">
        <v>5002</v>
      </c>
      <c r="F109" s="123">
        <v>42835</v>
      </c>
      <c r="G109" s="119">
        <f ca="1">IF(ISBLANK(I109),TODAY()-F109,I109-F109)</f>
        <v>49</v>
      </c>
      <c r="H109" s="132" t="s">
        <v>164</v>
      </c>
      <c r="I109" s="133">
        <v>42884</v>
      </c>
      <c r="J109" s="134" t="s">
        <v>5160</v>
      </c>
    </row>
    <row r="110" spans="1:10" ht="15" customHeight="1" x14ac:dyDescent="0.45">
      <c r="A110" s="137">
        <v>106</v>
      </c>
      <c r="B110" s="116" t="s">
        <v>5185</v>
      </c>
      <c r="C110" s="116" t="s">
        <v>5186</v>
      </c>
      <c r="D110" s="116" t="s">
        <v>5187</v>
      </c>
      <c r="E110" s="116" t="s">
        <v>5002</v>
      </c>
      <c r="F110" s="123">
        <v>42835</v>
      </c>
      <c r="G110" s="119">
        <f ca="1">IF(ISBLANK(I110),TODAY()-F110,I110-F110)</f>
        <v>49</v>
      </c>
      <c r="H110" s="132" t="s">
        <v>2702</v>
      </c>
      <c r="I110" s="133">
        <v>42884</v>
      </c>
      <c r="J110" s="134" t="s">
        <v>5160</v>
      </c>
    </row>
    <row r="111" spans="1:10" ht="15" customHeight="1" x14ac:dyDescent="0.45">
      <c r="A111" s="137">
        <v>107</v>
      </c>
      <c r="B111" s="116" t="s">
        <v>5188</v>
      </c>
      <c r="C111" s="116" t="s">
        <v>5189</v>
      </c>
      <c r="D111" s="116" t="s">
        <v>5190</v>
      </c>
      <c r="E111" s="116" t="s">
        <v>5002</v>
      </c>
      <c r="F111" s="123">
        <v>42835</v>
      </c>
      <c r="G111" s="119">
        <f ca="1">IF(ISBLANK(I111),TODAY()-F111,I111-F111)</f>
        <v>59</v>
      </c>
      <c r="H111" s="126" t="s">
        <v>5062</v>
      </c>
      <c r="I111" s="127">
        <v>42894</v>
      </c>
      <c r="J111" s="122" t="s">
        <v>5113</v>
      </c>
    </row>
    <row r="112" spans="1:10" ht="15" customHeight="1" x14ac:dyDescent="0.45">
      <c r="A112" s="137">
        <v>108</v>
      </c>
      <c r="B112" s="116" t="s">
        <v>5191</v>
      </c>
      <c r="C112" s="116" t="s">
        <v>5192</v>
      </c>
      <c r="D112" s="116" t="s">
        <v>5193</v>
      </c>
      <c r="E112" s="116" t="s">
        <v>5002</v>
      </c>
      <c r="F112" s="123">
        <v>42835</v>
      </c>
      <c r="G112" s="119">
        <f ca="1">IF(ISBLANK(I112),TODAY()-F112,I112-F112)</f>
        <v>49</v>
      </c>
      <c r="H112" s="132" t="s">
        <v>164</v>
      </c>
      <c r="I112" s="133">
        <v>42884</v>
      </c>
      <c r="J112" s="134" t="s">
        <v>5160</v>
      </c>
    </row>
    <row r="113" spans="1:10" ht="15" customHeight="1" x14ac:dyDescent="0.45">
      <c r="A113" s="137">
        <v>109</v>
      </c>
      <c r="B113" s="116" t="s">
        <v>5191</v>
      </c>
      <c r="C113" s="116" t="s">
        <v>5194</v>
      </c>
      <c r="D113" s="116" t="s">
        <v>5195</v>
      </c>
      <c r="E113" s="116" t="s">
        <v>5002</v>
      </c>
      <c r="F113" s="123">
        <v>42835</v>
      </c>
      <c r="G113" s="119">
        <f ca="1">IF(ISBLANK(I113),TODAY()-F113,I113-F113)</f>
        <v>49</v>
      </c>
      <c r="H113" s="132" t="s">
        <v>164</v>
      </c>
      <c r="I113" s="133">
        <v>42884</v>
      </c>
      <c r="J113" s="134" t="s">
        <v>5160</v>
      </c>
    </row>
    <row r="114" spans="1:10" ht="15" customHeight="1" x14ac:dyDescent="0.45">
      <c r="A114" s="137">
        <v>110</v>
      </c>
      <c r="B114" s="116" t="s">
        <v>5196</v>
      </c>
      <c r="C114" s="116" t="s">
        <v>5197</v>
      </c>
      <c r="D114" s="116" t="s">
        <v>5198</v>
      </c>
      <c r="E114" s="116" t="s">
        <v>5002</v>
      </c>
      <c r="F114" s="123">
        <v>42843</v>
      </c>
      <c r="G114" s="119">
        <f ca="1">IF(ISBLANK(I114),TODAY()-F114,I114-F114)</f>
        <v>51</v>
      </c>
      <c r="H114" s="126" t="s">
        <v>5062</v>
      </c>
      <c r="I114" s="127">
        <v>42894</v>
      </c>
      <c r="J114" s="122" t="s">
        <v>5113</v>
      </c>
    </row>
    <row r="115" spans="1:10" ht="15" customHeight="1" x14ac:dyDescent="0.45">
      <c r="A115" s="137">
        <v>111</v>
      </c>
      <c r="B115" s="116" t="s">
        <v>5199</v>
      </c>
      <c r="C115" s="116" t="s">
        <v>5200</v>
      </c>
      <c r="D115" s="116" t="s">
        <v>5201</v>
      </c>
      <c r="E115" s="116" t="s">
        <v>5002</v>
      </c>
      <c r="F115" s="123">
        <v>42843</v>
      </c>
      <c r="G115" s="119">
        <f ca="1">IF(ISBLANK(I115),TODAY()-F115,I115-F115)</f>
        <v>48</v>
      </c>
      <c r="H115" s="132" t="s">
        <v>164</v>
      </c>
      <c r="I115" s="133">
        <v>42891</v>
      </c>
      <c r="J115" s="134" t="s">
        <v>5160</v>
      </c>
    </row>
    <row r="116" spans="1:10" ht="15" customHeight="1" x14ac:dyDescent="0.45">
      <c r="A116" s="137">
        <v>112</v>
      </c>
      <c r="B116" s="116" t="s">
        <v>5199</v>
      </c>
      <c r="C116" s="116" t="s">
        <v>5202</v>
      </c>
      <c r="D116" s="116" t="s">
        <v>5203</v>
      </c>
      <c r="E116" s="116" t="s">
        <v>5002</v>
      </c>
      <c r="F116" s="123">
        <v>42843</v>
      </c>
      <c r="G116" s="119">
        <f ca="1">IF(ISBLANK(I116),TODAY()-F116,I116-F116)</f>
        <v>48</v>
      </c>
      <c r="H116" s="132" t="s">
        <v>164</v>
      </c>
      <c r="I116" s="133">
        <v>42891</v>
      </c>
      <c r="J116" s="134" t="s">
        <v>5160</v>
      </c>
    </row>
    <row r="117" spans="1:10" ht="15" customHeight="1" x14ac:dyDescent="0.45">
      <c r="A117" s="137">
        <v>113</v>
      </c>
      <c r="B117" s="116" t="s">
        <v>5199</v>
      </c>
      <c r="C117" s="116" t="s">
        <v>5204</v>
      </c>
      <c r="D117" s="116" t="s">
        <v>5205</v>
      </c>
      <c r="E117" s="116" t="s">
        <v>5002</v>
      </c>
      <c r="F117" s="123">
        <v>42843</v>
      </c>
      <c r="G117" s="119">
        <f ca="1">IF(ISBLANK(I117),TODAY()-F117,I117-F117)</f>
        <v>48</v>
      </c>
      <c r="H117" s="132" t="s">
        <v>164</v>
      </c>
      <c r="I117" s="133">
        <v>42891</v>
      </c>
      <c r="J117" s="134" t="s">
        <v>5160</v>
      </c>
    </row>
    <row r="118" spans="1:10" ht="15" customHeight="1" x14ac:dyDescent="0.45">
      <c r="A118" s="137">
        <v>114</v>
      </c>
      <c r="B118" s="116" t="s">
        <v>5199</v>
      </c>
      <c r="C118" s="116" t="s">
        <v>5206</v>
      </c>
      <c r="D118" s="116" t="s">
        <v>5207</v>
      </c>
      <c r="E118" s="116" t="s">
        <v>5002</v>
      </c>
      <c r="F118" s="123">
        <v>42843</v>
      </c>
      <c r="G118" s="119">
        <f ca="1">IF(ISBLANK(I118),TODAY()-F118,I118-F118)</f>
        <v>48</v>
      </c>
      <c r="H118" s="132" t="s">
        <v>65</v>
      </c>
      <c r="I118" s="133">
        <v>42891</v>
      </c>
      <c r="J118" s="134" t="s">
        <v>5160</v>
      </c>
    </row>
    <row r="119" spans="1:10" ht="15" customHeight="1" x14ac:dyDescent="0.45">
      <c r="A119" s="137">
        <v>115</v>
      </c>
      <c r="B119" s="116" t="s">
        <v>5199</v>
      </c>
      <c r="C119" s="116" t="s">
        <v>5208</v>
      </c>
      <c r="D119" s="116" t="s">
        <v>5209</v>
      </c>
      <c r="E119" s="116" t="s">
        <v>5002</v>
      </c>
      <c r="F119" s="123">
        <v>42843</v>
      </c>
      <c r="G119" s="119">
        <f ca="1">IF(ISBLANK(I119),TODAY()-F119,I119-F119)</f>
        <v>48</v>
      </c>
      <c r="H119" s="132" t="s">
        <v>164</v>
      </c>
      <c r="I119" s="133">
        <v>42891</v>
      </c>
      <c r="J119" s="134" t="s">
        <v>5160</v>
      </c>
    </row>
    <row r="120" spans="1:10" ht="15" customHeight="1" x14ac:dyDescent="0.45">
      <c r="A120" s="137">
        <v>116</v>
      </c>
      <c r="B120" s="116" t="s">
        <v>5199</v>
      </c>
      <c r="C120" s="116" t="s">
        <v>5210</v>
      </c>
      <c r="D120" s="116" t="s">
        <v>5211</v>
      </c>
      <c r="E120" s="116" t="s">
        <v>5002</v>
      </c>
      <c r="F120" s="123">
        <v>42843</v>
      </c>
      <c r="G120" s="119">
        <f ca="1">IF(ISBLANK(I120),TODAY()-F120,I120-F120)</f>
        <v>48</v>
      </c>
      <c r="H120" s="132" t="s">
        <v>164</v>
      </c>
      <c r="I120" s="133">
        <v>42891</v>
      </c>
      <c r="J120" s="134" t="s">
        <v>5160</v>
      </c>
    </row>
    <row r="121" spans="1:10" ht="15" customHeight="1" x14ac:dyDescent="0.45">
      <c r="A121" s="137">
        <v>117</v>
      </c>
      <c r="B121" s="116" t="s">
        <v>5199</v>
      </c>
      <c r="C121" s="116" t="s">
        <v>5212</v>
      </c>
      <c r="D121" s="116" t="s">
        <v>5213</v>
      </c>
      <c r="E121" s="116" t="s">
        <v>5002</v>
      </c>
      <c r="F121" s="123">
        <v>42843</v>
      </c>
      <c r="G121" s="119">
        <f ca="1">IF(ISBLANK(I121),TODAY()-F121,I121-F121)</f>
        <v>48</v>
      </c>
      <c r="H121" s="132" t="s">
        <v>65</v>
      </c>
      <c r="I121" s="133">
        <v>42891</v>
      </c>
      <c r="J121" s="134" t="s">
        <v>5160</v>
      </c>
    </row>
    <row r="122" spans="1:10" ht="15" customHeight="1" x14ac:dyDescent="0.45">
      <c r="A122" s="137">
        <v>118</v>
      </c>
      <c r="B122" s="116" t="s">
        <v>5199</v>
      </c>
      <c r="C122" s="116" t="s">
        <v>5214</v>
      </c>
      <c r="D122" s="116" t="s">
        <v>5215</v>
      </c>
      <c r="E122" s="116" t="s">
        <v>5002</v>
      </c>
      <c r="F122" s="123">
        <v>42843</v>
      </c>
      <c r="G122" s="119">
        <f ca="1">IF(ISBLANK(I122),TODAY()-F122,I122-F122)</f>
        <v>48</v>
      </c>
      <c r="H122" s="132" t="s">
        <v>5062</v>
      </c>
      <c r="I122" s="133">
        <v>42891</v>
      </c>
      <c r="J122" s="134" t="s">
        <v>5160</v>
      </c>
    </row>
    <row r="123" spans="1:10" ht="15" customHeight="1" x14ac:dyDescent="0.45">
      <c r="A123" s="137">
        <v>119</v>
      </c>
      <c r="B123" s="116" t="s">
        <v>5199</v>
      </c>
      <c r="C123" s="116" t="s">
        <v>5216</v>
      </c>
      <c r="D123" s="116" t="s">
        <v>5217</v>
      </c>
      <c r="E123" s="116" t="s">
        <v>5002</v>
      </c>
      <c r="F123" s="123">
        <v>42843</v>
      </c>
      <c r="G123" s="119">
        <f ca="1">IF(ISBLANK(I123),TODAY()-F123,I123-F123)</f>
        <v>48</v>
      </c>
      <c r="H123" s="132" t="s">
        <v>5002</v>
      </c>
      <c r="I123" s="133">
        <v>42891</v>
      </c>
      <c r="J123" s="134" t="s">
        <v>5160</v>
      </c>
    </row>
    <row r="124" spans="1:10" ht="15" customHeight="1" x14ac:dyDescent="0.45">
      <c r="A124" s="137">
        <v>120</v>
      </c>
      <c r="B124" s="116" t="s">
        <v>5199</v>
      </c>
      <c r="C124" s="116" t="s">
        <v>5218</v>
      </c>
      <c r="D124" s="116" t="s">
        <v>5219</v>
      </c>
      <c r="E124" s="116" t="s">
        <v>5002</v>
      </c>
      <c r="F124" s="123">
        <v>42843</v>
      </c>
      <c r="G124" s="119">
        <f ca="1">IF(ISBLANK(I124),TODAY()-F124,I124-F124)</f>
        <v>48</v>
      </c>
      <c r="H124" s="132" t="s">
        <v>65</v>
      </c>
      <c r="I124" s="373">
        <v>42891</v>
      </c>
      <c r="J124" s="386" t="s">
        <v>5160</v>
      </c>
    </row>
    <row r="125" spans="1:10" ht="15" customHeight="1" x14ac:dyDescent="0.45">
      <c r="A125" s="137">
        <v>121</v>
      </c>
      <c r="B125" s="116" t="s">
        <v>5220</v>
      </c>
      <c r="C125" s="116" t="s">
        <v>5221</v>
      </c>
      <c r="D125" s="116" t="s">
        <v>5222</v>
      </c>
      <c r="E125" s="116" t="s">
        <v>5002</v>
      </c>
      <c r="F125" s="123">
        <v>42843</v>
      </c>
      <c r="G125" s="119">
        <f ca="1">IF(ISBLANK(I125),TODAY()-F125,I125-F125)</f>
        <v>42</v>
      </c>
      <c r="H125" s="132" t="s">
        <v>164</v>
      </c>
      <c r="I125" s="121">
        <v>42885</v>
      </c>
      <c r="J125" s="122" t="s">
        <v>5160</v>
      </c>
    </row>
    <row r="126" spans="1:10" ht="15" customHeight="1" x14ac:dyDescent="0.45">
      <c r="A126" s="137">
        <v>122</v>
      </c>
      <c r="B126" s="116" t="s">
        <v>5223</v>
      </c>
      <c r="C126" s="116" t="s">
        <v>5224</v>
      </c>
      <c r="D126" s="116" t="s">
        <v>5225</v>
      </c>
      <c r="E126" s="116" t="s">
        <v>5002</v>
      </c>
      <c r="F126" s="123">
        <v>42843</v>
      </c>
      <c r="G126" s="119">
        <f ca="1">IF(ISBLANK(I126),TODAY()-F126,I126-F126)</f>
        <v>41</v>
      </c>
      <c r="H126" s="132" t="s">
        <v>160</v>
      </c>
      <c r="I126" s="133">
        <v>42884</v>
      </c>
      <c r="J126" s="134" t="s">
        <v>5160</v>
      </c>
    </row>
    <row r="127" spans="1:10" ht="15" customHeight="1" x14ac:dyDescent="0.45">
      <c r="A127" s="137">
        <v>123</v>
      </c>
      <c r="B127" s="116" t="s">
        <v>5226</v>
      </c>
      <c r="C127" s="116" t="s">
        <v>5049</v>
      </c>
      <c r="D127" s="116" t="s">
        <v>5050</v>
      </c>
      <c r="E127" s="116">
        <v>0</v>
      </c>
      <c r="F127" s="123">
        <v>42843</v>
      </c>
      <c r="G127" s="119">
        <f ca="1">IF(ISBLANK(I127),TODAY()-F127,I127-F127)</f>
        <v>43</v>
      </c>
      <c r="H127" s="124" t="s">
        <v>5227</v>
      </c>
      <c r="I127" s="121">
        <v>42886</v>
      </c>
      <c r="J127" s="134" t="s">
        <v>5160</v>
      </c>
    </row>
    <row r="128" spans="1:10" ht="15" customHeight="1" x14ac:dyDescent="0.45">
      <c r="A128" s="137">
        <v>124</v>
      </c>
      <c r="B128" s="116" t="s">
        <v>5226</v>
      </c>
      <c r="C128" s="116" t="s">
        <v>5052</v>
      </c>
      <c r="D128" s="116" t="s">
        <v>5053</v>
      </c>
      <c r="E128" s="116">
        <v>0</v>
      </c>
      <c r="F128" s="123">
        <v>42843</v>
      </c>
      <c r="G128" s="119">
        <f ca="1">IF(ISBLANK(I128),TODAY()-F128,I128-F128)</f>
        <v>43</v>
      </c>
      <c r="H128" s="124" t="s">
        <v>5227</v>
      </c>
      <c r="I128" s="121">
        <v>42886</v>
      </c>
      <c r="J128" s="134" t="s">
        <v>5160</v>
      </c>
    </row>
    <row r="129" spans="1:10" ht="15" customHeight="1" x14ac:dyDescent="0.45">
      <c r="A129" s="137">
        <v>125</v>
      </c>
      <c r="B129" s="116" t="s">
        <v>5228</v>
      </c>
      <c r="C129" s="116" t="s">
        <v>5229</v>
      </c>
      <c r="D129" s="116" t="s">
        <v>5230</v>
      </c>
      <c r="E129" s="116" t="s">
        <v>5002</v>
      </c>
      <c r="F129" s="123">
        <v>42843</v>
      </c>
      <c r="G129" s="119">
        <f ca="1">IF(ISBLANK(I129),TODAY()-F129,I129-F129)</f>
        <v>51</v>
      </c>
      <c r="H129" s="126" t="s">
        <v>5062</v>
      </c>
      <c r="I129" s="127">
        <v>42894</v>
      </c>
      <c r="J129" s="122" t="s">
        <v>5113</v>
      </c>
    </row>
    <row r="130" spans="1:10" ht="15" customHeight="1" x14ac:dyDescent="0.45">
      <c r="A130" s="137">
        <v>126</v>
      </c>
      <c r="B130" s="116" t="s">
        <v>5231</v>
      </c>
      <c r="C130" s="116" t="s">
        <v>5232</v>
      </c>
      <c r="D130" s="116" t="s">
        <v>5233</v>
      </c>
      <c r="E130" s="116" t="s">
        <v>5002</v>
      </c>
      <c r="F130" s="123">
        <v>42843</v>
      </c>
      <c r="G130" s="119">
        <f ca="1">IF(ISBLANK(I130),TODAY()-F130,I130-F130)</f>
        <v>41</v>
      </c>
      <c r="H130" s="132" t="s">
        <v>164</v>
      </c>
      <c r="I130" s="133">
        <v>42884</v>
      </c>
      <c r="J130" s="134" t="s">
        <v>5160</v>
      </c>
    </row>
    <row r="131" spans="1:10" ht="15" customHeight="1" x14ac:dyDescent="0.45">
      <c r="A131" s="137">
        <v>127</v>
      </c>
      <c r="B131" s="116" t="s">
        <v>5231</v>
      </c>
      <c r="C131" s="116" t="s">
        <v>5234</v>
      </c>
      <c r="D131" s="116" t="s">
        <v>5235</v>
      </c>
      <c r="E131" s="116" t="s">
        <v>5002</v>
      </c>
      <c r="F131" s="123">
        <v>42843</v>
      </c>
      <c r="G131" s="119">
        <f ca="1">IF(ISBLANK(I131),TODAY()-F131,I131-F131)</f>
        <v>41</v>
      </c>
      <c r="H131" s="132" t="s">
        <v>164</v>
      </c>
      <c r="I131" s="133">
        <v>42884</v>
      </c>
      <c r="J131" s="134" t="s">
        <v>5160</v>
      </c>
    </row>
    <row r="132" spans="1:10" ht="15" customHeight="1" x14ac:dyDescent="0.45">
      <c r="A132" s="137">
        <v>128</v>
      </c>
      <c r="B132" s="116" t="s">
        <v>5236</v>
      </c>
      <c r="C132" s="116" t="s">
        <v>5237</v>
      </c>
      <c r="D132" s="116" t="s">
        <v>5238</v>
      </c>
      <c r="E132" s="116" t="s">
        <v>5002</v>
      </c>
      <c r="F132" s="343">
        <v>42843</v>
      </c>
      <c r="G132" s="119">
        <f ca="1">IF(ISBLANK(I132),TODAY()-F132,I132-F132)</f>
        <v>42</v>
      </c>
      <c r="H132" s="124" t="s">
        <v>164</v>
      </c>
      <c r="I132" s="121">
        <v>42885</v>
      </c>
      <c r="J132" s="122" t="s">
        <v>5160</v>
      </c>
    </row>
    <row r="133" spans="1:10" ht="15" customHeight="1" x14ac:dyDescent="0.45">
      <c r="A133" s="137">
        <v>129</v>
      </c>
      <c r="B133" s="116" t="s">
        <v>5236</v>
      </c>
      <c r="C133" s="138" t="s">
        <v>5239</v>
      </c>
      <c r="D133" s="138" t="s">
        <v>5240</v>
      </c>
      <c r="E133" s="138" t="s">
        <v>5002</v>
      </c>
      <c r="F133" s="342">
        <v>42843</v>
      </c>
      <c r="G133" s="119">
        <f ca="1">IF(ISBLANK(I133),TODAY()-F133,I133-F133)</f>
        <v>42</v>
      </c>
      <c r="H133" s="139" t="s">
        <v>164</v>
      </c>
      <c r="I133" s="121">
        <v>42885</v>
      </c>
      <c r="J133" s="140" t="s">
        <v>5160</v>
      </c>
    </row>
    <row r="134" spans="1:10" ht="15" customHeight="1" x14ac:dyDescent="0.45">
      <c r="A134" s="137">
        <v>130</v>
      </c>
      <c r="B134" s="116" t="s">
        <v>5241</v>
      </c>
      <c r="C134" s="141" t="s">
        <v>1566</v>
      </c>
      <c r="D134" s="141" t="s">
        <v>5242</v>
      </c>
      <c r="E134" s="142" t="s">
        <v>65</v>
      </c>
      <c r="F134" s="143">
        <v>42866</v>
      </c>
      <c r="G134" s="119">
        <f ca="1">IF(ISBLANK(I134),TODAY()-F134,I134-F134)</f>
        <v>0</v>
      </c>
      <c r="H134" s="144" t="s">
        <v>5003</v>
      </c>
      <c r="I134" s="145">
        <v>42866</v>
      </c>
      <c r="J134" s="122" t="s">
        <v>5051</v>
      </c>
    </row>
    <row r="135" spans="1:10" ht="15" customHeight="1" x14ac:dyDescent="0.45">
      <c r="A135" s="137">
        <v>131</v>
      </c>
      <c r="B135" s="116" t="s">
        <v>5241</v>
      </c>
      <c r="C135" s="141" t="s">
        <v>1569</v>
      </c>
      <c r="D135" s="141" t="s">
        <v>5243</v>
      </c>
      <c r="E135" s="142" t="s">
        <v>65</v>
      </c>
      <c r="F135" s="143">
        <v>42866</v>
      </c>
      <c r="G135" s="119">
        <f ca="1">IF(ISBLANK(I135),TODAY()-F135,I135-F135)</f>
        <v>0</v>
      </c>
      <c r="H135" s="144" t="s">
        <v>5002</v>
      </c>
      <c r="I135" s="145">
        <v>42866</v>
      </c>
      <c r="J135" s="122" t="s">
        <v>5051</v>
      </c>
    </row>
    <row r="136" spans="1:10" ht="15" customHeight="1" x14ac:dyDescent="0.45">
      <c r="A136" s="137">
        <v>132</v>
      </c>
      <c r="B136" s="116" t="s">
        <v>5241</v>
      </c>
      <c r="C136" s="141" t="s">
        <v>1572</v>
      </c>
      <c r="D136" s="141" t="s">
        <v>5244</v>
      </c>
      <c r="E136" s="142" t="s">
        <v>65</v>
      </c>
      <c r="F136" s="143">
        <v>42866</v>
      </c>
      <c r="G136" s="119">
        <f ca="1">IF(ISBLANK(I136),TODAY()-F136,I136-F136)</f>
        <v>0</v>
      </c>
      <c r="H136" s="144" t="s">
        <v>5002</v>
      </c>
      <c r="I136" s="145">
        <v>42866</v>
      </c>
      <c r="J136" s="122" t="s">
        <v>5051</v>
      </c>
    </row>
    <row r="137" spans="1:10" ht="15" customHeight="1" x14ac:dyDescent="0.45">
      <c r="A137" s="137">
        <v>133</v>
      </c>
      <c r="B137" s="116" t="s">
        <v>5241</v>
      </c>
      <c r="C137" s="141" t="s">
        <v>1575</v>
      </c>
      <c r="D137" s="141" t="s">
        <v>5245</v>
      </c>
      <c r="E137" s="142" t="s">
        <v>65</v>
      </c>
      <c r="F137" s="143">
        <v>42866</v>
      </c>
      <c r="G137" s="119">
        <f ca="1">IF(ISBLANK(I137),TODAY()-F137,I137-F137)</f>
        <v>0</v>
      </c>
      <c r="H137" s="144" t="s">
        <v>5003</v>
      </c>
      <c r="I137" s="145">
        <v>42866</v>
      </c>
      <c r="J137" s="122" t="s">
        <v>5051</v>
      </c>
    </row>
    <row r="138" spans="1:10" ht="15" customHeight="1" x14ac:dyDescent="0.45">
      <c r="A138" s="137">
        <v>134</v>
      </c>
      <c r="B138" s="116" t="s">
        <v>5241</v>
      </c>
      <c r="C138" s="141" t="s">
        <v>1578</v>
      </c>
      <c r="D138" s="141" t="s">
        <v>5246</v>
      </c>
      <c r="E138" s="142" t="s">
        <v>65</v>
      </c>
      <c r="F138" s="143">
        <v>42866</v>
      </c>
      <c r="G138" s="119">
        <f ca="1">IF(ISBLANK(I138),TODAY()-F138,I138-F138)</f>
        <v>0</v>
      </c>
      <c r="H138" s="144" t="s">
        <v>5003</v>
      </c>
      <c r="I138" s="145">
        <v>42866</v>
      </c>
      <c r="J138" s="122" t="s">
        <v>5051</v>
      </c>
    </row>
    <row r="139" spans="1:10" ht="15" customHeight="1" x14ac:dyDescent="0.45">
      <c r="A139" s="137">
        <v>135</v>
      </c>
      <c r="B139" s="116" t="s">
        <v>5241</v>
      </c>
      <c r="C139" s="141" t="s">
        <v>1581</v>
      </c>
      <c r="D139" s="141" t="s">
        <v>5247</v>
      </c>
      <c r="E139" s="142" t="s">
        <v>65</v>
      </c>
      <c r="F139" s="143">
        <v>42866</v>
      </c>
      <c r="G139" s="119">
        <f ca="1">IF(ISBLANK(I139),TODAY()-F139,I139-F139)</f>
        <v>0</v>
      </c>
      <c r="H139" s="144" t="s">
        <v>5003</v>
      </c>
      <c r="I139" s="145">
        <v>42866</v>
      </c>
      <c r="J139" s="122" t="s">
        <v>5051</v>
      </c>
    </row>
    <row r="140" spans="1:10" ht="15" customHeight="1" x14ac:dyDescent="0.45">
      <c r="A140" s="137">
        <v>136</v>
      </c>
      <c r="B140" s="116" t="s">
        <v>5241</v>
      </c>
      <c r="C140" s="141" t="s">
        <v>1584</v>
      </c>
      <c r="D140" s="141" t="s">
        <v>5248</v>
      </c>
      <c r="E140" s="142" t="s">
        <v>65</v>
      </c>
      <c r="F140" s="143">
        <v>42866</v>
      </c>
      <c r="G140" s="119">
        <f ca="1">IF(ISBLANK(I140),TODAY()-F140,I140-F140)</f>
        <v>0</v>
      </c>
      <c r="H140" s="144" t="s">
        <v>5003</v>
      </c>
      <c r="I140" s="145">
        <v>42866</v>
      </c>
      <c r="J140" s="122" t="s">
        <v>5051</v>
      </c>
    </row>
    <row r="141" spans="1:10" ht="15" customHeight="1" x14ac:dyDescent="0.45">
      <c r="A141" s="137">
        <v>137</v>
      </c>
      <c r="B141" s="116" t="s">
        <v>5241</v>
      </c>
      <c r="C141" s="141" t="s">
        <v>1587</v>
      </c>
      <c r="D141" s="141" t="s">
        <v>5249</v>
      </c>
      <c r="E141" s="142" t="s">
        <v>65</v>
      </c>
      <c r="F141" s="143">
        <v>42866</v>
      </c>
      <c r="G141" s="119">
        <f ca="1">IF(ISBLANK(I141),TODAY()-F141,I141-F141)</f>
        <v>0</v>
      </c>
      <c r="H141" s="144" t="s">
        <v>5003</v>
      </c>
      <c r="I141" s="145">
        <v>42866</v>
      </c>
      <c r="J141" s="122" t="s">
        <v>5051</v>
      </c>
    </row>
    <row r="142" spans="1:10" ht="15" customHeight="1" x14ac:dyDescent="0.45">
      <c r="A142" s="137">
        <v>138</v>
      </c>
      <c r="B142" s="116" t="s">
        <v>5241</v>
      </c>
      <c r="C142" s="141" t="s">
        <v>1590</v>
      </c>
      <c r="D142" s="141" t="s">
        <v>5250</v>
      </c>
      <c r="E142" s="142" t="s">
        <v>65</v>
      </c>
      <c r="F142" s="143">
        <v>42866</v>
      </c>
      <c r="G142" s="119">
        <f ca="1">IF(ISBLANK(I142),TODAY()-F142,I142-F142)</f>
        <v>0</v>
      </c>
      <c r="H142" s="144" t="s">
        <v>5003</v>
      </c>
      <c r="I142" s="145">
        <v>42866</v>
      </c>
      <c r="J142" s="122" t="s">
        <v>5051</v>
      </c>
    </row>
    <row r="143" spans="1:10" ht="15" customHeight="1" x14ac:dyDescent="0.45">
      <c r="A143" s="137">
        <v>139</v>
      </c>
      <c r="B143" s="116" t="s">
        <v>5241</v>
      </c>
      <c r="C143" s="141" t="s">
        <v>1593</v>
      </c>
      <c r="D143" s="141" t="s">
        <v>5251</v>
      </c>
      <c r="E143" s="142" t="s">
        <v>65</v>
      </c>
      <c r="F143" s="146">
        <v>42866</v>
      </c>
      <c r="G143" s="119">
        <f ca="1">IF(ISBLANK(I143),TODAY()-F143,I143-F143)</f>
        <v>0</v>
      </c>
      <c r="H143" s="144" t="s">
        <v>5003</v>
      </c>
      <c r="I143" s="145">
        <v>42866</v>
      </c>
      <c r="J143" s="122" t="s">
        <v>5051</v>
      </c>
    </row>
    <row r="144" spans="1:10" ht="15" customHeight="1" x14ac:dyDescent="0.45">
      <c r="A144" s="137">
        <v>140</v>
      </c>
      <c r="B144" s="116" t="s">
        <v>5241</v>
      </c>
      <c r="C144" s="141" t="s">
        <v>1599</v>
      </c>
      <c r="D144" s="141" t="s">
        <v>5252</v>
      </c>
      <c r="E144" s="142" t="s">
        <v>65</v>
      </c>
      <c r="F144" s="143">
        <v>42866</v>
      </c>
      <c r="G144" s="119">
        <f ca="1">IF(ISBLANK(I144),TODAY()-F144,I144-F144)</f>
        <v>0</v>
      </c>
      <c r="H144" s="144" t="s">
        <v>5003</v>
      </c>
      <c r="I144" s="145">
        <v>42866</v>
      </c>
      <c r="J144" s="122" t="s">
        <v>5051</v>
      </c>
    </row>
    <row r="145" spans="1:10" ht="15" customHeight="1" x14ac:dyDescent="0.45">
      <c r="A145" s="137">
        <v>141</v>
      </c>
      <c r="B145" s="118" t="s">
        <v>5253</v>
      </c>
      <c r="C145" s="116" t="s">
        <v>1380</v>
      </c>
      <c r="D145" s="116" t="s">
        <v>1382</v>
      </c>
      <c r="E145" s="115" t="s">
        <v>65</v>
      </c>
      <c r="F145" s="143">
        <v>42872</v>
      </c>
      <c r="G145" s="119">
        <f ca="1">IF(ISBLANK(I145),TODAY()-F145,I145-F145)</f>
        <v>34</v>
      </c>
      <c r="H145" s="147" t="s">
        <v>5062</v>
      </c>
      <c r="I145" s="127">
        <v>42906</v>
      </c>
      <c r="J145" s="122" t="s">
        <v>5113</v>
      </c>
    </row>
    <row r="146" spans="1:10" ht="15" customHeight="1" x14ac:dyDescent="0.45">
      <c r="A146" s="137">
        <v>142</v>
      </c>
      <c r="B146" s="118" t="s">
        <v>5253</v>
      </c>
      <c r="C146" s="116" t="s">
        <v>1420</v>
      </c>
      <c r="D146" s="116" t="s">
        <v>1422</v>
      </c>
      <c r="E146" s="115" t="s">
        <v>65</v>
      </c>
      <c r="F146" s="143">
        <v>42872</v>
      </c>
      <c r="G146" s="119">
        <f ca="1">IF(ISBLANK(I146),TODAY()-F146,I146-F146)</f>
        <v>34</v>
      </c>
      <c r="H146" s="147" t="s">
        <v>5062</v>
      </c>
      <c r="I146" s="127">
        <v>42906</v>
      </c>
      <c r="J146" s="122" t="s">
        <v>5113</v>
      </c>
    </row>
    <row r="147" spans="1:10" ht="15" customHeight="1" x14ac:dyDescent="0.45">
      <c r="A147" s="137">
        <v>143</v>
      </c>
      <c r="B147" s="118" t="s">
        <v>5254</v>
      </c>
      <c r="C147" s="116" t="s">
        <v>5255</v>
      </c>
      <c r="D147" s="116" t="s">
        <v>5256</v>
      </c>
      <c r="E147" s="115" t="s">
        <v>65</v>
      </c>
      <c r="F147" s="143">
        <v>42872</v>
      </c>
      <c r="G147" s="119">
        <f ca="1">IF(ISBLANK(I147),TODAY()-F147,I147-F147)</f>
        <v>20</v>
      </c>
      <c r="H147" s="126" t="s">
        <v>5003</v>
      </c>
      <c r="I147" s="127">
        <v>42892</v>
      </c>
      <c r="J147" s="122" t="s">
        <v>5051</v>
      </c>
    </row>
    <row r="148" spans="1:10" ht="15" customHeight="1" x14ac:dyDescent="0.45">
      <c r="A148" s="137">
        <v>144</v>
      </c>
      <c r="B148" s="118" t="s">
        <v>5254</v>
      </c>
      <c r="C148" s="116" t="s">
        <v>5257</v>
      </c>
      <c r="D148" s="116" t="s">
        <v>5258</v>
      </c>
      <c r="E148" s="115" t="s">
        <v>65</v>
      </c>
      <c r="F148" s="143">
        <v>42872</v>
      </c>
      <c r="G148" s="119">
        <f ca="1">IF(ISBLANK(I148),TODAY()-F148,I148-F148)</f>
        <v>20</v>
      </c>
      <c r="H148" s="126" t="s">
        <v>5003</v>
      </c>
      <c r="I148" s="127">
        <v>42892</v>
      </c>
      <c r="J148" s="122" t="s">
        <v>5051</v>
      </c>
    </row>
    <row r="149" spans="1:10" ht="15" customHeight="1" x14ac:dyDescent="0.45">
      <c r="A149" s="137">
        <v>145</v>
      </c>
      <c r="B149" s="118" t="s">
        <v>5254</v>
      </c>
      <c r="C149" s="116" t="s">
        <v>5259</v>
      </c>
      <c r="D149" s="116" t="s">
        <v>5260</v>
      </c>
      <c r="E149" s="115" t="s">
        <v>65</v>
      </c>
      <c r="F149" s="143">
        <v>42872</v>
      </c>
      <c r="G149" s="119">
        <f ca="1">IF(ISBLANK(I149),TODAY()-F149,I149-F149)</f>
        <v>20</v>
      </c>
      <c r="H149" s="126" t="s">
        <v>5002</v>
      </c>
      <c r="I149" s="127">
        <v>42892</v>
      </c>
      <c r="J149" s="122" t="s">
        <v>5051</v>
      </c>
    </row>
    <row r="150" spans="1:10" ht="15" customHeight="1" x14ac:dyDescent="0.45">
      <c r="A150" s="137">
        <v>146</v>
      </c>
      <c r="B150" s="118" t="s">
        <v>5254</v>
      </c>
      <c r="C150" s="116" t="s">
        <v>5261</v>
      </c>
      <c r="D150" s="116" t="s">
        <v>5262</v>
      </c>
      <c r="E150" s="115" t="s">
        <v>65</v>
      </c>
      <c r="F150" s="143">
        <v>42872</v>
      </c>
      <c r="G150" s="119">
        <f ca="1">IF(ISBLANK(I150),TODAY()-F150,I150-F150)</f>
        <v>20</v>
      </c>
      <c r="H150" s="126" t="s">
        <v>5002</v>
      </c>
      <c r="I150" s="127">
        <v>42892</v>
      </c>
      <c r="J150" s="122" t="s">
        <v>5051</v>
      </c>
    </row>
    <row r="151" spans="1:10" ht="15" customHeight="1" x14ac:dyDescent="0.45">
      <c r="A151" s="137">
        <v>147</v>
      </c>
      <c r="B151" s="118" t="s">
        <v>5254</v>
      </c>
      <c r="C151" s="116" t="s">
        <v>5263</v>
      </c>
      <c r="D151" s="116" t="s">
        <v>5264</v>
      </c>
      <c r="E151" s="115" t="s">
        <v>65</v>
      </c>
      <c r="F151" s="143">
        <v>42872</v>
      </c>
      <c r="G151" s="119">
        <f ca="1">IF(ISBLANK(I151),TODAY()-F151,I151-F151)</f>
        <v>20</v>
      </c>
      <c r="H151" s="126" t="s">
        <v>5003</v>
      </c>
      <c r="I151" s="127">
        <v>42892</v>
      </c>
      <c r="J151" s="122" t="s">
        <v>5051</v>
      </c>
    </row>
    <row r="152" spans="1:10" ht="15" customHeight="1" x14ac:dyDescent="0.45">
      <c r="A152" s="137">
        <v>148</v>
      </c>
      <c r="B152" s="118" t="s">
        <v>5254</v>
      </c>
      <c r="C152" s="116" t="s">
        <v>5265</v>
      </c>
      <c r="D152" s="116" t="s">
        <v>2133</v>
      </c>
      <c r="E152" s="115" t="s">
        <v>65</v>
      </c>
      <c r="F152" s="143">
        <v>42872</v>
      </c>
      <c r="G152" s="119">
        <f ca="1">IF(ISBLANK(I152),TODAY()-F152,I152-F152)</f>
        <v>20</v>
      </c>
      <c r="H152" s="126" t="s">
        <v>5003</v>
      </c>
      <c r="I152" s="127">
        <v>42892</v>
      </c>
      <c r="J152" s="122" t="s">
        <v>5051</v>
      </c>
    </row>
    <row r="153" spans="1:10" ht="15" customHeight="1" x14ac:dyDescent="0.45">
      <c r="A153" s="137">
        <v>149</v>
      </c>
      <c r="B153" s="118" t="s">
        <v>5254</v>
      </c>
      <c r="C153" s="116" t="s">
        <v>5266</v>
      </c>
      <c r="D153" s="116" t="s">
        <v>5267</v>
      </c>
      <c r="E153" s="115" t="s">
        <v>65</v>
      </c>
      <c r="F153" s="143">
        <v>42872</v>
      </c>
      <c r="G153" s="119">
        <f ca="1">IF(ISBLANK(I153),TODAY()-F153,I153-F153)</f>
        <v>20</v>
      </c>
      <c r="H153" s="126" t="s">
        <v>5002</v>
      </c>
      <c r="I153" s="127">
        <v>42892</v>
      </c>
      <c r="J153" s="122" t="s">
        <v>5051</v>
      </c>
    </row>
    <row r="154" spans="1:10" ht="15" customHeight="1" x14ac:dyDescent="0.45">
      <c r="A154" s="137">
        <v>150</v>
      </c>
      <c r="B154" s="118" t="s">
        <v>5254</v>
      </c>
      <c r="C154" s="116" t="s">
        <v>5268</v>
      </c>
      <c r="D154" s="116" t="s">
        <v>5269</v>
      </c>
      <c r="E154" s="115" t="s">
        <v>65</v>
      </c>
      <c r="F154" s="143">
        <v>42872</v>
      </c>
      <c r="G154" s="119">
        <f ca="1">IF(ISBLANK(I154),TODAY()-F154,I154-F154)</f>
        <v>20</v>
      </c>
      <c r="H154" s="126" t="s">
        <v>5002</v>
      </c>
      <c r="I154" s="127">
        <v>42892</v>
      </c>
      <c r="J154" s="122" t="s">
        <v>5051</v>
      </c>
    </row>
    <row r="155" spans="1:10" ht="15" customHeight="1" x14ac:dyDescent="0.45">
      <c r="A155" s="137">
        <v>151</v>
      </c>
      <c r="B155" s="118" t="s">
        <v>5254</v>
      </c>
      <c r="C155" s="116" t="s">
        <v>5270</v>
      </c>
      <c r="D155" s="116" t="s">
        <v>5271</v>
      </c>
      <c r="E155" s="115" t="s">
        <v>65</v>
      </c>
      <c r="F155" s="143">
        <v>42872</v>
      </c>
      <c r="G155" s="119">
        <f ca="1">IF(ISBLANK(I155),TODAY()-F155,I155-F155)</f>
        <v>20</v>
      </c>
      <c r="H155" s="126" t="s">
        <v>5003</v>
      </c>
      <c r="I155" s="127">
        <v>42892</v>
      </c>
      <c r="J155" s="122" t="s">
        <v>5051</v>
      </c>
    </row>
    <row r="156" spans="1:10" ht="15" customHeight="1" x14ac:dyDescent="0.45">
      <c r="A156" s="137">
        <v>152</v>
      </c>
      <c r="B156" s="118" t="s">
        <v>5254</v>
      </c>
      <c r="C156" s="116" t="s">
        <v>5272</v>
      </c>
      <c r="D156" s="116" t="s">
        <v>5273</v>
      </c>
      <c r="E156" s="115" t="s">
        <v>65</v>
      </c>
      <c r="F156" s="143">
        <v>42872</v>
      </c>
      <c r="G156" s="119">
        <f ca="1">IF(ISBLANK(I156),TODAY()-F156,I156-F156)</f>
        <v>20</v>
      </c>
      <c r="H156" s="126" t="s">
        <v>5003</v>
      </c>
      <c r="I156" s="127">
        <v>42892</v>
      </c>
      <c r="J156" s="122" t="s">
        <v>5051</v>
      </c>
    </row>
    <row r="157" spans="1:10" ht="15" customHeight="1" x14ac:dyDescent="0.45">
      <c r="A157" s="137">
        <v>153</v>
      </c>
      <c r="B157" s="118" t="s">
        <v>5254</v>
      </c>
      <c r="C157" s="116" t="s">
        <v>5274</v>
      </c>
      <c r="D157" s="116" t="s">
        <v>5275</v>
      </c>
      <c r="E157" s="115" t="s">
        <v>65</v>
      </c>
      <c r="F157" s="143">
        <v>42872</v>
      </c>
      <c r="G157" s="119">
        <f ca="1">IF(ISBLANK(I157),TODAY()-F157,I157-F157)</f>
        <v>20</v>
      </c>
      <c r="H157" s="126" t="s">
        <v>5002</v>
      </c>
      <c r="I157" s="127">
        <v>42892</v>
      </c>
      <c r="J157" s="122" t="s">
        <v>5051</v>
      </c>
    </row>
    <row r="158" spans="1:10" ht="15" customHeight="1" x14ac:dyDescent="0.45">
      <c r="A158" s="137">
        <v>154</v>
      </c>
      <c r="B158" s="118" t="s">
        <v>5276</v>
      </c>
      <c r="C158" s="116" t="s">
        <v>1395</v>
      </c>
      <c r="D158" s="116" t="s">
        <v>1397</v>
      </c>
      <c r="E158" s="115" t="s">
        <v>65</v>
      </c>
      <c r="F158" s="143">
        <v>42872</v>
      </c>
      <c r="G158" s="119">
        <f ca="1">IF(ISBLANK(I158),TODAY()-F158,I158-F158)</f>
        <v>51</v>
      </c>
      <c r="H158" s="126" t="s">
        <v>5062</v>
      </c>
      <c r="I158" s="127">
        <v>42923</v>
      </c>
      <c r="J158" s="122" t="s">
        <v>5051</v>
      </c>
    </row>
    <row r="159" spans="1:10" ht="15" customHeight="1" x14ac:dyDescent="0.45">
      <c r="A159" s="137">
        <v>155</v>
      </c>
      <c r="B159" s="118" t="s">
        <v>5276</v>
      </c>
      <c r="C159" s="116" t="s">
        <v>1435</v>
      </c>
      <c r="D159" s="116" t="s">
        <v>1437</v>
      </c>
      <c r="E159" s="115" t="s">
        <v>65</v>
      </c>
      <c r="F159" s="143">
        <v>42872</v>
      </c>
      <c r="G159" s="119">
        <f ca="1">IF(ISBLANK(I159),TODAY()-F159,I159-F159)</f>
        <v>51</v>
      </c>
      <c r="H159" s="126" t="s">
        <v>5062</v>
      </c>
      <c r="I159" s="127">
        <v>42923</v>
      </c>
      <c r="J159" s="122" t="s">
        <v>5051</v>
      </c>
    </row>
    <row r="160" spans="1:10" ht="15" customHeight="1" x14ac:dyDescent="0.45">
      <c r="A160" s="137">
        <v>156</v>
      </c>
      <c r="B160" s="118" t="s">
        <v>5277</v>
      </c>
      <c r="C160" s="116" t="s">
        <v>1868</v>
      </c>
      <c r="D160" s="116" t="s">
        <v>5278</v>
      </c>
      <c r="E160" s="115" t="s">
        <v>65</v>
      </c>
      <c r="F160" s="143">
        <v>42872</v>
      </c>
      <c r="G160" s="119">
        <f ca="1">IF(ISBLANK(I160),TODAY()-F160,I160-F160)</f>
        <v>28</v>
      </c>
      <c r="H160" s="148" t="s">
        <v>160</v>
      </c>
      <c r="I160" s="149">
        <v>42900</v>
      </c>
      <c r="J160" s="122" t="s">
        <v>5051</v>
      </c>
    </row>
    <row r="161" spans="1:10" ht="15" customHeight="1" x14ac:dyDescent="0.45">
      <c r="A161" s="137">
        <v>157</v>
      </c>
      <c r="B161" s="118" t="s">
        <v>5279</v>
      </c>
      <c r="C161" s="116" t="s">
        <v>542</v>
      </c>
      <c r="D161" s="116" t="s">
        <v>544</v>
      </c>
      <c r="E161" s="115" t="s">
        <v>65</v>
      </c>
      <c r="F161" s="143">
        <v>42872</v>
      </c>
      <c r="G161" s="119">
        <f ca="1">IF(ISBLANK(I161),TODAY()-F161,I161-F161)</f>
        <v>28</v>
      </c>
      <c r="H161" s="148" t="s">
        <v>65</v>
      </c>
      <c r="I161" s="149">
        <v>42900</v>
      </c>
      <c r="J161" s="150" t="s">
        <v>5160</v>
      </c>
    </row>
    <row r="162" spans="1:10" ht="15" customHeight="1" x14ac:dyDescent="0.45">
      <c r="A162" s="137">
        <v>158</v>
      </c>
      <c r="B162" s="118" t="s">
        <v>5279</v>
      </c>
      <c r="C162" s="116" t="s">
        <v>545</v>
      </c>
      <c r="D162" s="116" t="s">
        <v>547</v>
      </c>
      <c r="E162" s="115" t="s">
        <v>65</v>
      </c>
      <c r="F162" s="143">
        <v>42872</v>
      </c>
      <c r="G162" s="119">
        <f ca="1">IF(ISBLANK(I162),TODAY()-F162,I162-F162)</f>
        <v>28</v>
      </c>
      <c r="H162" s="148" t="s">
        <v>164</v>
      </c>
      <c r="I162" s="149">
        <v>42900</v>
      </c>
      <c r="J162" s="150" t="s">
        <v>5160</v>
      </c>
    </row>
    <row r="163" spans="1:10" ht="15" customHeight="1" x14ac:dyDescent="0.45">
      <c r="A163" s="137">
        <v>159</v>
      </c>
      <c r="B163" s="118" t="s">
        <v>5279</v>
      </c>
      <c r="C163" s="116" t="s">
        <v>549</v>
      </c>
      <c r="D163" s="116" t="s">
        <v>551</v>
      </c>
      <c r="E163" s="115" t="s">
        <v>65</v>
      </c>
      <c r="F163" s="143">
        <v>42872</v>
      </c>
      <c r="G163" s="119">
        <f ca="1">IF(ISBLANK(I163),TODAY()-F163,I163-F163)</f>
        <v>28</v>
      </c>
      <c r="H163" s="148" t="s">
        <v>5002</v>
      </c>
      <c r="I163" s="149">
        <v>42900</v>
      </c>
      <c r="J163" s="150" t="s">
        <v>5160</v>
      </c>
    </row>
    <row r="164" spans="1:10" ht="15" customHeight="1" x14ac:dyDescent="0.45">
      <c r="A164" s="137">
        <v>160</v>
      </c>
      <c r="B164" s="118" t="s">
        <v>5279</v>
      </c>
      <c r="C164" s="116" t="s">
        <v>554</v>
      </c>
      <c r="D164" s="116" t="s">
        <v>556</v>
      </c>
      <c r="E164" s="115" t="s">
        <v>65</v>
      </c>
      <c r="F164" s="143">
        <v>42872</v>
      </c>
      <c r="G164" s="119">
        <f ca="1">IF(ISBLANK(I164),TODAY()-F164,I164-F164)</f>
        <v>28</v>
      </c>
      <c r="H164" s="148" t="s">
        <v>5003</v>
      </c>
      <c r="I164" s="149">
        <v>42900</v>
      </c>
      <c r="J164" s="150" t="s">
        <v>5160</v>
      </c>
    </row>
    <row r="165" spans="1:10" ht="15" customHeight="1" x14ac:dyDescent="0.45">
      <c r="A165" s="137">
        <v>161</v>
      </c>
      <c r="B165" s="118" t="s">
        <v>5279</v>
      </c>
      <c r="C165" s="116" t="s">
        <v>557</v>
      </c>
      <c r="D165" s="116" t="s">
        <v>559</v>
      </c>
      <c r="E165" s="115" t="s">
        <v>65</v>
      </c>
      <c r="F165" s="143">
        <v>42872</v>
      </c>
      <c r="G165" s="119">
        <f ca="1">IF(ISBLANK(I165),TODAY()-F165,I165-F165)</f>
        <v>28</v>
      </c>
      <c r="H165" s="148" t="s">
        <v>65</v>
      </c>
      <c r="I165" s="149">
        <v>42900</v>
      </c>
      <c r="J165" s="150" t="s">
        <v>5160</v>
      </c>
    </row>
    <row r="166" spans="1:10" ht="15" customHeight="1" x14ac:dyDescent="0.45">
      <c r="A166" s="137">
        <v>162</v>
      </c>
      <c r="B166" s="118" t="s">
        <v>5279</v>
      </c>
      <c r="C166" s="116" t="s">
        <v>560</v>
      </c>
      <c r="D166" s="116" t="s">
        <v>562</v>
      </c>
      <c r="E166" s="115" t="s">
        <v>65</v>
      </c>
      <c r="F166" s="143">
        <v>42872</v>
      </c>
      <c r="G166" s="119">
        <f ca="1">IF(ISBLANK(I166),TODAY()-F166,I166-F166)</f>
        <v>28</v>
      </c>
      <c r="H166" s="148" t="s">
        <v>65</v>
      </c>
      <c r="I166" s="149">
        <v>42900</v>
      </c>
      <c r="J166" s="150" t="s">
        <v>5160</v>
      </c>
    </row>
    <row r="167" spans="1:10" ht="15" customHeight="1" x14ac:dyDescent="0.45">
      <c r="A167" s="137">
        <v>163</v>
      </c>
      <c r="B167" s="118" t="s">
        <v>5280</v>
      </c>
      <c r="C167" s="116" t="s">
        <v>643</v>
      </c>
      <c r="D167" s="116" t="s">
        <v>645</v>
      </c>
      <c r="E167" s="115" t="s">
        <v>65</v>
      </c>
      <c r="F167" s="151">
        <v>42874</v>
      </c>
      <c r="G167" s="119">
        <f ca="1">IF(ISBLANK(I167),TODAY()-F167,I167-F167)</f>
        <v>26</v>
      </c>
      <c r="H167" s="148" t="s">
        <v>65</v>
      </c>
      <c r="I167" s="149">
        <v>42900</v>
      </c>
      <c r="J167" s="150" t="s">
        <v>5160</v>
      </c>
    </row>
    <row r="168" spans="1:10" ht="15" customHeight="1" x14ac:dyDescent="0.45">
      <c r="A168" s="137">
        <v>164</v>
      </c>
      <c r="B168" s="118" t="s">
        <v>5280</v>
      </c>
      <c r="C168" s="116" t="s">
        <v>648</v>
      </c>
      <c r="D168" s="116" t="s">
        <v>650</v>
      </c>
      <c r="E168" s="115" t="s">
        <v>65</v>
      </c>
      <c r="F168" s="151">
        <v>42874</v>
      </c>
      <c r="G168" s="119">
        <f ca="1">IF(ISBLANK(I168),TODAY()-F168,I168-F168)</f>
        <v>26</v>
      </c>
      <c r="H168" s="148" t="s">
        <v>65</v>
      </c>
      <c r="I168" s="149">
        <v>42900</v>
      </c>
      <c r="J168" s="150" t="s">
        <v>5160</v>
      </c>
    </row>
    <row r="169" spans="1:10" ht="15" customHeight="1" x14ac:dyDescent="0.45">
      <c r="A169" s="137">
        <v>165</v>
      </c>
      <c r="B169" s="118" t="s">
        <v>5280</v>
      </c>
      <c r="C169" s="116" t="s">
        <v>653</v>
      </c>
      <c r="D169" s="116" t="s">
        <v>655</v>
      </c>
      <c r="E169" s="115" t="s">
        <v>65</v>
      </c>
      <c r="F169" s="151">
        <v>42874</v>
      </c>
      <c r="G169" s="119">
        <f ca="1">IF(ISBLANK(I169),TODAY()-F169,I169-F169)</f>
        <v>26</v>
      </c>
      <c r="H169" s="148" t="s">
        <v>2702</v>
      </c>
      <c r="I169" s="149">
        <v>42900</v>
      </c>
      <c r="J169" s="150" t="s">
        <v>5160</v>
      </c>
    </row>
    <row r="170" spans="1:10" ht="15" customHeight="1" x14ac:dyDescent="0.45">
      <c r="A170" s="137">
        <v>166</v>
      </c>
      <c r="B170" s="118" t="s">
        <v>5280</v>
      </c>
      <c r="C170" s="116" t="s">
        <v>673</v>
      </c>
      <c r="D170" s="116" t="s">
        <v>675</v>
      </c>
      <c r="E170" s="115" t="s">
        <v>65</v>
      </c>
      <c r="F170" s="151">
        <v>42874</v>
      </c>
      <c r="G170" s="119">
        <f ca="1">IF(ISBLANK(I170),TODAY()-F170,I170-F170)</f>
        <v>10</v>
      </c>
      <c r="H170" s="132" t="s">
        <v>164</v>
      </c>
      <c r="I170" s="133">
        <v>42884</v>
      </c>
      <c r="J170" s="134" t="s">
        <v>5160</v>
      </c>
    </row>
    <row r="171" spans="1:10" ht="15" customHeight="1" x14ac:dyDescent="0.45">
      <c r="A171" s="137">
        <v>167</v>
      </c>
      <c r="B171" s="118" t="s">
        <v>5281</v>
      </c>
      <c r="C171" s="116" t="s">
        <v>1807</v>
      </c>
      <c r="D171" s="116" t="s">
        <v>1809</v>
      </c>
      <c r="E171" s="115" t="s">
        <v>65</v>
      </c>
      <c r="F171" s="151">
        <v>42874</v>
      </c>
      <c r="G171" s="119">
        <f ca="1">IF(ISBLANK(I171),TODAY()-F171,I171-F171)</f>
        <v>26</v>
      </c>
      <c r="H171" s="148" t="s">
        <v>2702</v>
      </c>
      <c r="I171" s="149">
        <v>42900</v>
      </c>
      <c r="J171" s="134" t="s">
        <v>5160</v>
      </c>
    </row>
    <row r="172" spans="1:10" ht="15" customHeight="1" x14ac:dyDescent="0.45">
      <c r="A172" s="137">
        <v>168</v>
      </c>
      <c r="B172" s="118" t="s">
        <v>5281</v>
      </c>
      <c r="C172" s="116" t="s">
        <v>2682</v>
      </c>
      <c r="D172" s="116" t="s">
        <v>1811</v>
      </c>
      <c r="E172" s="115" t="s">
        <v>65</v>
      </c>
      <c r="F172" s="151">
        <v>42874</v>
      </c>
      <c r="G172" s="119">
        <f ca="1">IF(ISBLANK(I172),TODAY()-F172,I172-F172)</f>
        <v>26</v>
      </c>
      <c r="H172" s="148" t="s">
        <v>2702</v>
      </c>
      <c r="I172" s="149">
        <v>42900</v>
      </c>
      <c r="J172" s="134" t="s">
        <v>5160</v>
      </c>
    </row>
    <row r="173" spans="1:10" ht="15" customHeight="1" x14ac:dyDescent="0.45">
      <c r="A173" s="137">
        <v>169</v>
      </c>
      <c r="B173" s="118" t="s">
        <v>5281</v>
      </c>
      <c r="C173" s="116" t="s">
        <v>1871</v>
      </c>
      <c r="D173" s="116" t="s">
        <v>1873</v>
      </c>
      <c r="E173" s="115" t="s">
        <v>65</v>
      </c>
      <c r="F173" s="151">
        <v>42874</v>
      </c>
      <c r="G173" s="119">
        <f ca="1">IF(ISBLANK(I173),TODAY()-F173,I173-F173)</f>
        <v>26</v>
      </c>
      <c r="H173" s="148" t="s">
        <v>160</v>
      </c>
      <c r="I173" s="149">
        <v>42900</v>
      </c>
      <c r="J173" s="134" t="s">
        <v>5160</v>
      </c>
    </row>
    <row r="174" spans="1:10" ht="15" customHeight="1" x14ac:dyDescent="0.45">
      <c r="A174" s="137">
        <v>170</v>
      </c>
      <c r="B174" s="118" t="s">
        <v>5282</v>
      </c>
      <c r="C174" s="116" t="s">
        <v>1306</v>
      </c>
      <c r="D174" s="116" t="s">
        <v>1308</v>
      </c>
      <c r="E174" s="115" t="s">
        <v>65</v>
      </c>
      <c r="F174" s="151">
        <v>42874</v>
      </c>
      <c r="G174" s="119">
        <f ca="1">IF(ISBLANK(I174),TODAY()-F174,I174-F174)</f>
        <v>19</v>
      </c>
      <c r="H174" s="124" t="s">
        <v>5004</v>
      </c>
      <c r="I174" s="127">
        <v>42893</v>
      </c>
      <c r="J174" s="134" t="s">
        <v>5160</v>
      </c>
    </row>
    <row r="175" spans="1:10" ht="15" customHeight="1" x14ac:dyDescent="0.45">
      <c r="A175" s="137">
        <v>171</v>
      </c>
      <c r="B175" s="118" t="s">
        <v>5282</v>
      </c>
      <c r="C175" s="116" t="s">
        <v>1310</v>
      </c>
      <c r="D175" s="116" t="s">
        <v>1312</v>
      </c>
      <c r="E175" s="115" t="s">
        <v>65</v>
      </c>
      <c r="F175" s="151">
        <v>42874</v>
      </c>
      <c r="G175" s="119">
        <f ca="1">IF(ISBLANK(I175),TODAY()-F175,I175-F175)</f>
        <v>19</v>
      </c>
      <c r="H175" s="124" t="s">
        <v>5004</v>
      </c>
      <c r="I175" s="127">
        <v>42893</v>
      </c>
      <c r="J175" s="134" t="s">
        <v>5160</v>
      </c>
    </row>
    <row r="176" spans="1:10" ht="15" customHeight="1" x14ac:dyDescent="0.45">
      <c r="A176" s="137">
        <v>172</v>
      </c>
      <c r="B176" s="118" t="s">
        <v>5282</v>
      </c>
      <c r="C176" s="116" t="s">
        <v>1324</v>
      </c>
      <c r="D176" s="116" t="s">
        <v>1326</v>
      </c>
      <c r="E176" s="115" t="s">
        <v>65</v>
      </c>
      <c r="F176" s="151">
        <v>42874</v>
      </c>
      <c r="G176" s="119">
        <f ca="1">IF(ISBLANK(I176),TODAY()-F176,I176-F176)</f>
        <v>19</v>
      </c>
      <c r="H176" s="124" t="s">
        <v>5004</v>
      </c>
      <c r="I176" s="127">
        <v>42893</v>
      </c>
      <c r="J176" s="134" t="s">
        <v>5160</v>
      </c>
    </row>
    <row r="177" spans="1:10" ht="15" customHeight="1" x14ac:dyDescent="0.45">
      <c r="A177" s="137">
        <v>173</v>
      </c>
      <c r="B177" s="118" t="s">
        <v>5282</v>
      </c>
      <c r="C177" s="116" t="s">
        <v>1328</v>
      </c>
      <c r="D177" s="116" t="s">
        <v>1330</v>
      </c>
      <c r="E177" s="115" t="s">
        <v>65</v>
      </c>
      <c r="F177" s="151">
        <v>42874</v>
      </c>
      <c r="G177" s="119">
        <f ca="1">IF(ISBLANK(I177),TODAY()-F177,I177-F177)</f>
        <v>19</v>
      </c>
      <c r="H177" s="124" t="s">
        <v>5004</v>
      </c>
      <c r="I177" s="127">
        <v>42893</v>
      </c>
      <c r="J177" s="134" t="s">
        <v>5160</v>
      </c>
    </row>
    <row r="178" spans="1:10" ht="15" customHeight="1" x14ac:dyDescent="0.45">
      <c r="A178" s="137">
        <v>174</v>
      </c>
      <c r="B178" s="118" t="s">
        <v>5282</v>
      </c>
      <c r="C178" s="116" t="s">
        <v>5283</v>
      </c>
      <c r="D178" s="116" t="s">
        <v>5284</v>
      </c>
      <c r="E178" s="115" t="s">
        <v>65</v>
      </c>
      <c r="F178" s="151">
        <v>42874</v>
      </c>
      <c r="G178" s="119">
        <f ca="1">IF(ISBLANK(I178),TODAY()-F178,I178-F178)</f>
        <v>19</v>
      </c>
      <c r="H178" s="124" t="s">
        <v>5004</v>
      </c>
      <c r="I178" s="127">
        <v>42893</v>
      </c>
      <c r="J178" s="134" t="s">
        <v>5160</v>
      </c>
    </row>
    <row r="179" spans="1:10" ht="15" customHeight="1" x14ac:dyDescent="0.45">
      <c r="A179" s="137">
        <v>175</v>
      </c>
      <c r="B179" s="118" t="s">
        <v>5282</v>
      </c>
      <c r="C179" s="116" t="s">
        <v>5285</v>
      </c>
      <c r="D179" s="116" t="s">
        <v>5286</v>
      </c>
      <c r="E179" s="115" t="s">
        <v>65</v>
      </c>
      <c r="F179" s="151">
        <v>42874</v>
      </c>
      <c r="G179" s="119">
        <f ca="1">IF(ISBLANK(I179),TODAY()-F179,I179-F179)</f>
        <v>19</v>
      </c>
      <c r="H179" s="124" t="s">
        <v>5004</v>
      </c>
      <c r="I179" s="127">
        <v>42893</v>
      </c>
      <c r="J179" s="134" t="s">
        <v>5160</v>
      </c>
    </row>
    <row r="180" spans="1:10" ht="15" customHeight="1" x14ac:dyDescent="0.45">
      <c r="A180" s="137">
        <v>176</v>
      </c>
      <c r="B180" s="118" t="s">
        <v>5282</v>
      </c>
      <c r="C180" s="116" t="s">
        <v>1346</v>
      </c>
      <c r="D180" s="116" t="s">
        <v>5287</v>
      </c>
      <c r="E180" s="115" t="s">
        <v>65</v>
      </c>
      <c r="F180" s="151">
        <v>42874</v>
      </c>
      <c r="G180" s="119">
        <f ca="1">IF(ISBLANK(I180),TODAY()-F180,I180-F180)</f>
        <v>19</v>
      </c>
      <c r="H180" s="124" t="s">
        <v>5004</v>
      </c>
      <c r="I180" s="127">
        <v>42893</v>
      </c>
      <c r="J180" s="134" t="s">
        <v>5160</v>
      </c>
    </row>
    <row r="181" spans="1:10" ht="15" customHeight="1" x14ac:dyDescent="0.45">
      <c r="A181" s="137">
        <v>177</v>
      </c>
      <c r="B181" s="118" t="s">
        <v>5282</v>
      </c>
      <c r="C181" s="116" t="s">
        <v>1365</v>
      </c>
      <c r="D181" s="116" t="s">
        <v>5288</v>
      </c>
      <c r="E181" s="115" t="s">
        <v>65</v>
      </c>
      <c r="F181" s="151">
        <v>42874</v>
      </c>
      <c r="G181" s="119">
        <f ca="1">IF(ISBLANK(I181),TODAY()-F181,I181-F181)</f>
        <v>19</v>
      </c>
      <c r="H181" s="124" t="s">
        <v>5004</v>
      </c>
      <c r="I181" s="127">
        <v>42893</v>
      </c>
      <c r="J181" s="134" t="s">
        <v>5160</v>
      </c>
    </row>
    <row r="182" spans="1:10" ht="15" customHeight="1" x14ac:dyDescent="0.45">
      <c r="A182" s="137">
        <v>178</v>
      </c>
      <c r="B182" s="118" t="s">
        <v>5282</v>
      </c>
      <c r="C182" s="116" t="s">
        <v>1392</v>
      </c>
      <c r="D182" s="116" t="s">
        <v>1394</v>
      </c>
      <c r="E182" s="115" t="s">
        <v>65</v>
      </c>
      <c r="F182" s="151">
        <v>42874</v>
      </c>
      <c r="G182" s="119">
        <f ca="1">IF(ISBLANK(I182),TODAY()-F182,I182-F182)</f>
        <v>49</v>
      </c>
      <c r="H182" s="126" t="s">
        <v>5062</v>
      </c>
      <c r="I182" s="127">
        <v>42923</v>
      </c>
      <c r="J182" s="122" t="s">
        <v>5051</v>
      </c>
    </row>
    <row r="183" spans="1:10" ht="15" customHeight="1" x14ac:dyDescent="0.45">
      <c r="A183" s="137">
        <v>179</v>
      </c>
      <c r="B183" s="118" t="s">
        <v>5282</v>
      </c>
      <c r="C183" s="116" t="s">
        <v>1432</v>
      </c>
      <c r="D183" s="116" t="s">
        <v>1434</v>
      </c>
      <c r="E183" s="115" t="s">
        <v>65</v>
      </c>
      <c r="F183" s="151">
        <v>42874</v>
      </c>
      <c r="G183" s="119">
        <f ca="1">IF(ISBLANK(I183),TODAY()-F183,I183-F183)</f>
        <v>49</v>
      </c>
      <c r="H183" s="126" t="s">
        <v>5062</v>
      </c>
      <c r="I183" s="127">
        <v>42923</v>
      </c>
      <c r="J183" s="122" t="s">
        <v>5051</v>
      </c>
    </row>
    <row r="184" spans="1:10" ht="15" customHeight="1" x14ac:dyDescent="0.45">
      <c r="A184" s="137">
        <v>180</v>
      </c>
      <c r="B184" s="118" t="s">
        <v>2027</v>
      </c>
      <c r="C184" s="116" t="s">
        <v>5098</v>
      </c>
      <c r="D184" s="116" t="s">
        <v>5099</v>
      </c>
      <c r="E184" s="115">
        <v>0</v>
      </c>
      <c r="F184" s="151">
        <v>42874</v>
      </c>
      <c r="G184" s="119">
        <f ca="1">IF(ISBLANK(I184),TODAY()-F184,I184-F184)</f>
        <v>12</v>
      </c>
      <c r="H184" s="126" t="s">
        <v>5227</v>
      </c>
      <c r="I184" s="127">
        <v>42886</v>
      </c>
      <c r="J184" s="122" t="s">
        <v>5113</v>
      </c>
    </row>
    <row r="185" spans="1:10" ht="15" customHeight="1" x14ac:dyDescent="0.45">
      <c r="A185" s="137">
        <v>181</v>
      </c>
      <c r="B185" s="118" t="s">
        <v>2027</v>
      </c>
      <c r="C185" s="116" t="s">
        <v>5100</v>
      </c>
      <c r="D185" s="116" t="s">
        <v>5101</v>
      </c>
      <c r="E185" s="115">
        <v>0</v>
      </c>
      <c r="F185" s="151">
        <v>42874</v>
      </c>
      <c r="G185" s="119">
        <f ca="1">IF(ISBLANK(I185),TODAY()-F185,I185-F185)</f>
        <v>12</v>
      </c>
      <c r="H185" s="126" t="s">
        <v>5227</v>
      </c>
      <c r="I185" s="127">
        <v>42886</v>
      </c>
      <c r="J185" s="122" t="s">
        <v>5113</v>
      </c>
    </row>
    <row r="186" spans="1:10" ht="15" customHeight="1" x14ac:dyDescent="0.45">
      <c r="A186" s="137">
        <v>182</v>
      </c>
      <c r="B186" s="118" t="s">
        <v>2027</v>
      </c>
      <c r="C186" s="116" t="s">
        <v>5104</v>
      </c>
      <c r="D186" s="116" t="s">
        <v>5105</v>
      </c>
      <c r="E186" s="115">
        <v>0</v>
      </c>
      <c r="F186" s="151">
        <v>42874</v>
      </c>
      <c r="G186" s="119">
        <f ca="1">IF(ISBLANK(I186),TODAY()-F186,I186-F186)</f>
        <v>12</v>
      </c>
      <c r="H186" s="126" t="s">
        <v>5227</v>
      </c>
      <c r="I186" s="127">
        <v>42886</v>
      </c>
      <c r="J186" s="122" t="s">
        <v>5113</v>
      </c>
    </row>
    <row r="187" spans="1:10" ht="15" customHeight="1" x14ac:dyDescent="0.45">
      <c r="A187" s="137">
        <v>183</v>
      </c>
      <c r="B187" s="118" t="s">
        <v>2027</v>
      </c>
      <c r="C187" s="116" t="s">
        <v>5106</v>
      </c>
      <c r="D187" s="116" t="s">
        <v>5107</v>
      </c>
      <c r="E187" s="115">
        <v>0</v>
      </c>
      <c r="F187" s="151">
        <v>42874</v>
      </c>
      <c r="G187" s="119">
        <f ca="1">IF(ISBLANK(I187),TODAY()-F187,I187-F187)</f>
        <v>12</v>
      </c>
      <c r="H187" s="126" t="s">
        <v>5227</v>
      </c>
      <c r="I187" s="127">
        <v>42886</v>
      </c>
      <c r="J187" s="122" t="s">
        <v>5113</v>
      </c>
    </row>
    <row r="188" spans="1:10" ht="15" customHeight="1" x14ac:dyDescent="0.45">
      <c r="A188" s="137">
        <v>184</v>
      </c>
      <c r="B188" s="118" t="s">
        <v>5289</v>
      </c>
      <c r="C188" s="116" t="s">
        <v>1315</v>
      </c>
      <c r="D188" s="116" t="s">
        <v>1317</v>
      </c>
      <c r="E188" s="115" t="s">
        <v>65</v>
      </c>
      <c r="F188" s="151">
        <v>42874</v>
      </c>
      <c r="G188" s="119">
        <f ca="1">IF(ISBLANK(I188),TODAY()-F188,I188-F188)</f>
        <v>32</v>
      </c>
      <c r="H188" s="126" t="s">
        <v>5062</v>
      </c>
      <c r="I188" s="127">
        <v>42906</v>
      </c>
      <c r="J188" s="122" t="s">
        <v>5113</v>
      </c>
    </row>
    <row r="189" spans="1:10" ht="15" customHeight="1" x14ac:dyDescent="0.45">
      <c r="A189" s="137">
        <v>185</v>
      </c>
      <c r="B189" s="118" t="s">
        <v>5290</v>
      </c>
      <c r="C189" s="116" t="s">
        <v>563</v>
      </c>
      <c r="D189" s="116" t="s">
        <v>565</v>
      </c>
      <c r="E189" s="115" t="s">
        <v>65</v>
      </c>
      <c r="F189" s="151">
        <v>42874</v>
      </c>
      <c r="G189" s="119">
        <f ca="1">IF(ISBLANK(I189),TODAY()-F189,I189-F189)</f>
        <v>10</v>
      </c>
      <c r="H189" s="132" t="s">
        <v>2702</v>
      </c>
      <c r="I189" s="133">
        <v>42884</v>
      </c>
      <c r="J189" s="134" t="s">
        <v>5160</v>
      </c>
    </row>
    <row r="190" spans="1:10" ht="15" customHeight="1" x14ac:dyDescent="0.45">
      <c r="A190" s="137">
        <v>186</v>
      </c>
      <c r="B190" s="118" t="s">
        <v>5291</v>
      </c>
      <c r="C190" s="129" t="s">
        <v>5292</v>
      </c>
      <c r="D190" s="129" t="s">
        <v>5293</v>
      </c>
      <c r="E190" s="115" t="s">
        <v>65</v>
      </c>
      <c r="F190" s="151">
        <v>42874</v>
      </c>
      <c r="G190" s="119">
        <f ca="1">IF(ISBLANK(I190),TODAY()-F190,I190-F190)</f>
        <v>32</v>
      </c>
      <c r="H190" s="126" t="s">
        <v>5062</v>
      </c>
      <c r="I190" s="127">
        <v>42906</v>
      </c>
      <c r="J190" s="122" t="s">
        <v>5113</v>
      </c>
    </row>
    <row r="191" spans="1:10" ht="15" customHeight="1" x14ac:dyDescent="0.45">
      <c r="A191" s="137">
        <v>187</v>
      </c>
      <c r="B191" s="118" t="s">
        <v>5294</v>
      </c>
      <c r="C191" s="116" t="s">
        <v>1389</v>
      </c>
      <c r="D191" s="116" t="s">
        <v>1391</v>
      </c>
      <c r="E191" s="115" t="s">
        <v>65</v>
      </c>
      <c r="F191" s="151">
        <v>42874</v>
      </c>
      <c r="G191" s="119">
        <f ca="1">IF(ISBLANK(I191),TODAY()-F191,I191-F191)</f>
        <v>32</v>
      </c>
      <c r="H191" s="126" t="s">
        <v>5002</v>
      </c>
      <c r="I191" s="127">
        <v>42906</v>
      </c>
      <c r="J191" s="122" t="s">
        <v>5113</v>
      </c>
    </row>
    <row r="192" spans="1:10" ht="15" customHeight="1" x14ac:dyDescent="0.45">
      <c r="A192" s="137">
        <v>188</v>
      </c>
      <c r="B192" s="118" t="s">
        <v>5294</v>
      </c>
      <c r="C192" s="116" t="s">
        <v>1429</v>
      </c>
      <c r="D192" s="116" t="s">
        <v>1431</v>
      </c>
      <c r="E192" s="115" t="s">
        <v>65</v>
      </c>
      <c r="F192" s="151">
        <v>42874</v>
      </c>
      <c r="G192" s="119">
        <f ca="1">IF(ISBLANK(I192),TODAY()-F192,I192-F192)</f>
        <v>32</v>
      </c>
      <c r="H192" s="126" t="s">
        <v>5062</v>
      </c>
      <c r="I192" s="127">
        <v>42906</v>
      </c>
      <c r="J192" s="122" t="s">
        <v>5113</v>
      </c>
    </row>
    <row r="193" spans="1:10" ht="15" customHeight="1" x14ac:dyDescent="0.45">
      <c r="A193" s="137">
        <v>189</v>
      </c>
      <c r="B193" s="118" t="s">
        <v>5295</v>
      </c>
      <c r="C193" s="116" t="s">
        <v>702</v>
      </c>
      <c r="D193" s="116" t="s">
        <v>704</v>
      </c>
      <c r="E193" s="115" t="s">
        <v>65</v>
      </c>
      <c r="F193" s="151">
        <v>42874</v>
      </c>
      <c r="G193" s="119">
        <f ca="1">IF(ISBLANK(I193),TODAY()-F193,I193-F193)</f>
        <v>129</v>
      </c>
      <c r="H193" s="152" t="s">
        <v>5296</v>
      </c>
      <c r="I193" s="153">
        <v>43003</v>
      </c>
      <c r="J193" s="154" t="s">
        <v>5113</v>
      </c>
    </row>
    <row r="194" spans="1:10" ht="15" customHeight="1" x14ac:dyDescent="0.45">
      <c r="A194" s="137">
        <v>190</v>
      </c>
      <c r="B194" s="118" t="s">
        <v>5295</v>
      </c>
      <c r="C194" s="116" t="s">
        <v>711</v>
      </c>
      <c r="D194" s="116" t="s">
        <v>713</v>
      </c>
      <c r="E194" s="115" t="s">
        <v>65</v>
      </c>
      <c r="F194" s="151">
        <v>42874</v>
      </c>
      <c r="G194" s="119">
        <f ca="1">IF(ISBLANK(I194),TODAY()-F194,I194-F194)</f>
        <v>129</v>
      </c>
      <c r="H194" s="152" t="s">
        <v>5296</v>
      </c>
      <c r="I194" s="153">
        <v>43003</v>
      </c>
      <c r="J194" s="155" t="s">
        <v>5113</v>
      </c>
    </row>
    <row r="195" spans="1:10" ht="15" customHeight="1" x14ac:dyDescent="0.45">
      <c r="A195" s="137">
        <v>191</v>
      </c>
      <c r="B195" s="118" t="s">
        <v>5295</v>
      </c>
      <c r="C195" s="116" t="s">
        <v>722</v>
      </c>
      <c r="D195" s="116" t="s">
        <v>724</v>
      </c>
      <c r="E195" s="115" t="s">
        <v>65</v>
      </c>
      <c r="F195" s="151">
        <v>42874</v>
      </c>
      <c r="G195" s="119">
        <f ca="1">IF(ISBLANK(I195),TODAY()-F195,I195-F195)</f>
        <v>129</v>
      </c>
      <c r="H195" s="152" t="s">
        <v>5296</v>
      </c>
      <c r="I195" s="153">
        <v>43003</v>
      </c>
      <c r="J195" s="155" t="s">
        <v>5113</v>
      </c>
    </row>
    <row r="196" spans="1:10" ht="15" customHeight="1" x14ac:dyDescent="0.45">
      <c r="A196" s="137">
        <v>192</v>
      </c>
      <c r="B196" s="118" t="s">
        <v>5295</v>
      </c>
      <c r="C196" s="116" t="s">
        <v>742</v>
      </c>
      <c r="D196" s="116" t="s">
        <v>744</v>
      </c>
      <c r="E196" s="115" t="s">
        <v>65</v>
      </c>
      <c r="F196" s="151">
        <v>42874</v>
      </c>
      <c r="G196" s="119">
        <f ca="1">IF(ISBLANK(I196),TODAY()-F196,I196-F196)</f>
        <v>129</v>
      </c>
      <c r="H196" s="152" t="s">
        <v>5296</v>
      </c>
      <c r="I196" s="153">
        <v>43003</v>
      </c>
      <c r="J196" s="154" t="s">
        <v>5113</v>
      </c>
    </row>
    <row r="197" spans="1:10" ht="15" customHeight="1" x14ac:dyDescent="0.45">
      <c r="A197" s="137">
        <v>193</v>
      </c>
      <c r="B197" s="118" t="s">
        <v>5295</v>
      </c>
      <c r="C197" s="116" t="s">
        <v>750</v>
      </c>
      <c r="D197" s="116" t="s">
        <v>752</v>
      </c>
      <c r="E197" s="115" t="s">
        <v>65</v>
      </c>
      <c r="F197" s="151">
        <v>42874</v>
      </c>
      <c r="G197" s="119">
        <f ca="1">IF(ISBLANK(I197),TODAY()-F197,I197-F197)</f>
        <v>129</v>
      </c>
      <c r="H197" s="152" t="s">
        <v>5296</v>
      </c>
      <c r="I197" s="153">
        <v>43003</v>
      </c>
      <c r="J197" s="155" t="s">
        <v>5113</v>
      </c>
    </row>
    <row r="198" spans="1:10" ht="15" customHeight="1" x14ac:dyDescent="0.45">
      <c r="A198" s="137">
        <v>194</v>
      </c>
      <c r="B198" s="118" t="s">
        <v>5295</v>
      </c>
      <c r="C198" s="116" t="s">
        <v>758</v>
      </c>
      <c r="D198" s="116" t="s">
        <v>760</v>
      </c>
      <c r="E198" s="115" t="s">
        <v>65</v>
      </c>
      <c r="F198" s="151">
        <v>42874</v>
      </c>
      <c r="G198" s="119">
        <f ca="1">IF(ISBLANK(I198),TODAY()-F198,I198-F198)</f>
        <v>129</v>
      </c>
      <c r="H198" s="152" t="s">
        <v>5296</v>
      </c>
      <c r="I198" s="153">
        <v>43003</v>
      </c>
      <c r="J198" s="155" t="s">
        <v>5113</v>
      </c>
    </row>
    <row r="199" spans="1:10" ht="15" customHeight="1" x14ac:dyDescent="0.35">
      <c r="A199" s="137">
        <v>195</v>
      </c>
      <c r="B199" s="118" t="s">
        <v>5297</v>
      </c>
      <c r="C199" s="116" t="s">
        <v>319</v>
      </c>
      <c r="D199" s="128" t="s">
        <v>321</v>
      </c>
      <c r="E199" s="115" t="s">
        <v>160</v>
      </c>
      <c r="F199" s="151">
        <v>42874</v>
      </c>
      <c r="G199" s="119">
        <f ca="1">IF(ISBLANK(I199),TODAY()-F199,I199-F199)</f>
        <v>20</v>
      </c>
      <c r="H199" s="126" t="s">
        <v>5003</v>
      </c>
      <c r="I199" s="127">
        <v>42894</v>
      </c>
      <c r="J199" s="122" t="s">
        <v>5113</v>
      </c>
    </row>
    <row r="200" spans="1:10" ht="15" customHeight="1" x14ac:dyDescent="0.45">
      <c r="A200" s="137">
        <v>196</v>
      </c>
      <c r="B200" s="118" t="s">
        <v>5298</v>
      </c>
      <c r="C200" s="116" t="s">
        <v>1404</v>
      </c>
      <c r="D200" s="116" t="s">
        <v>5299</v>
      </c>
      <c r="E200" s="115" t="s">
        <v>65</v>
      </c>
      <c r="F200" s="151">
        <v>42874</v>
      </c>
      <c r="G200" s="119">
        <f ca="1">IF(ISBLANK(I200),TODAY()-F200,I200-F200)</f>
        <v>72</v>
      </c>
      <c r="H200" s="126" t="s">
        <v>5062</v>
      </c>
      <c r="I200" s="127">
        <v>42946</v>
      </c>
      <c r="J200" s="122" t="s">
        <v>5051</v>
      </c>
    </row>
    <row r="201" spans="1:10" ht="15" customHeight="1" x14ac:dyDescent="0.45">
      <c r="A201" s="137">
        <v>197</v>
      </c>
      <c r="B201" s="118" t="s">
        <v>5298</v>
      </c>
      <c r="C201" s="116" t="s">
        <v>1407</v>
      </c>
      <c r="D201" s="116" t="s">
        <v>5300</v>
      </c>
      <c r="E201" s="115" t="s">
        <v>65</v>
      </c>
      <c r="F201" s="151">
        <v>42874</v>
      </c>
      <c r="G201" s="119">
        <f ca="1">IF(ISBLANK(I201),TODAY()-F201,I201-F201)</f>
        <v>72</v>
      </c>
      <c r="H201" s="126" t="s">
        <v>5062</v>
      </c>
      <c r="I201" s="127">
        <v>42946</v>
      </c>
      <c r="J201" s="122" t="s">
        <v>5051</v>
      </c>
    </row>
    <row r="202" spans="1:10" ht="15" customHeight="1" x14ac:dyDescent="0.45">
      <c r="A202" s="137">
        <v>198</v>
      </c>
      <c r="B202" s="118" t="s">
        <v>5298</v>
      </c>
      <c r="C202" s="116" t="s">
        <v>5301</v>
      </c>
      <c r="D202" s="116" t="s">
        <v>5302</v>
      </c>
      <c r="E202" s="115" t="s">
        <v>65</v>
      </c>
      <c r="F202" s="151">
        <v>42874</v>
      </c>
      <c r="G202" s="119">
        <f ca="1">IF(ISBLANK(I202),TODAY()-F202,I202-F202)</f>
        <v>72</v>
      </c>
      <c r="H202" s="126" t="s">
        <v>5062</v>
      </c>
      <c r="I202" s="127">
        <v>42946</v>
      </c>
      <c r="J202" s="122" t="s">
        <v>5051</v>
      </c>
    </row>
    <row r="203" spans="1:10" ht="15" customHeight="1" x14ac:dyDescent="0.45">
      <c r="A203" s="137">
        <v>199</v>
      </c>
      <c r="B203" s="118" t="s">
        <v>5298</v>
      </c>
      <c r="C203" s="116" t="s">
        <v>1441</v>
      </c>
      <c r="D203" s="116" t="s">
        <v>5303</v>
      </c>
      <c r="E203" s="115" t="s">
        <v>65</v>
      </c>
      <c r="F203" s="151">
        <v>42874</v>
      </c>
      <c r="G203" s="119">
        <f ca="1">IF(ISBLANK(I203),TODAY()-F203,I203-F203)</f>
        <v>72</v>
      </c>
      <c r="H203" s="126" t="s">
        <v>5062</v>
      </c>
      <c r="I203" s="127">
        <v>42946</v>
      </c>
      <c r="J203" s="122" t="s">
        <v>5051</v>
      </c>
    </row>
    <row r="204" spans="1:10" ht="15" customHeight="1" x14ac:dyDescent="0.45">
      <c r="A204" s="137">
        <v>200</v>
      </c>
      <c r="B204" s="118" t="s">
        <v>5298</v>
      </c>
      <c r="C204" s="116" t="s">
        <v>1444</v>
      </c>
      <c r="D204" s="116" t="s">
        <v>5304</v>
      </c>
      <c r="E204" s="115" t="s">
        <v>65</v>
      </c>
      <c r="F204" s="151">
        <v>42874</v>
      </c>
      <c r="G204" s="119">
        <f ca="1">IF(ISBLANK(I204),TODAY()-F204,I204-F204)</f>
        <v>72</v>
      </c>
      <c r="H204" s="126" t="s">
        <v>5062</v>
      </c>
      <c r="I204" s="127">
        <v>42946</v>
      </c>
      <c r="J204" s="122" t="s">
        <v>5051</v>
      </c>
    </row>
    <row r="205" spans="1:10" ht="15" customHeight="1" x14ac:dyDescent="0.45">
      <c r="A205" s="137">
        <v>201</v>
      </c>
      <c r="B205" s="118" t="s">
        <v>5298</v>
      </c>
      <c r="C205" s="116" t="s">
        <v>5305</v>
      </c>
      <c r="D205" s="116" t="s">
        <v>5306</v>
      </c>
      <c r="E205" s="115" t="s">
        <v>65</v>
      </c>
      <c r="F205" s="151">
        <v>42874</v>
      </c>
      <c r="G205" s="119">
        <f ca="1">IF(ISBLANK(I205),TODAY()-F205,I205-F205)</f>
        <v>72</v>
      </c>
      <c r="H205" s="126" t="s">
        <v>5062</v>
      </c>
      <c r="I205" s="127">
        <v>42946</v>
      </c>
      <c r="J205" s="122" t="s">
        <v>5051</v>
      </c>
    </row>
    <row r="206" spans="1:10" ht="15" customHeight="1" x14ac:dyDescent="0.45">
      <c r="A206" s="137">
        <v>202</v>
      </c>
      <c r="B206" s="118" t="s">
        <v>5307</v>
      </c>
      <c r="C206" s="116" t="s">
        <v>1398</v>
      </c>
      <c r="D206" s="116" t="s">
        <v>1400</v>
      </c>
      <c r="E206" s="115" t="s">
        <v>65</v>
      </c>
      <c r="F206" s="151">
        <v>42874</v>
      </c>
      <c r="G206" s="119">
        <f ca="1">IF(ISBLANK(I206),TODAY()-F206,I206-F206)</f>
        <v>76</v>
      </c>
      <c r="H206" s="126" t="s">
        <v>5003</v>
      </c>
      <c r="I206" s="127">
        <v>42950</v>
      </c>
      <c r="J206" s="156" t="s">
        <v>5113</v>
      </c>
    </row>
    <row r="207" spans="1:10" ht="15" customHeight="1" x14ac:dyDescent="0.45">
      <c r="A207" s="137">
        <v>203</v>
      </c>
      <c r="B207" s="118" t="s">
        <v>5307</v>
      </c>
      <c r="C207" s="116" t="s">
        <v>1438</v>
      </c>
      <c r="D207" s="116" t="s">
        <v>1440</v>
      </c>
      <c r="E207" s="115" t="s">
        <v>65</v>
      </c>
      <c r="F207" s="151">
        <v>42874</v>
      </c>
      <c r="G207" s="119">
        <f ca="1">IF(ISBLANK(I207),TODAY()-F207,I207-F207)</f>
        <v>76</v>
      </c>
      <c r="H207" s="126" t="s">
        <v>5003</v>
      </c>
      <c r="I207" s="127">
        <v>42950</v>
      </c>
      <c r="J207" s="156" t="s">
        <v>5113</v>
      </c>
    </row>
    <row r="208" spans="1:10" ht="15" customHeight="1" x14ac:dyDescent="0.45">
      <c r="A208" s="137">
        <v>204</v>
      </c>
      <c r="B208" s="118" t="s">
        <v>5308</v>
      </c>
      <c r="C208" s="116" t="s">
        <v>186</v>
      </c>
      <c r="D208" s="116" t="s">
        <v>188</v>
      </c>
      <c r="E208" s="115" t="s">
        <v>164</v>
      </c>
      <c r="F208" s="151">
        <v>42874</v>
      </c>
      <c r="G208" s="119">
        <f ca="1">IF(ISBLANK(I208),TODAY()-F208,I208-F208)</f>
        <v>26</v>
      </c>
      <c r="H208" s="157" t="s">
        <v>160</v>
      </c>
      <c r="I208" s="149">
        <v>42900</v>
      </c>
      <c r="J208" s="122" t="s">
        <v>5113</v>
      </c>
    </row>
    <row r="209" spans="1:10" ht="15" customHeight="1" x14ac:dyDescent="0.45">
      <c r="A209" s="114">
        <v>205</v>
      </c>
      <c r="B209" s="118" t="s">
        <v>5309</v>
      </c>
      <c r="C209" s="129" t="s">
        <v>5310</v>
      </c>
      <c r="D209" s="129" t="s">
        <v>5311</v>
      </c>
      <c r="E209" s="115" t="s">
        <v>65</v>
      </c>
      <c r="F209" s="131">
        <v>42874</v>
      </c>
      <c r="G209" s="119">
        <f ca="1">IF(ISBLANK(I209),TODAY()-F209,I209-F209)</f>
        <v>18</v>
      </c>
      <c r="H209" s="126" t="s">
        <v>5004</v>
      </c>
      <c r="I209" s="127">
        <v>42892</v>
      </c>
      <c r="J209" s="122" t="s">
        <v>5113</v>
      </c>
    </row>
    <row r="210" spans="1:10" ht="15" customHeight="1" x14ac:dyDescent="0.45">
      <c r="A210" s="114">
        <v>206</v>
      </c>
      <c r="B210" s="118" t="s">
        <v>5309</v>
      </c>
      <c r="C210" s="129" t="s">
        <v>5312</v>
      </c>
      <c r="D210" s="129" t="s">
        <v>5313</v>
      </c>
      <c r="E210" s="115" t="s">
        <v>65</v>
      </c>
      <c r="F210" s="131">
        <v>42874</v>
      </c>
      <c r="G210" s="119">
        <f ca="1">IF(ISBLANK(I210),TODAY()-F210,I210-F210)</f>
        <v>18</v>
      </c>
      <c r="H210" s="126" t="s">
        <v>5003</v>
      </c>
      <c r="I210" s="127">
        <v>42892</v>
      </c>
      <c r="J210" s="122" t="s">
        <v>5113</v>
      </c>
    </row>
    <row r="211" spans="1:10" ht="15" customHeight="1" x14ac:dyDescent="0.45">
      <c r="A211" s="114">
        <v>207</v>
      </c>
      <c r="B211" s="118" t="s">
        <v>5309</v>
      </c>
      <c r="C211" s="129" t="s">
        <v>5314</v>
      </c>
      <c r="D211" s="129" t="s">
        <v>5315</v>
      </c>
      <c r="E211" s="115" t="s">
        <v>65</v>
      </c>
      <c r="F211" s="131">
        <v>42874</v>
      </c>
      <c r="G211" s="119">
        <f ca="1">IF(ISBLANK(I211),TODAY()-F211,I211-F211)</f>
        <v>18</v>
      </c>
      <c r="H211" s="126" t="s">
        <v>5002</v>
      </c>
      <c r="I211" s="127">
        <v>42892</v>
      </c>
      <c r="J211" s="122" t="s">
        <v>5113</v>
      </c>
    </row>
    <row r="212" spans="1:10" ht="15" customHeight="1" x14ac:dyDescent="0.45">
      <c r="A212" s="114">
        <v>208</v>
      </c>
      <c r="B212" s="118" t="s">
        <v>5309</v>
      </c>
      <c r="C212" s="129" t="s">
        <v>5316</v>
      </c>
      <c r="D212" s="129" t="s">
        <v>5317</v>
      </c>
      <c r="E212" s="115" t="s">
        <v>65</v>
      </c>
      <c r="F212" s="131">
        <v>42874</v>
      </c>
      <c r="G212" s="119">
        <f ca="1">IF(ISBLANK(I212),TODAY()-F212,I212-F212)</f>
        <v>18</v>
      </c>
      <c r="H212" s="126" t="s">
        <v>5004</v>
      </c>
      <c r="I212" s="127">
        <v>42892</v>
      </c>
      <c r="J212" s="122" t="s">
        <v>5113</v>
      </c>
    </row>
    <row r="213" spans="1:10" ht="15" customHeight="1" x14ac:dyDescent="0.45">
      <c r="A213" s="114">
        <v>209</v>
      </c>
      <c r="B213" s="118" t="s">
        <v>5309</v>
      </c>
      <c r="C213" s="129" t="s">
        <v>5318</v>
      </c>
      <c r="D213" s="129" t="s">
        <v>5319</v>
      </c>
      <c r="E213" s="115" t="s">
        <v>65</v>
      </c>
      <c r="F213" s="131">
        <v>42874</v>
      </c>
      <c r="G213" s="119">
        <f ca="1">IF(ISBLANK(I213),TODAY()-F213,I213-F213)</f>
        <v>18</v>
      </c>
      <c r="H213" s="126" t="s">
        <v>5004</v>
      </c>
      <c r="I213" s="127">
        <v>42892</v>
      </c>
      <c r="J213" s="122" t="s">
        <v>5113</v>
      </c>
    </row>
    <row r="214" spans="1:10" ht="15" customHeight="1" x14ac:dyDescent="0.45">
      <c r="A214" s="137">
        <v>210</v>
      </c>
      <c r="B214" s="118" t="s">
        <v>5320</v>
      </c>
      <c r="C214" s="116" t="s">
        <v>5064</v>
      </c>
      <c r="D214" s="116" t="s">
        <v>219</v>
      </c>
      <c r="E214" s="115" t="s">
        <v>160</v>
      </c>
      <c r="F214" s="151">
        <v>42878</v>
      </c>
      <c r="G214" s="119">
        <f ca="1">IF(ISBLANK(I214),TODAY()-F214,I214-F214)</f>
        <v>45</v>
      </c>
      <c r="H214" s="126" t="s">
        <v>5003</v>
      </c>
      <c r="I214" s="127">
        <v>42923</v>
      </c>
      <c r="J214" s="122" t="s">
        <v>5113</v>
      </c>
    </row>
    <row r="215" spans="1:10" ht="15" customHeight="1" x14ac:dyDescent="0.45">
      <c r="A215" s="137">
        <v>211</v>
      </c>
      <c r="B215" s="118" t="s">
        <v>5320</v>
      </c>
      <c r="C215" s="116" t="s">
        <v>5065</v>
      </c>
      <c r="D215" s="116" t="s">
        <v>224</v>
      </c>
      <c r="E215" s="115" t="s">
        <v>160</v>
      </c>
      <c r="F215" s="151">
        <v>42878</v>
      </c>
      <c r="G215" s="119">
        <f ca="1">IF(ISBLANK(I215),TODAY()-F215,I215-F215)</f>
        <v>45</v>
      </c>
      <c r="H215" s="126" t="s">
        <v>5003</v>
      </c>
      <c r="I215" s="127">
        <v>42923</v>
      </c>
      <c r="J215" s="122" t="s">
        <v>5113</v>
      </c>
    </row>
    <row r="216" spans="1:10" ht="15" customHeight="1" x14ac:dyDescent="0.45">
      <c r="A216" s="137">
        <v>212</v>
      </c>
      <c r="B216" s="118" t="s">
        <v>5320</v>
      </c>
      <c r="C216" s="116" t="s">
        <v>273</v>
      </c>
      <c r="D216" s="116" t="s">
        <v>275</v>
      </c>
      <c r="E216" s="115" t="s">
        <v>160</v>
      </c>
      <c r="F216" s="151">
        <v>42878</v>
      </c>
      <c r="G216" s="119">
        <f ca="1">IF(ISBLANK(I216),TODAY()-F216,I216-F216)</f>
        <v>45</v>
      </c>
      <c r="H216" s="126" t="s">
        <v>5002</v>
      </c>
      <c r="I216" s="127">
        <v>42923</v>
      </c>
      <c r="J216" s="122" t="s">
        <v>5113</v>
      </c>
    </row>
    <row r="217" spans="1:10" ht="15" customHeight="1" x14ac:dyDescent="0.45">
      <c r="A217" s="137">
        <v>213</v>
      </c>
      <c r="B217" s="118" t="s">
        <v>5320</v>
      </c>
      <c r="C217" s="116" t="s">
        <v>277</v>
      </c>
      <c r="D217" s="116" t="s">
        <v>279</v>
      </c>
      <c r="E217" s="115" t="s">
        <v>160</v>
      </c>
      <c r="F217" s="151">
        <v>42878</v>
      </c>
      <c r="G217" s="119">
        <f ca="1">IF(ISBLANK(I217),TODAY()-F217,I217-F217)</f>
        <v>45</v>
      </c>
      <c r="H217" s="126" t="s">
        <v>5002</v>
      </c>
      <c r="I217" s="127">
        <v>42923</v>
      </c>
      <c r="J217" s="122" t="s">
        <v>5113</v>
      </c>
    </row>
    <row r="218" spans="1:10" ht="15" customHeight="1" x14ac:dyDescent="0.45">
      <c r="A218" s="137">
        <v>214</v>
      </c>
      <c r="B218" s="118" t="s">
        <v>5320</v>
      </c>
      <c r="C218" s="116" t="s">
        <v>309</v>
      </c>
      <c r="D218" s="116" t="s">
        <v>311</v>
      </c>
      <c r="E218" s="115" t="s">
        <v>160</v>
      </c>
      <c r="F218" s="151">
        <v>42878</v>
      </c>
      <c r="G218" s="119">
        <f ca="1">IF(ISBLANK(I218),TODAY()-F218,I218-F218)</f>
        <v>45</v>
      </c>
      <c r="H218" s="126" t="s">
        <v>5002</v>
      </c>
      <c r="I218" s="127">
        <v>42923</v>
      </c>
      <c r="J218" s="122" t="s">
        <v>5113</v>
      </c>
    </row>
    <row r="219" spans="1:10" ht="15" customHeight="1" x14ac:dyDescent="0.45">
      <c r="A219" s="137">
        <v>215</v>
      </c>
      <c r="B219" s="118" t="s">
        <v>5320</v>
      </c>
      <c r="C219" s="116" t="s">
        <v>312</v>
      </c>
      <c r="D219" s="116" t="s">
        <v>314</v>
      </c>
      <c r="E219" s="115" t="s">
        <v>160</v>
      </c>
      <c r="F219" s="151">
        <v>42878</v>
      </c>
      <c r="G219" s="119">
        <f ca="1">IF(ISBLANK(I219),TODAY()-F219,I219-F219)</f>
        <v>45</v>
      </c>
      <c r="H219" s="126" t="s">
        <v>5002</v>
      </c>
      <c r="I219" s="127">
        <v>42923</v>
      </c>
      <c r="J219" s="122" t="s">
        <v>5113</v>
      </c>
    </row>
    <row r="220" spans="1:10" ht="15" customHeight="1" x14ac:dyDescent="0.45">
      <c r="A220" s="137">
        <v>216</v>
      </c>
      <c r="B220" s="118" t="s">
        <v>5321</v>
      </c>
      <c r="C220" s="116" t="s">
        <v>1813</v>
      </c>
      <c r="D220" s="116" t="s">
        <v>1815</v>
      </c>
      <c r="E220" s="115" t="s">
        <v>65</v>
      </c>
      <c r="F220" s="151">
        <v>42878</v>
      </c>
      <c r="G220" s="119">
        <f ca="1">IF(ISBLANK(I220),TODAY()-F220,I220-F220)</f>
        <v>22</v>
      </c>
      <c r="H220" s="148" t="s">
        <v>2702</v>
      </c>
      <c r="I220" s="149">
        <v>42900</v>
      </c>
      <c r="J220" s="150" t="s">
        <v>5113</v>
      </c>
    </row>
    <row r="221" spans="1:10" ht="15" customHeight="1" x14ac:dyDescent="0.45">
      <c r="A221" s="137">
        <v>217</v>
      </c>
      <c r="B221" s="118" t="s">
        <v>5321</v>
      </c>
      <c r="C221" s="116" t="s">
        <v>1865</v>
      </c>
      <c r="D221" s="116" t="s">
        <v>1867</v>
      </c>
      <c r="E221" s="115" t="s">
        <v>65</v>
      </c>
      <c r="F221" s="151">
        <v>42878</v>
      </c>
      <c r="G221" s="119">
        <f ca="1">IF(ISBLANK(I221),TODAY()-F221,I221-F221)</f>
        <v>22</v>
      </c>
      <c r="H221" s="148" t="s">
        <v>65</v>
      </c>
      <c r="I221" s="149">
        <v>42900</v>
      </c>
      <c r="J221" s="150" t="s">
        <v>5113</v>
      </c>
    </row>
    <row r="222" spans="1:10" ht="15" customHeight="1" x14ac:dyDescent="0.45">
      <c r="A222" s="137">
        <v>218</v>
      </c>
      <c r="B222" s="118" t="s">
        <v>5321</v>
      </c>
      <c r="C222" s="116" t="s">
        <v>1969</v>
      </c>
      <c r="D222" s="116" t="s">
        <v>1971</v>
      </c>
      <c r="E222" s="115" t="s">
        <v>65</v>
      </c>
      <c r="F222" s="151">
        <v>42878</v>
      </c>
      <c r="G222" s="119">
        <f ca="1">IF(ISBLANK(I222),TODAY()-F222,I222-F222)</f>
        <v>22</v>
      </c>
      <c r="H222" s="126" t="s">
        <v>5004</v>
      </c>
      <c r="I222" s="149">
        <v>42900</v>
      </c>
      <c r="J222" s="150" t="s">
        <v>5113</v>
      </c>
    </row>
    <row r="223" spans="1:10" ht="15" customHeight="1" x14ac:dyDescent="0.45">
      <c r="A223" s="137">
        <v>219</v>
      </c>
      <c r="B223" s="118" t="s">
        <v>5322</v>
      </c>
      <c r="C223" s="116" t="s">
        <v>1386</v>
      </c>
      <c r="D223" s="116" t="s">
        <v>5323</v>
      </c>
      <c r="E223" s="115" t="s">
        <v>65</v>
      </c>
      <c r="F223" s="151">
        <v>42878</v>
      </c>
      <c r="G223" s="119">
        <f ca="1">IF(ISBLANK(I223),TODAY()-F223,I223-F223)</f>
        <v>72</v>
      </c>
      <c r="H223" s="126" t="s">
        <v>5062</v>
      </c>
      <c r="I223" s="127">
        <v>42950</v>
      </c>
      <c r="J223" s="156" t="s">
        <v>5113</v>
      </c>
    </row>
    <row r="224" spans="1:10" ht="15" customHeight="1" x14ac:dyDescent="0.45">
      <c r="A224" s="137">
        <v>220</v>
      </c>
      <c r="B224" s="118" t="s">
        <v>5322</v>
      </c>
      <c r="C224" s="116" t="s">
        <v>5324</v>
      </c>
      <c r="D224" s="116" t="s">
        <v>1428</v>
      </c>
      <c r="E224" s="115" t="s">
        <v>65</v>
      </c>
      <c r="F224" s="151">
        <v>42878</v>
      </c>
      <c r="G224" s="119">
        <f ca="1">IF(ISBLANK(I224),TODAY()-F224,I224-F224)</f>
        <v>72</v>
      </c>
      <c r="H224" s="126" t="s">
        <v>5062</v>
      </c>
      <c r="I224" s="127">
        <v>42950</v>
      </c>
      <c r="J224" s="156" t="s">
        <v>5113</v>
      </c>
    </row>
    <row r="225" spans="1:10" ht="15" customHeight="1" x14ac:dyDescent="0.45">
      <c r="A225" s="137">
        <v>221</v>
      </c>
      <c r="B225" s="118" t="s">
        <v>5325</v>
      </c>
      <c r="C225" s="116" t="s">
        <v>1602</v>
      </c>
      <c r="D225" s="129" t="s">
        <v>1604</v>
      </c>
      <c r="E225" s="115" t="s">
        <v>160</v>
      </c>
      <c r="F225" s="151">
        <v>42878</v>
      </c>
      <c r="G225" s="119">
        <f ca="1">IF(ISBLANK(I225),TODAY()-F225,I225-F225)</f>
        <v>22</v>
      </c>
      <c r="H225" s="148" t="s">
        <v>2702</v>
      </c>
      <c r="I225" s="149">
        <v>42900</v>
      </c>
      <c r="J225" s="150" t="s">
        <v>5113</v>
      </c>
    </row>
    <row r="226" spans="1:10" ht="15" customHeight="1" x14ac:dyDescent="0.45">
      <c r="A226" s="137">
        <v>222</v>
      </c>
      <c r="B226" s="118" t="s">
        <v>5325</v>
      </c>
      <c r="C226" s="116" t="s">
        <v>1607</v>
      </c>
      <c r="D226" s="129" t="s">
        <v>1609</v>
      </c>
      <c r="E226" s="115" t="s">
        <v>160</v>
      </c>
      <c r="F226" s="151">
        <v>42878</v>
      </c>
      <c r="G226" s="119">
        <f ca="1">IF(ISBLANK(I226),TODAY()-F226,I226-F226)</f>
        <v>22</v>
      </c>
      <c r="H226" s="148" t="s">
        <v>2702</v>
      </c>
      <c r="I226" s="149">
        <v>42900</v>
      </c>
      <c r="J226" s="150" t="s">
        <v>5113</v>
      </c>
    </row>
    <row r="227" spans="1:10" ht="15" customHeight="1" x14ac:dyDescent="0.45">
      <c r="A227" s="137">
        <v>223</v>
      </c>
      <c r="B227" s="118" t="s">
        <v>5325</v>
      </c>
      <c r="C227" s="129" t="s">
        <v>5326</v>
      </c>
      <c r="D227" s="129" t="s">
        <v>5327</v>
      </c>
      <c r="E227" s="115" t="s">
        <v>65</v>
      </c>
      <c r="F227" s="151">
        <v>42878</v>
      </c>
      <c r="G227" s="119">
        <f ca="1">IF(ISBLANK(I227),TODAY()-F227,I227-F227)</f>
        <v>22</v>
      </c>
      <c r="H227" s="148" t="s">
        <v>2702</v>
      </c>
      <c r="I227" s="149">
        <v>42900</v>
      </c>
      <c r="J227" s="150" t="s">
        <v>5113</v>
      </c>
    </row>
    <row r="228" spans="1:10" ht="15" customHeight="1" x14ac:dyDescent="0.45">
      <c r="A228" s="137">
        <v>224</v>
      </c>
      <c r="B228" s="118" t="s">
        <v>5325</v>
      </c>
      <c r="C228" s="129" t="s">
        <v>5328</v>
      </c>
      <c r="D228" s="129" t="s">
        <v>5329</v>
      </c>
      <c r="E228" s="115" t="s">
        <v>65</v>
      </c>
      <c r="F228" s="151">
        <v>42878</v>
      </c>
      <c r="G228" s="119">
        <f ca="1">IF(ISBLANK(I228),TODAY()-F228,I228-F228)</f>
        <v>22</v>
      </c>
      <c r="H228" s="148" t="s">
        <v>2702</v>
      </c>
      <c r="I228" s="149">
        <v>42900</v>
      </c>
      <c r="J228" s="150" t="s">
        <v>5113</v>
      </c>
    </row>
    <row r="229" spans="1:10" ht="15" customHeight="1" x14ac:dyDescent="0.45">
      <c r="A229" s="137">
        <v>225</v>
      </c>
      <c r="B229" s="118" t="s">
        <v>5325</v>
      </c>
      <c r="C229" s="129" t="s">
        <v>5330</v>
      </c>
      <c r="D229" s="129" t="s">
        <v>5331</v>
      </c>
      <c r="E229" s="115" t="s">
        <v>65</v>
      </c>
      <c r="F229" s="151">
        <v>42878</v>
      </c>
      <c r="G229" s="119">
        <f ca="1">IF(ISBLANK(I229),TODAY()-F229,I229-F229)</f>
        <v>22</v>
      </c>
      <c r="H229" s="148" t="s">
        <v>2702</v>
      </c>
      <c r="I229" s="149">
        <v>42900</v>
      </c>
      <c r="J229" s="150" t="s">
        <v>5113</v>
      </c>
    </row>
    <row r="230" spans="1:10" ht="15" customHeight="1" x14ac:dyDescent="0.45">
      <c r="A230" s="137">
        <v>226</v>
      </c>
      <c r="B230" s="118" t="s">
        <v>5325</v>
      </c>
      <c r="C230" s="129" t="s">
        <v>5332</v>
      </c>
      <c r="D230" s="129" t="s">
        <v>5333</v>
      </c>
      <c r="E230" s="115" t="s">
        <v>65</v>
      </c>
      <c r="F230" s="151">
        <v>42878</v>
      </c>
      <c r="G230" s="119">
        <f ca="1">IF(ISBLANK(I230),TODAY()-F230,I230-F230)</f>
        <v>22</v>
      </c>
      <c r="H230" s="148" t="s">
        <v>2702</v>
      </c>
      <c r="I230" s="149">
        <v>42900</v>
      </c>
      <c r="J230" s="150" t="s">
        <v>5113</v>
      </c>
    </row>
    <row r="231" spans="1:10" ht="15" customHeight="1" x14ac:dyDescent="0.45">
      <c r="A231" s="137">
        <v>227</v>
      </c>
      <c r="B231" s="118" t="s">
        <v>5325</v>
      </c>
      <c r="C231" s="129" t="s">
        <v>5334</v>
      </c>
      <c r="D231" s="129" t="s">
        <v>5335</v>
      </c>
      <c r="E231" s="115" t="s">
        <v>65</v>
      </c>
      <c r="F231" s="151">
        <v>42878</v>
      </c>
      <c r="G231" s="119">
        <f ca="1">IF(ISBLANK(I231),TODAY()-F231,I231-F231)</f>
        <v>8</v>
      </c>
      <c r="H231" s="148" t="s">
        <v>2702</v>
      </c>
      <c r="I231" s="149">
        <v>42886</v>
      </c>
      <c r="J231" s="122" t="s">
        <v>5113</v>
      </c>
    </row>
    <row r="232" spans="1:10" ht="15" customHeight="1" x14ac:dyDescent="0.45">
      <c r="A232" s="137">
        <v>228</v>
      </c>
      <c r="B232" s="118" t="s">
        <v>5325</v>
      </c>
      <c r="C232" s="129" t="s">
        <v>5336</v>
      </c>
      <c r="D232" s="129" t="s">
        <v>5337</v>
      </c>
      <c r="E232" s="115" t="s">
        <v>65</v>
      </c>
      <c r="F232" s="151">
        <v>42878</v>
      </c>
      <c r="G232" s="119">
        <f ca="1">IF(ISBLANK(I232),TODAY()-F232,I232-F232)</f>
        <v>22</v>
      </c>
      <c r="H232" s="148" t="s">
        <v>2702</v>
      </c>
      <c r="I232" s="149">
        <v>42900</v>
      </c>
      <c r="J232" s="150" t="s">
        <v>5113</v>
      </c>
    </row>
    <row r="233" spans="1:10" ht="15" customHeight="1" x14ac:dyDescent="0.45">
      <c r="A233" s="137">
        <v>229</v>
      </c>
      <c r="B233" s="118" t="s">
        <v>5338</v>
      </c>
      <c r="C233" s="129" t="s">
        <v>5134</v>
      </c>
      <c r="D233" s="129" t="s">
        <v>5135</v>
      </c>
      <c r="E233" s="115" t="s">
        <v>160</v>
      </c>
      <c r="F233" s="151">
        <v>42878</v>
      </c>
      <c r="G233" s="119">
        <f ca="1">IF(ISBLANK(I233),TODAY()-F233,I233-F233)</f>
        <v>22</v>
      </c>
      <c r="H233" s="148" t="s">
        <v>2702</v>
      </c>
      <c r="I233" s="149">
        <v>42900</v>
      </c>
      <c r="J233" s="122" t="s">
        <v>5051</v>
      </c>
    </row>
    <row r="234" spans="1:10" ht="15" customHeight="1" x14ac:dyDescent="0.45">
      <c r="A234" s="137">
        <v>230</v>
      </c>
      <c r="B234" s="118" t="s">
        <v>5338</v>
      </c>
      <c r="C234" s="129" t="s">
        <v>5339</v>
      </c>
      <c r="D234" s="129" t="s">
        <v>5340</v>
      </c>
      <c r="E234" s="115" t="s">
        <v>65</v>
      </c>
      <c r="F234" s="151">
        <v>42878</v>
      </c>
      <c r="G234" s="119">
        <f ca="1">IF(ISBLANK(I234),TODAY()-F234,I234-F234)</f>
        <v>22</v>
      </c>
      <c r="H234" s="148" t="s">
        <v>2702</v>
      </c>
      <c r="I234" s="149">
        <v>42900</v>
      </c>
      <c r="J234" s="122" t="s">
        <v>5051</v>
      </c>
    </row>
    <row r="235" spans="1:10" ht="15" customHeight="1" x14ac:dyDescent="0.45">
      <c r="A235" s="137">
        <v>231</v>
      </c>
      <c r="B235" s="118" t="s">
        <v>5338</v>
      </c>
      <c r="C235" s="129" t="s">
        <v>5341</v>
      </c>
      <c r="D235" s="129" t="s">
        <v>5342</v>
      </c>
      <c r="E235" s="115" t="s">
        <v>65</v>
      </c>
      <c r="F235" s="151">
        <v>42878</v>
      </c>
      <c r="G235" s="119">
        <f ca="1">IF(ISBLANK(I235),TODAY()-F235,I235-F235)</f>
        <v>68</v>
      </c>
      <c r="H235" s="126" t="s">
        <v>5004</v>
      </c>
      <c r="I235" s="127">
        <v>42946</v>
      </c>
      <c r="J235" s="122" t="s">
        <v>5051</v>
      </c>
    </row>
    <row r="236" spans="1:10" ht="15" customHeight="1" x14ac:dyDescent="0.45">
      <c r="A236" s="137">
        <v>232</v>
      </c>
      <c r="B236" s="118" t="s">
        <v>5343</v>
      </c>
      <c r="C236" s="116" t="s">
        <v>572</v>
      </c>
      <c r="D236" s="116" t="s">
        <v>574</v>
      </c>
      <c r="E236" s="115" t="s">
        <v>65</v>
      </c>
      <c r="F236" s="151">
        <v>42878</v>
      </c>
      <c r="G236" s="119">
        <f ca="1">IF(ISBLANK(I236),TODAY()-F236,I236-F236)</f>
        <v>28</v>
      </c>
      <c r="H236" s="126" t="s">
        <v>5004</v>
      </c>
      <c r="I236" s="127">
        <v>42906</v>
      </c>
      <c r="J236" s="122" t="s">
        <v>5113</v>
      </c>
    </row>
    <row r="237" spans="1:10" ht="15" customHeight="1" x14ac:dyDescent="0.45">
      <c r="A237" s="137">
        <v>233</v>
      </c>
      <c r="B237" s="118" t="s">
        <v>5343</v>
      </c>
      <c r="C237" s="116" t="s">
        <v>577</v>
      </c>
      <c r="D237" s="116" t="s">
        <v>579</v>
      </c>
      <c r="E237" s="115" t="s">
        <v>65</v>
      </c>
      <c r="F237" s="151">
        <v>42878</v>
      </c>
      <c r="G237" s="119">
        <f ca="1">IF(ISBLANK(I237),TODAY()-F237,I237-F237)</f>
        <v>28</v>
      </c>
      <c r="H237" s="126" t="s">
        <v>5004</v>
      </c>
      <c r="I237" s="127">
        <v>42906</v>
      </c>
      <c r="J237" s="122" t="s">
        <v>5113</v>
      </c>
    </row>
    <row r="238" spans="1:10" ht="15" customHeight="1" x14ac:dyDescent="0.45">
      <c r="A238" s="137">
        <v>234</v>
      </c>
      <c r="B238" s="118" t="s">
        <v>5343</v>
      </c>
      <c r="C238" s="116" t="s">
        <v>581</v>
      </c>
      <c r="D238" s="116" t="s">
        <v>583</v>
      </c>
      <c r="E238" s="115" t="s">
        <v>65</v>
      </c>
      <c r="F238" s="151">
        <v>42878</v>
      </c>
      <c r="G238" s="119">
        <f ca="1">IF(ISBLANK(I238),TODAY()-F238,I238-F238)</f>
        <v>28</v>
      </c>
      <c r="H238" s="126" t="s">
        <v>5003</v>
      </c>
      <c r="I238" s="127">
        <v>42906</v>
      </c>
      <c r="J238" s="122" t="s">
        <v>5113</v>
      </c>
    </row>
    <row r="239" spans="1:10" ht="15" customHeight="1" x14ac:dyDescent="0.45">
      <c r="A239" s="137">
        <v>235</v>
      </c>
      <c r="B239" s="118" t="s">
        <v>306</v>
      </c>
      <c r="C239" s="116" t="s">
        <v>5061</v>
      </c>
      <c r="D239" s="116" t="s">
        <v>208</v>
      </c>
      <c r="E239" s="115" t="s">
        <v>160</v>
      </c>
      <c r="F239" s="151">
        <v>42878</v>
      </c>
      <c r="G239" s="119">
        <f ca="1">IF(ISBLANK(I239),TODAY()-F239,I239-F239)</f>
        <v>16</v>
      </c>
      <c r="H239" s="126" t="s">
        <v>5002</v>
      </c>
      <c r="I239" s="127">
        <v>42894</v>
      </c>
      <c r="J239" s="122" t="s">
        <v>5113</v>
      </c>
    </row>
    <row r="240" spans="1:10" ht="15" customHeight="1" x14ac:dyDescent="0.45">
      <c r="A240" s="137">
        <v>236</v>
      </c>
      <c r="B240" s="118" t="s">
        <v>306</v>
      </c>
      <c r="C240" s="116" t="s">
        <v>5063</v>
      </c>
      <c r="D240" s="116" t="s">
        <v>214</v>
      </c>
      <c r="E240" s="115" t="s">
        <v>160</v>
      </c>
      <c r="F240" s="151">
        <v>42878</v>
      </c>
      <c r="G240" s="119">
        <f ca="1">IF(ISBLANK(I240),TODAY()-F240,I240-F240)</f>
        <v>16</v>
      </c>
      <c r="H240" s="126" t="s">
        <v>5002</v>
      </c>
      <c r="I240" s="127">
        <v>42894</v>
      </c>
      <c r="J240" s="122" t="s">
        <v>5113</v>
      </c>
    </row>
    <row r="241" spans="1:10" ht="15" customHeight="1" x14ac:dyDescent="0.45">
      <c r="A241" s="137">
        <v>237</v>
      </c>
      <c r="B241" s="118" t="s">
        <v>306</v>
      </c>
      <c r="C241" s="116" t="s">
        <v>299</v>
      </c>
      <c r="D241" s="116" t="s">
        <v>301</v>
      </c>
      <c r="E241" s="115" t="s">
        <v>160</v>
      </c>
      <c r="F241" s="151">
        <v>42878</v>
      </c>
      <c r="G241" s="119">
        <f ca="1">IF(ISBLANK(I241),TODAY()-F241,I241-F241)</f>
        <v>16</v>
      </c>
      <c r="H241" s="126" t="s">
        <v>5002</v>
      </c>
      <c r="I241" s="127">
        <v>42894</v>
      </c>
      <c r="J241" s="122" t="s">
        <v>5113</v>
      </c>
    </row>
    <row r="242" spans="1:10" ht="15" customHeight="1" x14ac:dyDescent="0.45">
      <c r="A242" s="137">
        <v>238</v>
      </c>
      <c r="B242" s="118" t="s">
        <v>306</v>
      </c>
      <c r="C242" s="116" t="s">
        <v>303</v>
      </c>
      <c r="D242" s="116" t="s">
        <v>305</v>
      </c>
      <c r="E242" s="115">
        <v>0</v>
      </c>
      <c r="F242" s="151">
        <v>42878</v>
      </c>
      <c r="G242" s="119">
        <f ca="1">IF(ISBLANK(I242),TODAY()-F242,I242-F242)</f>
        <v>24</v>
      </c>
      <c r="H242" s="126" t="s">
        <v>5344</v>
      </c>
      <c r="I242" s="127">
        <v>42902</v>
      </c>
      <c r="J242" s="122" t="s">
        <v>5113</v>
      </c>
    </row>
    <row r="243" spans="1:10" ht="15" customHeight="1" x14ac:dyDescent="0.45">
      <c r="A243" s="137">
        <v>239</v>
      </c>
      <c r="B243" s="158" t="s">
        <v>5345</v>
      </c>
      <c r="C243" s="159" t="s">
        <v>1798</v>
      </c>
      <c r="D243" s="159" t="s">
        <v>1800</v>
      </c>
      <c r="E243" s="160" t="s">
        <v>65</v>
      </c>
      <c r="F243" s="151">
        <v>42881</v>
      </c>
      <c r="G243" s="119">
        <f ca="1">IF(ISBLANK(I243),TODAY()-F243,I243-F243)</f>
        <v>19</v>
      </c>
      <c r="H243" s="148" t="s">
        <v>2702</v>
      </c>
      <c r="I243" s="149">
        <v>42900</v>
      </c>
      <c r="J243" s="122" t="s">
        <v>5113</v>
      </c>
    </row>
    <row r="244" spans="1:10" ht="15" customHeight="1" x14ac:dyDescent="0.45">
      <c r="A244" s="137">
        <v>240</v>
      </c>
      <c r="B244" s="158" t="s">
        <v>5345</v>
      </c>
      <c r="C244" s="159" t="s">
        <v>1818</v>
      </c>
      <c r="D244" s="159" t="s">
        <v>1820</v>
      </c>
      <c r="E244" s="160" t="s">
        <v>65</v>
      </c>
      <c r="F244" s="151">
        <v>42881</v>
      </c>
      <c r="G244" s="119">
        <f ca="1">IF(ISBLANK(I244),TODAY()-F244,I244-F244)</f>
        <v>19</v>
      </c>
      <c r="H244" s="148" t="s">
        <v>2702</v>
      </c>
      <c r="I244" s="149">
        <v>42900</v>
      </c>
      <c r="J244" s="122" t="s">
        <v>5113</v>
      </c>
    </row>
    <row r="245" spans="1:10" ht="15" customHeight="1" x14ac:dyDescent="0.45">
      <c r="A245" s="137">
        <v>241</v>
      </c>
      <c r="B245" s="158" t="s">
        <v>5345</v>
      </c>
      <c r="C245" s="159" t="s">
        <v>1822</v>
      </c>
      <c r="D245" s="159" t="s">
        <v>1824</v>
      </c>
      <c r="E245" s="160" t="s">
        <v>65</v>
      </c>
      <c r="F245" s="151">
        <v>42881</v>
      </c>
      <c r="G245" s="119">
        <f ca="1">IF(ISBLANK(I245),TODAY()-F245,I245-F245)</f>
        <v>19</v>
      </c>
      <c r="H245" s="148" t="s">
        <v>2702</v>
      </c>
      <c r="I245" s="149">
        <v>42900</v>
      </c>
      <c r="J245" s="122" t="s">
        <v>5113</v>
      </c>
    </row>
    <row r="246" spans="1:10" ht="15" customHeight="1" x14ac:dyDescent="0.45">
      <c r="A246" s="137">
        <v>242</v>
      </c>
      <c r="B246" s="158" t="s">
        <v>5345</v>
      </c>
      <c r="C246" s="159" t="s">
        <v>1826</v>
      </c>
      <c r="D246" s="159" t="s">
        <v>1828</v>
      </c>
      <c r="E246" s="160" t="s">
        <v>65</v>
      </c>
      <c r="F246" s="151">
        <v>42881</v>
      </c>
      <c r="G246" s="119">
        <f ca="1">IF(ISBLANK(I246),TODAY()-F246,I246-F246)</f>
        <v>19</v>
      </c>
      <c r="H246" s="148" t="s">
        <v>2702</v>
      </c>
      <c r="I246" s="149">
        <v>42900</v>
      </c>
      <c r="J246" s="122" t="s">
        <v>5113</v>
      </c>
    </row>
    <row r="247" spans="1:10" ht="15" customHeight="1" x14ac:dyDescent="0.45">
      <c r="A247" s="137">
        <v>243</v>
      </c>
      <c r="B247" s="158" t="s">
        <v>5345</v>
      </c>
      <c r="C247" s="159" t="s">
        <v>1830</v>
      </c>
      <c r="D247" s="159" t="s">
        <v>1832</v>
      </c>
      <c r="E247" s="160" t="s">
        <v>65</v>
      </c>
      <c r="F247" s="151">
        <v>42881</v>
      </c>
      <c r="G247" s="119">
        <f ca="1">IF(ISBLANK(I247),TODAY()-F247,I247-F247)</f>
        <v>19</v>
      </c>
      <c r="H247" s="148" t="s">
        <v>2702</v>
      </c>
      <c r="I247" s="149">
        <v>42900</v>
      </c>
      <c r="J247" s="122" t="s">
        <v>5113</v>
      </c>
    </row>
    <row r="248" spans="1:10" ht="15" customHeight="1" x14ac:dyDescent="0.45">
      <c r="A248" s="137">
        <v>244</v>
      </c>
      <c r="B248" s="158" t="s">
        <v>5346</v>
      </c>
      <c r="C248" s="159" t="s">
        <v>658</v>
      </c>
      <c r="D248" s="159" t="s">
        <v>660</v>
      </c>
      <c r="E248" s="160" t="s">
        <v>65</v>
      </c>
      <c r="F248" s="151">
        <v>42881</v>
      </c>
      <c r="G248" s="119">
        <f ca="1">IF(ISBLANK(I248),TODAY()-F248,I248-F248)</f>
        <v>19</v>
      </c>
      <c r="H248" s="148" t="s">
        <v>65</v>
      </c>
      <c r="I248" s="149">
        <v>42900</v>
      </c>
      <c r="J248" s="122" t="s">
        <v>5113</v>
      </c>
    </row>
    <row r="249" spans="1:10" ht="15" customHeight="1" x14ac:dyDescent="0.45">
      <c r="A249" s="137">
        <v>245</v>
      </c>
      <c r="B249" s="158" t="s">
        <v>5346</v>
      </c>
      <c r="C249" s="159" t="s">
        <v>666</v>
      </c>
      <c r="D249" s="159" t="s">
        <v>668</v>
      </c>
      <c r="E249" s="160" t="s">
        <v>65</v>
      </c>
      <c r="F249" s="151">
        <v>42881</v>
      </c>
      <c r="G249" s="119">
        <f ca="1">IF(ISBLANK(I249),TODAY()-F249,I249-F249)</f>
        <v>19</v>
      </c>
      <c r="H249" s="148" t="s">
        <v>2702</v>
      </c>
      <c r="I249" s="149">
        <v>42900</v>
      </c>
      <c r="J249" s="122" t="s">
        <v>5113</v>
      </c>
    </row>
    <row r="250" spans="1:10" ht="15" customHeight="1" x14ac:dyDescent="0.45">
      <c r="A250" s="137">
        <v>246</v>
      </c>
      <c r="B250" s="158" t="s">
        <v>5346</v>
      </c>
      <c r="C250" s="159" t="s">
        <v>677</v>
      </c>
      <c r="D250" s="159" t="s">
        <v>679</v>
      </c>
      <c r="E250" s="160" t="s">
        <v>65</v>
      </c>
      <c r="F250" s="151">
        <v>42881</v>
      </c>
      <c r="G250" s="119">
        <f ca="1">IF(ISBLANK(I250),TODAY()-F250,I250-F250)</f>
        <v>19</v>
      </c>
      <c r="H250" s="148" t="s">
        <v>65</v>
      </c>
      <c r="I250" s="149">
        <v>42900</v>
      </c>
      <c r="J250" s="122" t="s">
        <v>5113</v>
      </c>
    </row>
    <row r="251" spans="1:10" ht="15" customHeight="1" x14ac:dyDescent="0.45">
      <c r="A251" s="137">
        <v>247</v>
      </c>
      <c r="B251" s="158" t="s">
        <v>5347</v>
      </c>
      <c r="C251" s="159" t="s">
        <v>280</v>
      </c>
      <c r="D251" s="159" t="s">
        <v>282</v>
      </c>
      <c r="E251" s="160" t="s">
        <v>160</v>
      </c>
      <c r="F251" s="151">
        <v>42881</v>
      </c>
      <c r="G251" s="119">
        <f ca="1">IF(ISBLANK(I251),TODAY()-F251,I251-F251)</f>
        <v>19</v>
      </c>
      <c r="H251" s="148" t="s">
        <v>65</v>
      </c>
      <c r="I251" s="149">
        <v>42900</v>
      </c>
      <c r="J251" s="122" t="s">
        <v>5113</v>
      </c>
    </row>
    <row r="252" spans="1:10" ht="15" customHeight="1" x14ac:dyDescent="0.45">
      <c r="A252" s="137">
        <v>248</v>
      </c>
      <c r="B252" s="158" t="s">
        <v>5347</v>
      </c>
      <c r="C252" s="159" t="s">
        <v>291</v>
      </c>
      <c r="D252" s="159" t="s">
        <v>293</v>
      </c>
      <c r="E252" s="160" t="s">
        <v>160</v>
      </c>
      <c r="F252" s="151">
        <v>42881</v>
      </c>
      <c r="G252" s="119">
        <f ca="1">IF(ISBLANK(I252),TODAY()-F252,I252-F252)</f>
        <v>19</v>
      </c>
      <c r="H252" s="148" t="s">
        <v>65</v>
      </c>
      <c r="I252" s="149">
        <v>42900</v>
      </c>
      <c r="J252" s="122" t="s">
        <v>5113</v>
      </c>
    </row>
    <row r="253" spans="1:10" ht="15" customHeight="1" x14ac:dyDescent="0.45">
      <c r="A253" s="137">
        <v>249</v>
      </c>
      <c r="B253" s="158" t="s">
        <v>5347</v>
      </c>
      <c r="C253" s="159" t="s">
        <v>296</v>
      </c>
      <c r="D253" s="159" t="s">
        <v>298</v>
      </c>
      <c r="E253" s="160" t="s">
        <v>160</v>
      </c>
      <c r="F253" s="151">
        <v>42881</v>
      </c>
      <c r="G253" s="119">
        <f ca="1">IF(ISBLANK(I253),TODAY()-F253,I253-F253)</f>
        <v>19</v>
      </c>
      <c r="H253" s="148" t="s">
        <v>65</v>
      </c>
      <c r="I253" s="149">
        <v>42900</v>
      </c>
      <c r="J253" s="122" t="s">
        <v>5113</v>
      </c>
    </row>
    <row r="254" spans="1:10" ht="15" customHeight="1" x14ac:dyDescent="0.45">
      <c r="A254" s="137">
        <v>250</v>
      </c>
      <c r="B254" s="159" t="s">
        <v>5347</v>
      </c>
      <c r="C254" s="159" t="s">
        <v>315</v>
      </c>
      <c r="D254" s="159" t="s">
        <v>317</v>
      </c>
      <c r="E254" s="159" t="s">
        <v>160</v>
      </c>
      <c r="F254" s="151">
        <v>42881</v>
      </c>
      <c r="G254" s="119">
        <f ca="1">IF(ISBLANK(I254),TODAY()-F254,I254-F254)</f>
        <v>19</v>
      </c>
      <c r="H254" s="148" t="s">
        <v>65</v>
      </c>
      <c r="I254" s="149">
        <v>42900</v>
      </c>
      <c r="J254" s="122" t="s">
        <v>5113</v>
      </c>
    </row>
    <row r="255" spans="1:10" ht="15" customHeight="1" x14ac:dyDescent="0.45">
      <c r="A255" s="114">
        <v>251</v>
      </c>
      <c r="B255" s="116" t="s">
        <v>5348</v>
      </c>
      <c r="C255" s="116" t="s">
        <v>2071</v>
      </c>
      <c r="D255" s="116" t="s">
        <v>5349</v>
      </c>
      <c r="E255" s="116" t="s">
        <v>5003</v>
      </c>
      <c r="F255" s="151">
        <v>42881</v>
      </c>
      <c r="G255" s="119">
        <f ca="1">IF(ISBLANK(I255),TODAY()-F255,I255-F255)</f>
        <v>65</v>
      </c>
      <c r="H255" s="124" t="s">
        <v>5003</v>
      </c>
      <c r="I255" s="127">
        <v>42946</v>
      </c>
      <c r="J255" s="122" t="s">
        <v>5051</v>
      </c>
    </row>
    <row r="256" spans="1:10" ht="15" customHeight="1" x14ac:dyDescent="0.45">
      <c r="A256" s="114">
        <v>252</v>
      </c>
      <c r="B256" s="116" t="s">
        <v>5348</v>
      </c>
      <c r="C256" s="116" t="s">
        <v>2066</v>
      </c>
      <c r="D256" s="116" t="s">
        <v>5350</v>
      </c>
      <c r="E256" s="116" t="s">
        <v>5003</v>
      </c>
      <c r="F256" s="151">
        <v>42881</v>
      </c>
      <c r="G256" s="119">
        <f ca="1">IF(ISBLANK(I256),TODAY()-F256,I256-F256)</f>
        <v>65</v>
      </c>
      <c r="H256" s="124" t="s">
        <v>5003</v>
      </c>
      <c r="I256" s="127">
        <v>42946</v>
      </c>
      <c r="J256" s="122" t="s">
        <v>5051</v>
      </c>
    </row>
    <row r="257" spans="1:10" ht="15" customHeight="1" x14ac:dyDescent="0.45">
      <c r="A257" s="114">
        <v>253</v>
      </c>
      <c r="B257" s="116" t="s">
        <v>5348</v>
      </c>
      <c r="C257" s="116" t="s">
        <v>2061</v>
      </c>
      <c r="D257" s="116" t="s">
        <v>5351</v>
      </c>
      <c r="E257" s="116" t="s">
        <v>5003</v>
      </c>
      <c r="F257" s="151">
        <v>42881</v>
      </c>
      <c r="G257" s="119">
        <f ca="1">IF(ISBLANK(I257),TODAY()-F257,I257-F257)</f>
        <v>65</v>
      </c>
      <c r="H257" s="124" t="s">
        <v>5003</v>
      </c>
      <c r="I257" s="127">
        <v>42946</v>
      </c>
      <c r="J257" s="122" t="s">
        <v>5051</v>
      </c>
    </row>
    <row r="258" spans="1:10" ht="15" customHeight="1" x14ac:dyDescent="0.45">
      <c r="A258" s="114">
        <v>254</v>
      </c>
      <c r="B258" s="118" t="s">
        <v>5352</v>
      </c>
      <c r="C258" s="116" t="s">
        <v>5057</v>
      </c>
      <c r="D258" s="116" t="s">
        <v>199</v>
      </c>
      <c r="E258" s="115" t="s">
        <v>160</v>
      </c>
      <c r="F258" s="131">
        <v>42885</v>
      </c>
      <c r="G258" s="119">
        <f ca="1">IF(ISBLANK(I258),TODAY()-F258,I258-F258)</f>
        <v>15</v>
      </c>
      <c r="H258" s="148" t="s">
        <v>65</v>
      </c>
      <c r="I258" s="149">
        <v>42900</v>
      </c>
      <c r="J258" s="122" t="s">
        <v>5113</v>
      </c>
    </row>
    <row r="259" spans="1:10" ht="15" customHeight="1" x14ac:dyDescent="0.45">
      <c r="A259" s="114">
        <v>255</v>
      </c>
      <c r="B259" s="118" t="s">
        <v>5352</v>
      </c>
      <c r="C259" s="116" t="s">
        <v>5058</v>
      </c>
      <c r="D259" s="116" t="s">
        <v>202</v>
      </c>
      <c r="E259" s="115" t="s">
        <v>160</v>
      </c>
      <c r="F259" s="131">
        <v>42885</v>
      </c>
      <c r="G259" s="119">
        <f ca="1">IF(ISBLANK(I259),TODAY()-F259,I259-F259)</f>
        <v>15</v>
      </c>
      <c r="H259" s="148" t="s">
        <v>65</v>
      </c>
      <c r="I259" s="149">
        <v>42900</v>
      </c>
      <c r="J259" s="122" t="s">
        <v>5113</v>
      </c>
    </row>
    <row r="260" spans="1:10" ht="15" customHeight="1" x14ac:dyDescent="0.45">
      <c r="A260" s="114">
        <v>256</v>
      </c>
      <c r="B260" s="118" t="s">
        <v>5352</v>
      </c>
      <c r="C260" s="116" t="s">
        <v>5059</v>
      </c>
      <c r="D260" s="116" t="s">
        <v>5060</v>
      </c>
      <c r="E260" s="115" t="s">
        <v>160</v>
      </c>
      <c r="F260" s="131">
        <v>42885</v>
      </c>
      <c r="G260" s="119">
        <f ca="1">IF(ISBLANK(I260),TODAY()-F260,I260-F260)</f>
        <v>15</v>
      </c>
      <c r="H260" s="148" t="s">
        <v>2702</v>
      </c>
      <c r="I260" s="149">
        <v>42900</v>
      </c>
      <c r="J260" s="122" t="s">
        <v>5113</v>
      </c>
    </row>
    <row r="261" spans="1:10" ht="15" customHeight="1" x14ac:dyDescent="0.45">
      <c r="A261" s="114">
        <v>257</v>
      </c>
      <c r="B261" s="118" t="s">
        <v>5352</v>
      </c>
      <c r="C261" s="116" t="s">
        <v>226</v>
      </c>
      <c r="D261" s="116" t="s">
        <v>5067</v>
      </c>
      <c r="E261" s="115" t="s">
        <v>160</v>
      </c>
      <c r="F261" s="131">
        <v>42885</v>
      </c>
      <c r="G261" s="119">
        <f ca="1">IF(ISBLANK(I261),TODAY()-F261,I261-F261)</f>
        <v>15</v>
      </c>
      <c r="H261" s="148" t="s">
        <v>65</v>
      </c>
      <c r="I261" s="149">
        <v>42900</v>
      </c>
      <c r="J261" s="122" t="s">
        <v>5113</v>
      </c>
    </row>
    <row r="262" spans="1:10" ht="15" customHeight="1" x14ac:dyDescent="0.45">
      <c r="A262" s="114">
        <v>258</v>
      </c>
      <c r="B262" s="118" t="s">
        <v>5353</v>
      </c>
      <c r="C262" s="116" t="s">
        <v>940</v>
      </c>
      <c r="D262" s="116" t="s">
        <v>942</v>
      </c>
      <c r="E262" s="115" t="s">
        <v>65</v>
      </c>
      <c r="F262" s="131">
        <v>42885</v>
      </c>
      <c r="G262" s="119">
        <f ca="1">IF(ISBLANK(I262),TODAY()-F262,I262-F262)</f>
        <v>15</v>
      </c>
      <c r="H262" s="148" t="s">
        <v>160</v>
      </c>
      <c r="I262" s="149">
        <v>42900</v>
      </c>
      <c r="J262" s="122" t="s">
        <v>5113</v>
      </c>
    </row>
    <row r="263" spans="1:10" ht="15" customHeight="1" x14ac:dyDescent="0.45">
      <c r="A263" s="114">
        <v>259</v>
      </c>
      <c r="B263" s="118" t="s">
        <v>5353</v>
      </c>
      <c r="C263" s="116" t="s">
        <v>946</v>
      </c>
      <c r="D263" s="116" t="s">
        <v>948</v>
      </c>
      <c r="E263" s="115" t="s">
        <v>65</v>
      </c>
      <c r="F263" s="131">
        <v>42885</v>
      </c>
      <c r="G263" s="119">
        <f ca="1">IF(ISBLANK(I263),TODAY()-F263,I263-F263)</f>
        <v>15</v>
      </c>
      <c r="H263" s="148" t="s">
        <v>65</v>
      </c>
      <c r="I263" s="149">
        <v>42900</v>
      </c>
      <c r="J263" s="122" t="s">
        <v>5113</v>
      </c>
    </row>
    <row r="264" spans="1:10" ht="15" customHeight="1" x14ac:dyDescent="0.45">
      <c r="A264" s="114">
        <v>260</v>
      </c>
      <c r="B264" s="118" t="s">
        <v>5353</v>
      </c>
      <c r="C264" s="116" t="s">
        <v>950</v>
      </c>
      <c r="D264" s="116" t="s">
        <v>952</v>
      </c>
      <c r="E264" s="115" t="s">
        <v>65</v>
      </c>
      <c r="F264" s="131">
        <v>42885</v>
      </c>
      <c r="G264" s="119">
        <f ca="1">IF(ISBLANK(I264),TODAY()-F264,I264-F264)</f>
        <v>15</v>
      </c>
      <c r="H264" s="148" t="s">
        <v>65</v>
      </c>
      <c r="I264" s="149">
        <v>42900</v>
      </c>
      <c r="J264" s="122" t="s">
        <v>5113</v>
      </c>
    </row>
    <row r="265" spans="1:10" ht="15" customHeight="1" x14ac:dyDescent="0.45">
      <c r="A265" s="114">
        <v>261</v>
      </c>
      <c r="B265" s="118" t="s">
        <v>5353</v>
      </c>
      <c r="C265" s="116" t="s">
        <v>955</v>
      </c>
      <c r="D265" s="116" t="s">
        <v>957</v>
      </c>
      <c r="E265" s="115" t="s">
        <v>65</v>
      </c>
      <c r="F265" s="131">
        <v>42885</v>
      </c>
      <c r="G265" s="119">
        <f ca="1">IF(ISBLANK(I265),TODAY()-F265,I265-F265)</f>
        <v>15</v>
      </c>
      <c r="H265" s="148" t="s">
        <v>65</v>
      </c>
      <c r="I265" s="149">
        <v>42900</v>
      </c>
      <c r="J265" s="122" t="s">
        <v>5113</v>
      </c>
    </row>
    <row r="266" spans="1:10" ht="15" customHeight="1" x14ac:dyDescent="0.45">
      <c r="A266" s="114">
        <v>262</v>
      </c>
      <c r="B266" s="118" t="s">
        <v>5354</v>
      </c>
      <c r="C266" s="135" t="s">
        <v>284</v>
      </c>
      <c r="D266" s="135" t="s">
        <v>5355</v>
      </c>
      <c r="E266" s="135" t="s">
        <v>160</v>
      </c>
      <c r="F266" s="131">
        <v>42885</v>
      </c>
      <c r="G266" s="119">
        <f ca="1">IF(ISBLANK(I266),TODAY()-F266,I266-F266)</f>
        <v>49</v>
      </c>
      <c r="H266" s="152" t="s">
        <v>5296</v>
      </c>
      <c r="I266" s="161">
        <v>42934</v>
      </c>
      <c r="J266" s="154" t="s">
        <v>5113</v>
      </c>
    </row>
    <row r="267" spans="1:10" ht="15" customHeight="1" x14ac:dyDescent="0.45">
      <c r="A267" s="114">
        <v>263</v>
      </c>
      <c r="B267" s="118" t="s">
        <v>5354</v>
      </c>
      <c r="C267" s="135" t="s">
        <v>288</v>
      </c>
      <c r="D267" s="135" t="s">
        <v>5356</v>
      </c>
      <c r="E267" s="135" t="s">
        <v>160</v>
      </c>
      <c r="F267" s="131">
        <v>42885</v>
      </c>
      <c r="G267" s="119">
        <f ca="1">IF(ISBLANK(I267),TODAY()-F267,I267-F267)</f>
        <v>49</v>
      </c>
      <c r="H267" s="152" t="s">
        <v>5296</v>
      </c>
      <c r="I267" s="161">
        <v>42934</v>
      </c>
      <c r="J267" s="154" t="s">
        <v>5113</v>
      </c>
    </row>
    <row r="268" spans="1:10" ht="15" customHeight="1" x14ac:dyDescent="0.45">
      <c r="A268" s="114">
        <v>264</v>
      </c>
      <c r="B268" s="118" t="s">
        <v>5354</v>
      </c>
      <c r="C268" s="135" t="s">
        <v>5357</v>
      </c>
      <c r="D268" s="135" t="s">
        <v>193</v>
      </c>
      <c r="E268" s="135">
        <v>0</v>
      </c>
      <c r="F268" s="131">
        <v>42885</v>
      </c>
      <c r="G268" s="119">
        <f ca="1">IF(ISBLANK(I268),TODAY()-F268,I268-F268)</f>
        <v>0</v>
      </c>
      <c r="H268" s="126" t="s">
        <v>5227</v>
      </c>
      <c r="I268" s="127">
        <v>42885</v>
      </c>
      <c r="J268" s="122" t="s">
        <v>5113</v>
      </c>
    </row>
    <row r="269" spans="1:10" ht="15" customHeight="1" x14ac:dyDescent="0.45">
      <c r="A269" s="114">
        <v>265</v>
      </c>
      <c r="B269" s="118" t="s">
        <v>5358</v>
      </c>
      <c r="C269" s="135" t="s">
        <v>626</v>
      </c>
      <c r="D269" s="135" t="s">
        <v>628</v>
      </c>
      <c r="E269" s="135" t="s">
        <v>65</v>
      </c>
      <c r="F269" s="131">
        <v>42885</v>
      </c>
      <c r="G269" s="119">
        <f ca="1">IF(ISBLANK(I269),TODAY()-F269,I269-F269)</f>
        <v>87</v>
      </c>
      <c r="H269" s="126" t="s">
        <v>65</v>
      </c>
      <c r="I269" s="127">
        <v>42972</v>
      </c>
      <c r="J269" s="122" t="s">
        <v>5113</v>
      </c>
    </row>
    <row r="270" spans="1:10" ht="15" customHeight="1" x14ac:dyDescent="0.45">
      <c r="A270" s="114">
        <v>266</v>
      </c>
      <c r="B270" s="118" t="s">
        <v>5358</v>
      </c>
      <c r="C270" s="135" t="s">
        <v>605</v>
      </c>
      <c r="D270" s="135" t="s">
        <v>607</v>
      </c>
      <c r="E270" s="135" t="s">
        <v>65</v>
      </c>
      <c r="F270" s="131">
        <v>42885</v>
      </c>
      <c r="G270" s="119">
        <f ca="1">IF(ISBLANK(I270),TODAY()-F270,I270-F270)</f>
        <v>87</v>
      </c>
      <c r="H270" s="126" t="s">
        <v>65</v>
      </c>
      <c r="I270" s="127">
        <v>42972</v>
      </c>
      <c r="J270" s="122" t="s">
        <v>5113</v>
      </c>
    </row>
    <row r="271" spans="1:10" ht="15" customHeight="1" x14ac:dyDescent="0.45">
      <c r="A271" s="114">
        <v>267</v>
      </c>
      <c r="B271" s="118" t="s">
        <v>5358</v>
      </c>
      <c r="C271" s="135" t="s">
        <v>610</v>
      </c>
      <c r="D271" s="135" t="s">
        <v>612</v>
      </c>
      <c r="E271" s="135" t="s">
        <v>65</v>
      </c>
      <c r="F271" s="131">
        <v>42885</v>
      </c>
      <c r="G271" s="119">
        <f ca="1">IF(ISBLANK(I271),TODAY()-F271,I271-F271)</f>
        <v>87</v>
      </c>
      <c r="H271" s="126" t="s">
        <v>65</v>
      </c>
      <c r="I271" s="127">
        <v>42972</v>
      </c>
      <c r="J271" s="122" t="s">
        <v>5113</v>
      </c>
    </row>
    <row r="272" spans="1:10" ht="15" customHeight="1" x14ac:dyDescent="0.45">
      <c r="A272" s="114">
        <v>268</v>
      </c>
      <c r="B272" s="118" t="s">
        <v>5359</v>
      </c>
      <c r="C272" s="116" t="s">
        <v>707</v>
      </c>
      <c r="D272" s="116" t="s">
        <v>709</v>
      </c>
      <c r="E272" s="115" t="s">
        <v>65</v>
      </c>
      <c r="F272" s="131">
        <v>42885</v>
      </c>
      <c r="G272" s="119">
        <f ca="1">IF(ISBLANK(I272),TODAY()-F272,I272-F272)</f>
        <v>15</v>
      </c>
      <c r="H272" s="148" t="s">
        <v>65</v>
      </c>
      <c r="I272" s="149">
        <v>42900</v>
      </c>
      <c r="J272" s="122" t="s">
        <v>5113</v>
      </c>
    </row>
    <row r="273" spans="1:10" ht="15" customHeight="1" x14ac:dyDescent="0.45">
      <c r="A273" s="114">
        <v>269</v>
      </c>
      <c r="B273" s="118" t="s">
        <v>5359</v>
      </c>
      <c r="C273" s="116" t="s">
        <v>717</v>
      </c>
      <c r="D273" s="116" t="s">
        <v>719</v>
      </c>
      <c r="E273" s="115" t="s">
        <v>65</v>
      </c>
      <c r="F273" s="131">
        <v>42885</v>
      </c>
      <c r="G273" s="119">
        <f ca="1">IF(ISBLANK(I273),TODAY()-F273,I273-F273)</f>
        <v>15</v>
      </c>
      <c r="H273" s="148" t="s">
        <v>65</v>
      </c>
      <c r="I273" s="149">
        <v>42900</v>
      </c>
      <c r="J273" s="122" t="s">
        <v>5113</v>
      </c>
    </row>
    <row r="274" spans="1:10" ht="15" customHeight="1" x14ac:dyDescent="0.45">
      <c r="A274" s="114">
        <v>270</v>
      </c>
      <c r="B274" s="118" t="s">
        <v>5359</v>
      </c>
      <c r="C274" s="116" t="s">
        <v>746</v>
      </c>
      <c r="D274" s="116" t="s">
        <v>748</v>
      </c>
      <c r="E274" s="115" t="s">
        <v>65</v>
      </c>
      <c r="F274" s="131">
        <v>42885</v>
      </c>
      <c r="G274" s="119">
        <f ca="1">IF(ISBLANK(I274),TODAY()-F274,I274-F274)</f>
        <v>15</v>
      </c>
      <c r="H274" s="148" t="s">
        <v>65</v>
      </c>
      <c r="I274" s="149">
        <v>42900</v>
      </c>
      <c r="J274" s="122" t="s">
        <v>5113</v>
      </c>
    </row>
    <row r="275" spans="1:10" ht="15" customHeight="1" x14ac:dyDescent="0.45">
      <c r="A275" s="114">
        <v>271</v>
      </c>
      <c r="B275" s="118" t="s">
        <v>5359</v>
      </c>
      <c r="C275" s="116" t="s">
        <v>754</v>
      </c>
      <c r="D275" s="116" t="s">
        <v>756</v>
      </c>
      <c r="E275" s="115" t="s">
        <v>65</v>
      </c>
      <c r="F275" s="131">
        <v>42885</v>
      </c>
      <c r="G275" s="119">
        <f ca="1">IF(ISBLANK(I275),TODAY()-F275,I275-F275)</f>
        <v>15</v>
      </c>
      <c r="H275" s="148" t="s">
        <v>65</v>
      </c>
      <c r="I275" s="149">
        <v>42900</v>
      </c>
      <c r="J275" s="122" t="s">
        <v>5113</v>
      </c>
    </row>
    <row r="276" spans="1:10" ht="15" customHeight="1" x14ac:dyDescent="0.45">
      <c r="A276" s="114">
        <v>272</v>
      </c>
      <c r="B276" s="118" t="s">
        <v>5360</v>
      </c>
      <c r="C276" s="116" t="s">
        <v>1845</v>
      </c>
      <c r="D276" s="116" t="s">
        <v>1847</v>
      </c>
      <c r="E276" s="116" t="s">
        <v>5003</v>
      </c>
      <c r="F276" s="123">
        <v>42888</v>
      </c>
      <c r="G276" s="119">
        <f ca="1">IF(ISBLANK(I276),TODAY()-F276,I276-F276)</f>
        <v>52</v>
      </c>
      <c r="H276" s="152" t="s">
        <v>5296</v>
      </c>
      <c r="I276" s="161">
        <v>42940</v>
      </c>
      <c r="J276" s="162" t="s">
        <v>5160</v>
      </c>
    </row>
    <row r="277" spans="1:10" ht="15" customHeight="1" x14ac:dyDescent="0.45">
      <c r="A277" s="163">
        <v>273</v>
      </c>
      <c r="B277" s="116" t="s">
        <v>5361</v>
      </c>
      <c r="C277" s="116" t="s">
        <v>1630</v>
      </c>
      <c r="D277" s="116" t="s">
        <v>5362</v>
      </c>
      <c r="E277" s="116" t="s">
        <v>5002</v>
      </c>
      <c r="F277" s="123">
        <v>42888</v>
      </c>
      <c r="G277" s="119">
        <f ca="1">IF(ISBLANK(I277),TODAY()-F277,I277-F277)</f>
        <v>12</v>
      </c>
      <c r="H277" s="148" t="s">
        <v>2702</v>
      </c>
      <c r="I277" s="149">
        <v>42900</v>
      </c>
      <c r="J277" s="122" t="s">
        <v>5113</v>
      </c>
    </row>
    <row r="278" spans="1:10" ht="15" customHeight="1" x14ac:dyDescent="0.45">
      <c r="A278" s="163">
        <v>274</v>
      </c>
      <c r="B278" s="116" t="s">
        <v>5363</v>
      </c>
      <c r="C278" s="116" t="s">
        <v>5364</v>
      </c>
      <c r="D278" s="116" t="s">
        <v>5140</v>
      </c>
      <c r="E278" s="116" t="s">
        <v>5003</v>
      </c>
      <c r="F278" s="123">
        <v>42888</v>
      </c>
      <c r="G278" s="119">
        <f ca="1">IF(ISBLANK(I278),TODAY()-F278,I278-F278)</f>
        <v>12</v>
      </c>
      <c r="H278" s="148" t="s">
        <v>164</v>
      </c>
      <c r="I278" s="149">
        <v>42900</v>
      </c>
      <c r="J278" s="122" t="s">
        <v>5113</v>
      </c>
    </row>
    <row r="279" spans="1:10" ht="15" customHeight="1" x14ac:dyDescent="0.45">
      <c r="A279" s="163">
        <v>284</v>
      </c>
      <c r="B279" s="116" t="s">
        <v>5365</v>
      </c>
      <c r="C279" s="116" t="s">
        <v>590</v>
      </c>
      <c r="D279" s="116" t="s">
        <v>592</v>
      </c>
      <c r="E279" s="130" t="s">
        <v>5002</v>
      </c>
      <c r="F279" s="123">
        <v>42888</v>
      </c>
      <c r="G279" s="119">
        <f ca="1">IF(ISBLANK(I279),TODAY()-F279,I279-F279)</f>
        <v>62</v>
      </c>
      <c r="H279" s="126" t="s">
        <v>5003</v>
      </c>
      <c r="I279" s="127">
        <v>42950</v>
      </c>
      <c r="J279" s="156" t="s">
        <v>5113</v>
      </c>
    </row>
    <row r="280" spans="1:10" ht="15" customHeight="1" x14ac:dyDescent="0.45">
      <c r="A280" s="163">
        <v>285</v>
      </c>
      <c r="B280" s="116" t="s">
        <v>5365</v>
      </c>
      <c r="C280" s="116" t="s">
        <v>594</v>
      </c>
      <c r="D280" s="116" t="s">
        <v>596</v>
      </c>
      <c r="E280" s="130" t="s">
        <v>5002</v>
      </c>
      <c r="F280" s="123">
        <v>42888</v>
      </c>
      <c r="G280" s="119">
        <f ca="1">IF(ISBLANK(I280),TODAY()-F280,I280-F280)</f>
        <v>62</v>
      </c>
      <c r="H280" s="126" t="s">
        <v>5003</v>
      </c>
      <c r="I280" s="127">
        <v>42950</v>
      </c>
      <c r="J280" s="156" t="s">
        <v>5113</v>
      </c>
    </row>
    <row r="281" spans="1:10" ht="15" customHeight="1" x14ac:dyDescent="0.45">
      <c r="A281" s="163">
        <v>286</v>
      </c>
      <c r="B281" s="115" t="s">
        <v>5366</v>
      </c>
      <c r="C281" s="116" t="s">
        <v>5174</v>
      </c>
      <c r="D281" s="116" t="s">
        <v>5175</v>
      </c>
      <c r="E281" s="130" t="s">
        <v>5003</v>
      </c>
      <c r="F281" s="123">
        <v>42888</v>
      </c>
      <c r="G281" s="119">
        <f ca="1">IF(ISBLANK(I281),TODAY()-F281,I281-F281)</f>
        <v>58</v>
      </c>
      <c r="H281" s="126" t="s">
        <v>5002</v>
      </c>
      <c r="I281" s="127">
        <v>42946</v>
      </c>
      <c r="J281" s="122" t="s">
        <v>5051</v>
      </c>
    </row>
    <row r="282" spans="1:10" ht="15" customHeight="1" x14ac:dyDescent="0.45">
      <c r="A282" s="163">
        <v>287</v>
      </c>
      <c r="B282" s="116" t="s">
        <v>5366</v>
      </c>
      <c r="C282" s="116" t="s">
        <v>5176</v>
      </c>
      <c r="D282" s="116" t="s">
        <v>5177</v>
      </c>
      <c r="E282" s="130" t="s">
        <v>5003</v>
      </c>
      <c r="F282" s="123">
        <v>42888</v>
      </c>
      <c r="G282" s="119">
        <f ca="1">IF(ISBLANK(I282),TODAY()-F282,I282-F282)</f>
        <v>58</v>
      </c>
      <c r="H282" s="126" t="s">
        <v>5002</v>
      </c>
      <c r="I282" s="127">
        <v>42946</v>
      </c>
      <c r="J282" s="122" t="s">
        <v>5051</v>
      </c>
    </row>
    <row r="283" spans="1:10" ht="15" customHeight="1" x14ac:dyDescent="0.45">
      <c r="A283" s="163">
        <v>275</v>
      </c>
      <c r="B283" s="116" t="s">
        <v>1498</v>
      </c>
      <c r="C283" s="116" t="s">
        <v>1495</v>
      </c>
      <c r="D283" s="116" t="s">
        <v>5125</v>
      </c>
      <c r="E283" s="115">
        <v>0</v>
      </c>
      <c r="F283" s="131">
        <v>42891</v>
      </c>
      <c r="G283" s="119">
        <f ca="1">IF(ISBLANK(I283),TODAY()-F283,I283-F283)</f>
        <v>0</v>
      </c>
      <c r="H283" s="126" t="s">
        <v>64</v>
      </c>
      <c r="I283" s="127">
        <v>42891</v>
      </c>
      <c r="J283" s="122" t="s">
        <v>5160</v>
      </c>
    </row>
    <row r="284" spans="1:10" ht="15" customHeight="1" x14ac:dyDescent="0.45">
      <c r="A284" s="163">
        <v>276</v>
      </c>
      <c r="B284" s="116" t="s">
        <v>1498</v>
      </c>
      <c r="C284" s="116" t="s">
        <v>1501</v>
      </c>
      <c r="D284" s="116" t="s">
        <v>5126</v>
      </c>
      <c r="E284" s="115">
        <v>0</v>
      </c>
      <c r="F284" s="131">
        <v>42891</v>
      </c>
      <c r="G284" s="119">
        <f ca="1">IF(ISBLANK(I284),TODAY()-F284,I284-F284)</f>
        <v>0</v>
      </c>
      <c r="H284" s="126" t="s">
        <v>64</v>
      </c>
      <c r="I284" s="127">
        <v>42891</v>
      </c>
      <c r="J284" s="122" t="s">
        <v>5160</v>
      </c>
    </row>
    <row r="285" spans="1:10" ht="15" customHeight="1" x14ac:dyDescent="0.45">
      <c r="A285" s="163">
        <v>277</v>
      </c>
      <c r="B285" s="116" t="s">
        <v>1498</v>
      </c>
      <c r="C285" s="116" t="s">
        <v>1505</v>
      </c>
      <c r="D285" s="116" t="s">
        <v>5127</v>
      </c>
      <c r="E285" s="115">
        <v>0</v>
      </c>
      <c r="F285" s="131">
        <v>42891</v>
      </c>
      <c r="G285" s="119">
        <f ca="1">IF(ISBLANK(I285),TODAY()-F285,I285-F285)</f>
        <v>0</v>
      </c>
      <c r="H285" s="126" t="s">
        <v>64</v>
      </c>
      <c r="I285" s="127">
        <v>42891</v>
      </c>
      <c r="J285" s="122" t="s">
        <v>5160</v>
      </c>
    </row>
    <row r="286" spans="1:10" ht="15" customHeight="1" x14ac:dyDescent="0.45">
      <c r="A286" s="163">
        <v>278</v>
      </c>
      <c r="B286" s="116" t="s">
        <v>1498</v>
      </c>
      <c r="C286" s="116" t="s">
        <v>1509</v>
      </c>
      <c r="D286" s="116" t="s">
        <v>5128</v>
      </c>
      <c r="E286" s="115">
        <v>0</v>
      </c>
      <c r="F286" s="131">
        <v>42891</v>
      </c>
      <c r="G286" s="119">
        <f ca="1">IF(ISBLANK(I286),TODAY()-F286,I286-F286)</f>
        <v>0</v>
      </c>
      <c r="H286" s="126" t="s">
        <v>64</v>
      </c>
      <c r="I286" s="127">
        <v>42891</v>
      </c>
      <c r="J286" s="122" t="s">
        <v>5160</v>
      </c>
    </row>
    <row r="287" spans="1:10" ht="15" customHeight="1" x14ac:dyDescent="0.45">
      <c r="A287" s="163">
        <v>279</v>
      </c>
      <c r="B287" s="116" t="s">
        <v>1498</v>
      </c>
      <c r="C287" s="116" t="s">
        <v>1513</v>
      </c>
      <c r="D287" s="116" t="s">
        <v>1515</v>
      </c>
      <c r="E287" s="115">
        <v>0</v>
      </c>
      <c r="F287" s="131">
        <v>42891</v>
      </c>
      <c r="G287" s="119">
        <f ca="1">IF(ISBLANK(I287),TODAY()-F287,I287-F287)</f>
        <v>0</v>
      </c>
      <c r="H287" s="126" t="s">
        <v>64</v>
      </c>
      <c r="I287" s="127">
        <v>42891</v>
      </c>
      <c r="J287" s="122" t="s">
        <v>5160</v>
      </c>
    </row>
    <row r="288" spans="1:10" ht="15" customHeight="1" x14ac:dyDescent="0.45">
      <c r="A288" s="163">
        <v>280</v>
      </c>
      <c r="B288" s="116" t="s">
        <v>1498</v>
      </c>
      <c r="C288" s="116" t="s">
        <v>1517</v>
      </c>
      <c r="D288" s="116" t="s">
        <v>1519</v>
      </c>
      <c r="E288" s="115">
        <v>0</v>
      </c>
      <c r="F288" s="131">
        <v>42891</v>
      </c>
      <c r="G288" s="119">
        <f ca="1">IF(ISBLANK(I288),TODAY()-F288,I288-F288)</f>
        <v>0</v>
      </c>
      <c r="H288" s="126" t="s">
        <v>64</v>
      </c>
      <c r="I288" s="127">
        <v>42891</v>
      </c>
      <c r="J288" s="122" t="s">
        <v>5160</v>
      </c>
    </row>
    <row r="289" spans="1:10" ht="15" customHeight="1" x14ac:dyDescent="0.45">
      <c r="A289" s="163">
        <v>281</v>
      </c>
      <c r="B289" s="116" t="s">
        <v>1498</v>
      </c>
      <c r="C289" s="116" t="s">
        <v>1521</v>
      </c>
      <c r="D289" s="116" t="s">
        <v>1523</v>
      </c>
      <c r="E289" s="115">
        <v>0</v>
      </c>
      <c r="F289" s="131">
        <v>42891</v>
      </c>
      <c r="G289" s="119">
        <f ca="1">IF(ISBLANK(I289),TODAY()-F289,I289-F289)</f>
        <v>0</v>
      </c>
      <c r="H289" s="126" t="s">
        <v>64</v>
      </c>
      <c r="I289" s="127">
        <v>42891</v>
      </c>
      <c r="J289" s="122" t="s">
        <v>5160</v>
      </c>
    </row>
    <row r="290" spans="1:10" ht="15" customHeight="1" x14ac:dyDescent="0.45">
      <c r="A290" s="163">
        <v>282</v>
      </c>
      <c r="B290" s="116" t="s">
        <v>1498</v>
      </c>
      <c r="C290" s="116" t="s">
        <v>1525</v>
      </c>
      <c r="D290" s="116" t="s">
        <v>1527</v>
      </c>
      <c r="E290" s="115">
        <v>0</v>
      </c>
      <c r="F290" s="131">
        <v>42891</v>
      </c>
      <c r="G290" s="119">
        <f ca="1">IF(ISBLANK(I290),TODAY()-F290,I290-F290)</f>
        <v>0</v>
      </c>
      <c r="H290" s="126" t="s">
        <v>64</v>
      </c>
      <c r="I290" s="127">
        <v>42891</v>
      </c>
      <c r="J290" s="122" t="s">
        <v>5160</v>
      </c>
    </row>
    <row r="291" spans="1:10" ht="15" customHeight="1" x14ac:dyDescent="0.45">
      <c r="A291" s="163">
        <v>283</v>
      </c>
      <c r="B291" s="116" t="s">
        <v>1498</v>
      </c>
      <c r="C291" s="116" t="s">
        <v>1529</v>
      </c>
      <c r="D291" s="116" t="s">
        <v>1531</v>
      </c>
      <c r="E291" s="115">
        <v>0</v>
      </c>
      <c r="F291" s="131">
        <v>42891</v>
      </c>
      <c r="G291" s="119">
        <f ca="1">IF(ISBLANK(I291),TODAY()-F291,I291-F291)</f>
        <v>0</v>
      </c>
      <c r="H291" s="126" t="s">
        <v>64</v>
      </c>
      <c r="I291" s="127">
        <v>42891</v>
      </c>
      <c r="J291" s="122" t="s">
        <v>5160</v>
      </c>
    </row>
    <row r="292" spans="1:10" ht="15" customHeight="1" x14ac:dyDescent="0.45">
      <c r="A292" s="163">
        <v>288</v>
      </c>
      <c r="B292" s="116" t="s">
        <v>5367</v>
      </c>
      <c r="C292" s="116" t="s">
        <v>5368</v>
      </c>
      <c r="D292" s="116" t="s">
        <v>5369</v>
      </c>
      <c r="E292" s="130" t="s">
        <v>5002</v>
      </c>
      <c r="F292" s="131">
        <v>42891</v>
      </c>
      <c r="G292" s="119">
        <f ca="1">IF(ISBLANK(I292),TODAY()-F292,I292-F292)</f>
        <v>32</v>
      </c>
      <c r="H292" s="124" t="s">
        <v>5002</v>
      </c>
      <c r="I292" s="125">
        <v>42923</v>
      </c>
      <c r="J292" s="122" t="s">
        <v>5160</v>
      </c>
    </row>
    <row r="293" spans="1:10" ht="15" customHeight="1" x14ac:dyDescent="0.45">
      <c r="A293" s="163">
        <v>289</v>
      </c>
      <c r="B293" s="116" t="s">
        <v>5367</v>
      </c>
      <c r="C293" s="116" t="s">
        <v>5370</v>
      </c>
      <c r="D293" s="116" t="s">
        <v>5371</v>
      </c>
      <c r="E293" s="130" t="s">
        <v>5002</v>
      </c>
      <c r="F293" s="131">
        <v>42891</v>
      </c>
      <c r="G293" s="119">
        <f ca="1">IF(ISBLANK(I293),TODAY()-F293,I293-F293)</f>
        <v>32</v>
      </c>
      <c r="H293" s="124" t="s">
        <v>5003</v>
      </c>
      <c r="I293" s="125">
        <v>42923</v>
      </c>
      <c r="J293" s="122" t="s">
        <v>5160</v>
      </c>
    </row>
    <row r="294" spans="1:10" ht="15" customHeight="1" x14ac:dyDescent="0.45">
      <c r="A294" s="163">
        <v>290</v>
      </c>
      <c r="B294" s="116" t="s">
        <v>5367</v>
      </c>
      <c r="C294" s="116" t="s">
        <v>5372</v>
      </c>
      <c r="D294" s="116" t="s">
        <v>5373</v>
      </c>
      <c r="E294" s="130" t="s">
        <v>5002</v>
      </c>
      <c r="F294" s="131">
        <v>42891</v>
      </c>
      <c r="G294" s="119">
        <f ca="1">IF(ISBLANK(I294),TODAY()-F294,I294-F294)</f>
        <v>32</v>
      </c>
      <c r="H294" s="124" t="s">
        <v>5002</v>
      </c>
      <c r="I294" s="125">
        <v>42923</v>
      </c>
      <c r="J294" s="122" t="s">
        <v>5160</v>
      </c>
    </row>
    <row r="295" spans="1:10" ht="15" customHeight="1" x14ac:dyDescent="0.45">
      <c r="A295" s="163">
        <v>291</v>
      </c>
      <c r="B295" s="116" t="s">
        <v>5374</v>
      </c>
      <c r="C295" s="116" t="s">
        <v>5375</v>
      </c>
      <c r="D295" s="116" t="s">
        <v>5142</v>
      </c>
      <c r="E295" s="130" t="s">
        <v>5003</v>
      </c>
      <c r="F295" s="131">
        <v>42891</v>
      </c>
      <c r="G295" s="119">
        <f ca="1">IF(ISBLANK(I295),TODAY()-F295,I295-F295)</f>
        <v>15</v>
      </c>
      <c r="H295" s="124" t="s">
        <v>5062</v>
      </c>
      <c r="I295" s="127">
        <v>42906</v>
      </c>
      <c r="J295" s="122" t="s">
        <v>5113</v>
      </c>
    </row>
    <row r="296" spans="1:10" ht="15" customHeight="1" x14ac:dyDescent="0.45">
      <c r="A296" s="163">
        <v>292</v>
      </c>
      <c r="B296" s="116" t="s">
        <v>5374</v>
      </c>
      <c r="C296" s="116" t="s">
        <v>5143</v>
      </c>
      <c r="D296" s="116" t="s">
        <v>5144</v>
      </c>
      <c r="E296" s="130" t="s">
        <v>5003</v>
      </c>
      <c r="F296" s="131">
        <v>42891</v>
      </c>
      <c r="G296" s="119">
        <f ca="1">IF(ISBLANK(I296),TODAY()-F296,I296-F296)</f>
        <v>15</v>
      </c>
      <c r="H296" s="124" t="s">
        <v>5062</v>
      </c>
      <c r="I296" s="127">
        <v>42906</v>
      </c>
      <c r="J296" s="122" t="s">
        <v>5113</v>
      </c>
    </row>
    <row r="297" spans="1:10" ht="15" customHeight="1" x14ac:dyDescent="0.45">
      <c r="A297" s="163">
        <v>293</v>
      </c>
      <c r="B297" s="116" t="s">
        <v>5374</v>
      </c>
      <c r="C297" s="116" t="s">
        <v>5145</v>
      </c>
      <c r="D297" s="116" t="s">
        <v>5146</v>
      </c>
      <c r="E297" s="130" t="s">
        <v>5003</v>
      </c>
      <c r="F297" s="131">
        <v>42891</v>
      </c>
      <c r="G297" s="119">
        <f ca="1">IF(ISBLANK(I297),TODAY()-F297,I297-F297)</f>
        <v>15</v>
      </c>
      <c r="H297" s="124" t="s">
        <v>5062</v>
      </c>
      <c r="I297" s="127">
        <v>42906</v>
      </c>
      <c r="J297" s="122" t="s">
        <v>5113</v>
      </c>
    </row>
    <row r="298" spans="1:10" ht="15" customHeight="1" x14ac:dyDescent="0.45">
      <c r="A298" s="163">
        <v>294</v>
      </c>
      <c r="B298" s="116" t="s">
        <v>5374</v>
      </c>
      <c r="C298" s="116" t="s">
        <v>5147</v>
      </c>
      <c r="D298" s="116" t="s">
        <v>5148</v>
      </c>
      <c r="E298" s="130" t="s">
        <v>5003</v>
      </c>
      <c r="F298" s="131">
        <v>42891</v>
      </c>
      <c r="G298" s="119">
        <f ca="1">IF(ISBLANK(I298),TODAY()-F298,I298-F298)</f>
        <v>15</v>
      </c>
      <c r="H298" s="124" t="s">
        <v>5062</v>
      </c>
      <c r="I298" s="127">
        <v>42906</v>
      </c>
      <c r="J298" s="122" t="s">
        <v>5113</v>
      </c>
    </row>
    <row r="299" spans="1:10" ht="15" customHeight="1" x14ac:dyDescent="0.45">
      <c r="A299" s="163">
        <v>295</v>
      </c>
      <c r="B299" s="116" t="s">
        <v>5374</v>
      </c>
      <c r="C299" s="116" t="s">
        <v>5149</v>
      </c>
      <c r="D299" s="116" t="s">
        <v>5150</v>
      </c>
      <c r="E299" s="130" t="s">
        <v>5003</v>
      </c>
      <c r="F299" s="131">
        <v>42891</v>
      </c>
      <c r="G299" s="119">
        <f ca="1">IF(ISBLANK(I299),TODAY()-F299,I299-F299)</f>
        <v>15</v>
      </c>
      <c r="H299" s="124" t="s">
        <v>5062</v>
      </c>
      <c r="I299" s="127">
        <v>42906</v>
      </c>
      <c r="J299" s="122" t="s">
        <v>5113</v>
      </c>
    </row>
    <row r="300" spans="1:10" ht="15" customHeight="1" x14ac:dyDescent="0.45">
      <c r="A300" s="163">
        <v>296</v>
      </c>
      <c r="B300" s="116" t="s">
        <v>5374</v>
      </c>
      <c r="C300" s="116" t="s">
        <v>5151</v>
      </c>
      <c r="D300" s="116" t="s">
        <v>5152</v>
      </c>
      <c r="E300" s="130" t="s">
        <v>5003</v>
      </c>
      <c r="F300" s="131">
        <v>42891</v>
      </c>
      <c r="G300" s="119">
        <f ca="1">IF(ISBLANK(I300),TODAY()-F300,I300-F300)</f>
        <v>15</v>
      </c>
      <c r="H300" s="124" t="s">
        <v>5062</v>
      </c>
      <c r="I300" s="127">
        <v>42906</v>
      </c>
      <c r="J300" s="122" t="s">
        <v>5113</v>
      </c>
    </row>
    <row r="301" spans="1:10" ht="15" customHeight="1" x14ac:dyDescent="0.45">
      <c r="A301" s="163">
        <v>297</v>
      </c>
      <c r="B301" s="116" t="s">
        <v>5374</v>
      </c>
      <c r="C301" s="116" t="s">
        <v>5153</v>
      </c>
      <c r="D301" s="116" t="s">
        <v>5154</v>
      </c>
      <c r="E301" s="130" t="s">
        <v>5003</v>
      </c>
      <c r="F301" s="131">
        <v>42891</v>
      </c>
      <c r="G301" s="119">
        <f ca="1">IF(ISBLANK(I301),TODAY()-F301,I301-F301)</f>
        <v>15</v>
      </c>
      <c r="H301" s="124" t="s">
        <v>5002</v>
      </c>
      <c r="I301" s="147">
        <v>42906</v>
      </c>
      <c r="J301" s="122" t="s">
        <v>5113</v>
      </c>
    </row>
    <row r="302" spans="1:10" ht="15" customHeight="1" x14ac:dyDescent="0.45">
      <c r="A302" s="163">
        <v>298</v>
      </c>
      <c r="B302" s="116" t="s">
        <v>5376</v>
      </c>
      <c r="C302" s="116" t="s">
        <v>5377</v>
      </c>
      <c r="D302" s="116" t="s">
        <v>5378</v>
      </c>
      <c r="E302" s="130" t="s">
        <v>5002</v>
      </c>
      <c r="F302" s="131">
        <v>42891</v>
      </c>
      <c r="G302" s="119">
        <f ca="1">IF(ISBLANK(I302),TODAY()-F302,I302-F302)</f>
        <v>42</v>
      </c>
      <c r="H302" s="358" t="s">
        <v>5002</v>
      </c>
      <c r="I302" s="125">
        <v>42933</v>
      </c>
      <c r="J302" s="156" t="s">
        <v>5113</v>
      </c>
    </row>
    <row r="303" spans="1:10" ht="15" customHeight="1" x14ac:dyDescent="0.45">
      <c r="A303" s="163">
        <v>299</v>
      </c>
      <c r="B303" s="118" t="s">
        <v>5379</v>
      </c>
      <c r="C303" s="116" t="s">
        <v>5192</v>
      </c>
      <c r="D303" s="116" t="s">
        <v>5193</v>
      </c>
      <c r="E303" s="115" t="s">
        <v>160</v>
      </c>
      <c r="F303" s="131">
        <v>42894</v>
      </c>
      <c r="G303" s="119">
        <f ca="1">IF(ISBLANK(I303),TODAY()-F303,I303-F303)</f>
        <v>28</v>
      </c>
      <c r="H303" s="126" t="s">
        <v>5003</v>
      </c>
      <c r="I303" s="127">
        <v>42922</v>
      </c>
      <c r="J303" s="156" t="s">
        <v>5113</v>
      </c>
    </row>
    <row r="304" spans="1:10" ht="15" customHeight="1" x14ac:dyDescent="0.45">
      <c r="A304" s="163">
        <v>300</v>
      </c>
      <c r="B304" s="118" t="s">
        <v>5379</v>
      </c>
      <c r="C304" s="116" t="s">
        <v>5194</v>
      </c>
      <c r="D304" s="116" t="s">
        <v>5195</v>
      </c>
      <c r="E304" s="115" t="s">
        <v>160</v>
      </c>
      <c r="F304" s="131">
        <v>42894</v>
      </c>
      <c r="G304" s="119">
        <f ca="1">IF(ISBLANK(I304),TODAY()-F304,I304-F304)</f>
        <v>28</v>
      </c>
      <c r="H304" s="126" t="s">
        <v>5003</v>
      </c>
      <c r="I304" s="127">
        <v>42922</v>
      </c>
      <c r="J304" s="156" t="s">
        <v>5113</v>
      </c>
    </row>
    <row r="305" spans="1:10" ht="15" customHeight="1" x14ac:dyDescent="0.45">
      <c r="A305" s="163">
        <v>301</v>
      </c>
      <c r="B305" s="118" t="s">
        <v>5379</v>
      </c>
      <c r="C305" s="116" t="s">
        <v>333</v>
      </c>
      <c r="D305" s="116" t="s">
        <v>335</v>
      </c>
      <c r="E305" s="115" t="s">
        <v>160</v>
      </c>
      <c r="F305" s="131">
        <v>42894</v>
      </c>
      <c r="G305" s="119">
        <f ca="1">IF(ISBLANK(I305),TODAY()-F305,I305-F305)</f>
        <v>28</v>
      </c>
      <c r="H305" s="126" t="s">
        <v>5003</v>
      </c>
      <c r="I305" s="127">
        <v>42922</v>
      </c>
      <c r="J305" s="156" t="s">
        <v>5113</v>
      </c>
    </row>
    <row r="306" spans="1:10" ht="15" customHeight="1" x14ac:dyDescent="0.45">
      <c r="A306" s="163">
        <v>302</v>
      </c>
      <c r="B306" s="118" t="s">
        <v>5380</v>
      </c>
      <c r="C306" s="116" t="s">
        <v>441</v>
      </c>
      <c r="D306" s="116" t="s">
        <v>443</v>
      </c>
      <c r="E306" s="115" t="s">
        <v>160</v>
      </c>
      <c r="F306" s="131">
        <v>42894</v>
      </c>
      <c r="G306" s="119">
        <f ca="1">IF(ISBLANK(I306),TODAY()-F306,I306-F306)</f>
        <v>28</v>
      </c>
      <c r="H306" s="126" t="s">
        <v>5003</v>
      </c>
      <c r="I306" s="127">
        <v>42922</v>
      </c>
      <c r="J306" s="156" t="s">
        <v>5113</v>
      </c>
    </row>
    <row r="307" spans="1:10" ht="15" customHeight="1" x14ac:dyDescent="0.45">
      <c r="A307" s="163">
        <v>303</v>
      </c>
      <c r="B307" s="116" t="s">
        <v>5380</v>
      </c>
      <c r="C307" s="116" t="s">
        <v>5234</v>
      </c>
      <c r="D307" s="116" t="s">
        <v>5235</v>
      </c>
      <c r="E307" s="116" t="s">
        <v>160</v>
      </c>
      <c r="F307" s="131">
        <v>42894</v>
      </c>
      <c r="G307" s="119">
        <f ca="1">IF(ISBLANK(I307),TODAY()-F307,I307-F307)</f>
        <v>28</v>
      </c>
      <c r="H307" s="126" t="s">
        <v>5003</v>
      </c>
      <c r="I307" s="127">
        <v>42922</v>
      </c>
      <c r="J307" s="156" t="s">
        <v>5113</v>
      </c>
    </row>
    <row r="308" spans="1:10" ht="15" customHeight="1" x14ac:dyDescent="0.45">
      <c r="A308" s="163">
        <v>304</v>
      </c>
      <c r="B308" s="116" t="s">
        <v>5381</v>
      </c>
      <c r="C308" s="116" t="s">
        <v>1793</v>
      </c>
      <c r="D308" s="116" t="s">
        <v>1795</v>
      </c>
      <c r="E308" s="116" t="s">
        <v>65</v>
      </c>
      <c r="F308" s="131">
        <v>42894</v>
      </c>
      <c r="G308" s="119">
        <f ca="1">IF(ISBLANK(I308),TODAY()-F308,I308-F308)</f>
        <v>29</v>
      </c>
      <c r="H308" s="124" t="s">
        <v>5003</v>
      </c>
      <c r="I308" s="164">
        <v>42923</v>
      </c>
      <c r="J308" s="156" t="s">
        <v>5113</v>
      </c>
    </row>
    <row r="309" spans="1:10" ht="15" customHeight="1" x14ac:dyDescent="0.45">
      <c r="A309" s="163">
        <v>305</v>
      </c>
      <c r="B309" s="116" t="s">
        <v>5382</v>
      </c>
      <c r="C309" s="116" t="s">
        <v>404</v>
      </c>
      <c r="D309" s="116" t="s">
        <v>406</v>
      </c>
      <c r="E309" s="116" t="s">
        <v>65</v>
      </c>
      <c r="F309" s="131">
        <v>42894</v>
      </c>
      <c r="G309" s="119">
        <f ca="1">IF(ISBLANK(I309),TODAY()-F309,I309-F309)</f>
        <v>39</v>
      </c>
      <c r="H309" s="132" t="s">
        <v>65</v>
      </c>
      <c r="I309" s="164">
        <v>42933</v>
      </c>
      <c r="J309" s="156" t="s">
        <v>5113</v>
      </c>
    </row>
    <row r="310" spans="1:10" ht="15" customHeight="1" x14ac:dyDescent="0.45">
      <c r="A310" s="163">
        <v>306</v>
      </c>
      <c r="B310" s="116" t="s">
        <v>5382</v>
      </c>
      <c r="C310" s="116" t="s">
        <v>409</v>
      </c>
      <c r="D310" s="116" t="s">
        <v>411</v>
      </c>
      <c r="E310" s="116" t="s">
        <v>65</v>
      </c>
      <c r="F310" s="131">
        <v>42894</v>
      </c>
      <c r="G310" s="119">
        <f ca="1">IF(ISBLANK(I310),TODAY()-F310,I310-F310)</f>
        <v>39</v>
      </c>
      <c r="H310" s="132" t="s">
        <v>160</v>
      </c>
      <c r="I310" s="164">
        <v>42933</v>
      </c>
      <c r="J310" s="156" t="s">
        <v>5113</v>
      </c>
    </row>
    <row r="311" spans="1:10" ht="15" customHeight="1" x14ac:dyDescent="0.45">
      <c r="A311" s="163">
        <v>307</v>
      </c>
      <c r="B311" s="116" t="s">
        <v>5382</v>
      </c>
      <c r="C311" s="116" t="s">
        <v>413</v>
      </c>
      <c r="D311" s="116" t="s">
        <v>415</v>
      </c>
      <c r="E311" s="116" t="s">
        <v>65</v>
      </c>
      <c r="F311" s="131">
        <v>42894</v>
      </c>
      <c r="G311" s="119">
        <f ca="1">IF(ISBLANK(I311),TODAY()-F311,I311-F311)</f>
        <v>39</v>
      </c>
      <c r="H311" s="132" t="s">
        <v>65</v>
      </c>
      <c r="I311" s="164">
        <v>42933</v>
      </c>
      <c r="J311" s="156" t="s">
        <v>5113</v>
      </c>
    </row>
    <row r="312" spans="1:10" ht="15" customHeight="1" x14ac:dyDescent="0.45">
      <c r="A312" s="163">
        <v>308</v>
      </c>
      <c r="B312" s="116" t="s">
        <v>5382</v>
      </c>
      <c r="C312" s="116" t="s">
        <v>447</v>
      </c>
      <c r="D312" s="116" t="s">
        <v>449</v>
      </c>
      <c r="E312" s="116" t="s">
        <v>65</v>
      </c>
      <c r="F312" s="131">
        <v>42894</v>
      </c>
      <c r="G312" s="119">
        <f ca="1">IF(ISBLANK(I312),TODAY()-F312,I312-F312)</f>
        <v>39</v>
      </c>
      <c r="H312" s="132" t="s">
        <v>65</v>
      </c>
      <c r="I312" s="164">
        <v>42933</v>
      </c>
      <c r="J312" s="156" t="s">
        <v>5113</v>
      </c>
    </row>
    <row r="313" spans="1:10" ht="15" customHeight="1" x14ac:dyDescent="0.45">
      <c r="A313" s="163">
        <v>309</v>
      </c>
      <c r="B313" s="116" t="s">
        <v>5382</v>
      </c>
      <c r="C313" s="116" t="s">
        <v>450</v>
      </c>
      <c r="D313" s="116" t="s">
        <v>452</v>
      </c>
      <c r="E313" s="116" t="s">
        <v>65</v>
      </c>
      <c r="F313" s="131">
        <v>42894</v>
      </c>
      <c r="G313" s="119">
        <f ca="1">IF(ISBLANK(I313),TODAY()-F313,I313-F313)</f>
        <v>39</v>
      </c>
      <c r="H313" s="132" t="s">
        <v>160</v>
      </c>
      <c r="I313" s="164">
        <v>42933</v>
      </c>
      <c r="J313" s="156" t="s">
        <v>5113</v>
      </c>
    </row>
    <row r="314" spans="1:10" ht="15" customHeight="1" x14ac:dyDescent="0.45">
      <c r="A314" s="163">
        <v>310</v>
      </c>
      <c r="B314" s="116" t="s">
        <v>5382</v>
      </c>
      <c r="C314" s="116" t="s">
        <v>453</v>
      </c>
      <c r="D314" s="116" t="s">
        <v>455</v>
      </c>
      <c r="E314" s="116" t="s">
        <v>65</v>
      </c>
      <c r="F314" s="131">
        <v>42894</v>
      </c>
      <c r="G314" s="119">
        <f ca="1">IF(ISBLANK(I314),TODAY()-F314,I314-F314)</f>
        <v>39</v>
      </c>
      <c r="H314" s="357" t="s">
        <v>65</v>
      </c>
      <c r="I314" s="125">
        <v>42933</v>
      </c>
      <c r="J314" s="156" t="s">
        <v>5113</v>
      </c>
    </row>
    <row r="315" spans="1:10" ht="15" customHeight="1" x14ac:dyDescent="0.35">
      <c r="A315" s="163">
        <v>311</v>
      </c>
      <c r="B315" s="115" t="s">
        <v>5383</v>
      </c>
      <c r="C315" s="116" t="s">
        <v>323</v>
      </c>
      <c r="D315" s="128" t="s">
        <v>325</v>
      </c>
      <c r="E315" s="130">
        <v>0</v>
      </c>
      <c r="F315" s="131">
        <v>42894</v>
      </c>
      <c r="G315" s="119">
        <f ca="1">IF(ISBLANK(I315),TODAY()-F315,I315-F315)</f>
        <v>0</v>
      </c>
      <c r="H315" s="126" t="s">
        <v>5227</v>
      </c>
      <c r="I315" s="127">
        <v>42894</v>
      </c>
      <c r="J315" s="122" t="s">
        <v>5113</v>
      </c>
    </row>
    <row r="316" spans="1:10" ht="15" customHeight="1" x14ac:dyDescent="0.45">
      <c r="A316" s="163">
        <v>312</v>
      </c>
      <c r="B316" s="118" t="s">
        <v>5384</v>
      </c>
      <c r="C316" s="116" t="s">
        <v>598</v>
      </c>
      <c r="D316" s="116" t="s">
        <v>600</v>
      </c>
      <c r="E316" s="115" t="s">
        <v>65</v>
      </c>
      <c r="F316" s="131">
        <v>42900</v>
      </c>
      <c r="G316" s="119">
        <f ca="1">IF(ISBLANK(I316),TODAY()-F316,I316-F316)</f>
        <v>50</v>
      </c>
      <c r="H316" s="126" t="s">
        <v>5062</v>
      </c>
      <c r="I316" s="127">
        <v>42950</v>
      </c>
      <c r="J316" s="156" t="s">
        <v>5113</v>
      </c>
    </row>
    <row r="317" spans="1:10" ht="15" customHeight="1" x14ac:dyDescent="0.45">
      <c r="A317" s="163">
        <v>313</v>
      </c>
      <c r="B317" s="118" t="s">
        <v>5384</v>
      </c>
      <c r="C317" s="116" t="s">
        <v>614</v>
      </c>
      <c r="D317" s="116" t="s">
        <v>616</v>
      </c>
      <c r="E317" s="115" t="s">
        <v>65</v>
      </c>
      <c r="F317" s="131">
        <v>42900</v>
      </c>
      <c r="G317" s="119">
        <f ca="1">IF(ISBLANK(I317),TODAY()-F317,I317-F317)</f>
        <v>50</v>
      </c>
      <c r="H317" s="126" t="s">
        <v>5002</v>
      </c>
      <c r="I317" s="127">
        <v>42950</v>
      </c>
      <c r="J317" s="156" t="s">
        <v>5113</v>
      </c>
    </row>
    <row r="318" spans="1:10" ht="15" customHeight="1" x14ac:dyDescent="0.45">
      <c r="A318" s="163">
        <v>314</v>
      </c>
      <c r="B318" s="118" t="s">
        <v>5384</v>
      </c>
      <c r="C318" s="116" t="s">
        <v>630</v>
      </c>
      <c r="D318" s="116" t="s">
        <v>632</v>
      </c>
      <c r="E318" s="115" t="s">
        <v>65</v>
      </c>
      <c r="F318" s="131">
        <v>42900</v>
      </c>
      <c r="G318" s="119">
        <f ca="1">IF(ISBLANK(I318),TODAY()-F318,I318-F318)</f>
        <v>22</v>
      </c>
      <c r="H318" s="126" t="s">
        <v>5004</v>
      </c>
      <c r="I318" s="127">
        <v>42922</v>
      </c>
      <c r="J318" s="156" t="s">
        <v>5113</v>
      </c>
    </row>
    <row r="319" spans="1:10" ht="15" customHeight="1" x14ac:dyDescent="0.45">
      <c r="A319" s="163">
        <v>315</v>
      </c>
      <c r="B319" s="118" t="s">
        <v>5385</v>
      </c>
      <c r="C319" s="116" t="s">
        <v>1476</v>
      </c>
      <c r="D319" s="116" t="s">
        <v>1478</v>
      </c>
      <c r="E319" s="130" t="s">
        <v>5002</v>
      </c>
      <c r="F319" s="131">
        <v>42900</v>
      </c>
      <c r="G319" s="119">
        <f ca="1">IF(ISBLANK(I319),TODAY()-F319,I319-F319)</f>
        <v>72</v>
      </c>
      <c r="H319" s="126" t="s">
        <v>160</v>
      </c>
      <c r="I319" s="127">
        <v>42972</v>
      </c>
      <c r="J319" s="156" t="s">
        <v>5113</v>
      </c>
    </row>
    <row r="320" spans="1:10" ht="15" customHeight="1" x14ac:dyDescent="0.45">
      <c r="A320" s="163">
        <v>316</v>
      </c>
      <c r="B320" s="118" t="s">
        <v>5386</v>
      </c>
      <c r="C320" s="116" t="s">
        <v>418</v>
      </c>
      <c r="D320" s="116" t="s">
        <v>420</v>
      </c>
      <c r="E320" s="115" t="s">
        <v>65</v>
      </c>
      <c r="F320" s="131">
        <v>42900</v>
      </c>
      <c r="G320" s="119">
        <f ca="1">IF(ISBLANK(I320),TODAY()-F320,I320-F320)</f>
        <v>22</v>
      </c>
      <c r="H320" s="126" t="s">
        <v>5003</v>
      </c>
      <c r="I320" s="127">
        <v>42922</v>
      </c>
      <c r="J320" s="156" t="s">
        <v>5113</v>
      </c>
    </row>
    <row r="321" spans="1:10" ht="15" customHeight="1" x14ac:dyDescent="0.45">
      <c r="A321" s="163">
        <v>317</v>
      </c>
      <c r="B321" s="118" t="s">
        <v>5386</v>
      </c>
      <c r="C321" s="116" t="s">
        <v>422</v>
      </c>
      <c r="D321" s="116" t="s">
        <v>424</v>
      </c>
      <c r="E321" s="115" t="s">
        <v>65</v>
      </c>
      <c r="F321" s="131">
        <v>42900</v>
      </c>
      <c r="G321" s="119">
        <f ca="1">IF(ISBLANK(I321),TODAY()-F321,I321-F321)</f>
        <v>22</v>
      </c>
      <c r="H321" s="126" t="s">
        <v>5003</v>
      </c>
      <c r="I321" s="127">
        <v>42922</v>
      </c>
      <c r="J321" s="156" t="s">
        <v>5113</v>
      </c>
    </row>
    <row r="322" spans="1:10" ht="15" customHeight="1" x14ac:dyDescent="0.45">
      <c r="A322" s="163">
        <v>318</v>
      </c>
      <c r="B322" s="118" t="s">
        <v>5386</v>
      </c>
      <c r="C322" s="116" t="s">
        <v>426</v>
      </c>
      <c r="D322" s="116" t="s">
        <v>428</v>
      </c>
      <c r="E322" s="115" t="s">
        <v>65</v>
      </c>
      <c r="F322" s="131">
        <v>42900</v>
      </c>
      <c r="G322" s="119">
        <f ca="1">IF(ISBLANK(I322),TODAY()-F322,I322-F322)</f>
        <v>22</v>
      </c>
      <c r="H322" s="126" t="s">
        <v>5002</v>
      </c>
      <c r="I322" s="127">
        <v>42922</v>
      </c>
      <c r="J322" s="156" t="s">
        <v>5113</v>
      </c>
    </row>
    <row r="323" spans="1:10" ht="15" customHeight="1" x14ac:dyDescent="0.45">
      <c r="A323" s="163">
        <v>319</v>
      </c>
      <c r="B323" s="118" t="s">
        <v>5386</v>
      </c>
      <c r="C323" s="116" t="s">
        <v>457</v>
      </c>
      <c r="D323" s="116" t="s">
        <v>459</v>
      </c>
      <c r="E323" s="115" t="s">
        <v>65</v>
      </c>
      <c r="F323" s="131">
        <v>42900</v>
      </c>
      <c r="G323" s="119">
        <f ca="1">IF(ISBLANK(I323),TODAY()-F323,I323-F323)</f>
        <v>22</v>
      </c>
      <c r="H323" s="126" t="s">
        <v>5003</v>
      </c>
      <c r="I323" s="127">
        <v>42922</v>
      </c>
      <c r="J323" s="156" t="s">
        <v>5113</v>
      </c>
    </row>
    <row r="324" spans="1:10" ht="15" customHeight="1" x14ac:dyDescent="0.45">
      <c r="A324" s="163">
        <v>320</v>
      </c>
      <c r="B324" s="118" t="s">
        <v>5386</v>
      </c>
      <c r="C324" s="116" t="s">
        <v>461</v>
      </c>
      <c r="D324" s="116" t="s">
        <v>463</v>
      </c>
      <c r="E324" s="115" t="s">
        <v>65</v>
      </c>
      <c r="F324" s="131">
        <v>42900</v>
      </c>
      <c r="G324" s="119">
        <f ca="1">IF(ISBLANK(I324),TODAY()-F324,I324-F324)</f>
        <v>22</v>
      </c>
      <c r="H324" s="126" t="s">
        <v>5003</v>
      </c>
      <c r="I324" s="127">
        <v>42922</v>
      </c>
      <c r="J324" s="156" t="s">
        <v>5113</v>
      </c>
    </row>
    <row r="325" spans="1:10" ht="15" customHeight="1" x14ac:dyDescent="0.45">
      <c r="A325" s="166">
        <v>321</v>
      </c>
      <c r="B325" s="118" t="s">
        <v>5386</v>
      </c>
      <c r="C325" s="116" t="s">
        <v>465</v>
      </c>
      <c r="D325" s="116" t="s">
        <v>467</v>
      </c>
      <c r="E325" s="115" t="s">
        <v>65</v>
      </c>
      <c r="F325" s="131">
        <v>42900</v>
      </c>
      <c r="G325" s="119">
        <f ca="1">IF(ISBLANK(I325),TODAY()-F325,I325-F325)</f>
        <v>22</v>
      </c>
      <c r="H325" s="126" t="s">
        <v>5002</v>
      </c>
      <c r="I325" s="127">
        <v>42922</v>
      </c>
      <c r="J325" s="156" t="s">
        <v>5113</v>
      </c>
    </row>
    <row r="326" spans="1:10" ht="15" customHeight="1" x14ac:dyDescent="0.45">
      <c r="A326" s="166">
        <v>322</v>
      </c>
      <c r="B326" s="118" t="s">
        <v>5387</v>
      </c>
      <c r="C326" s="116" t="s">
        <v>1848</v>
      </c>
      <c r="D326" s="116" t="s">
        <v>1850</v>
      </c>
      <c r="E326" s="115" t="s">
        <v>160</v>
      </c>
      <c r="F326" s="131">
        <v>42900</v>
      </c>
      <c r="G326" s="119">
        <f ca="1">IF(ISBLANK(I326),TODAY()-F326,I326-F326)</f>
        <v>22</v>
      </c>
      <c r="H326" s="126" t="s">
        <v>5003</v>
      </c>
      <c r="I326" s="127">
        <v>42922</v>
      </c>
      <c r="J326" s="156" t="s">
        <v>5113</v>
      </c>
    </row>
    <row r="327" spans="1:10" ht="15" customHeight="1" x14ac:dyDescent="0.45">
      <c r="A327" s="166">
        <v>323</v>
      </c>
      <c r="B327" s="167" t="s">
        <v>5387</v>
      </c>
      <c r="C327" s="168" t="s">
        <v>1874</v>
      </c>
      <c r="D327" s="168" t="s">
        <v>1876</v>
      </c>
      <c r="E327" s="169" t="s">
        <v>160</v>
      </c>
      <c r="F327" s="131">
        <v>42900</v>
      </c>
      <c r="G327" s="119">
        <f ca="1">IF(ISBLANK(I327),TODAY()-F327,I327-F327)</f>
        <v>22</v>
      </c>
      <c r="H327" s="126" t="s">
        <v>5002</v>
      </c>
      <c r="I327" s="127">
        <v>42922</v>
      </c>
      <c r="J327" s="156" t="s">
        <v>5113</v>
      </c>
    </row>
    <row r="328" spans="1:10" ht="15" customHeight="1" x14ac:dyDescent="0.45">
      <c r="A328" s="166">
        <v>324</v>
      </c>
      <c r="B328" s="118" t="s">
        <v>5387</v>
      </c>
      <c r="C328" s="116" t="s">
        <v>1881</v>
      </c>
      <c r="D328" s="116" t="s">
        <v>5162</v>
      </c>
      <c r="E328" s="115" t="s">
        <v>160</v>
      </c>
      <c r="F328" s="131">
        <v>42900</v>
      </c>
      <c r="G328" s="119">
        <f ca="1">IF(ISBLANK(I328),TODAY()-F328,I328-F328)</f>
        <v>22</v>
      </c>
      <c r="H328" s="126" t="s">
        <v>5004</v>
      </c>
      <c r="I328" s="127">
        <v>42922</v>
      </c>
      <c r="J328" s="156" t="s">
        <v>5113</v>
      </c>
    </row>
    <row r="329" spans="1:10" ht="15" customHeight="1" x14ac:dyDescent="0.45">
      <c r="A329" s="166">
        <v>325</v>
      </c>
      <c r="B329" s="167" t="s">
        <v>5388</v>
      </c>
      <c r="C329" s="168" t="s">
        <v>602</v>
      </c>
      <c r="D329" s="168" t="s">
        <v>604</v>
      </c>
      <c r="E329" s="169" t="s">
        <v>65</v>
      </c>
      <c r="F329" s="131">
        <v>42900</v>
      </c>
      <c r="G329" s="119">
        <f ca="1">IF(ISBLANK(I329),TODAY()-F329,I329-F329)</f>
        <v>50</v>
      </c>
      <c r="H329" s="170" t="s">
        <v>5003</v>
      </c>
      <c r="I329" s="127">
        <v>42950</v>
      </c>
      <c r="J329" s="171" t="s">
        <v>5113</v>
      </c>
    </row>
    <row r="330" spans="1:10" ht="15" customHeight="1" x14ac:dyDescent="0.45">
      <c r="A330" s="163">
        <v>326</v>
      </c>
      <c r="B330" s="118" t="s">
        <v>5388</v>
      </c>
      <c r="C330" s="116" t="s">
        <v>618</v>
      </c>
      <c r="D330" s="116" t="s">
        <v>620</v>
      </c>
      <c r="E330" s="115" t="s">
        <v>65</v>
      </c>
      <c r="F330" s="131">
        <v>42900</v>
      </c>
      <c r="G330" s="119">
        <f ca="1">IF(ISBLANK(I330),TODAY()-F330,I330-F330)</f>
        <v>50</v>
      </c>
      <c r="H330" s="126" t="s">
        <v>5062</v>
      </c>
      <c r="I330" s="127">
        <v>42950</v>
      </c>
      <c r="J330" s="156" t="s">
        <v>5113</v>
      </c>
    </row>
    <row r="331" spans="1:10" ht="15" customHeight="1" x14ac:dyDescent="0.45">
      <c r="A331" s="163">
        <v>327</v>
      </c>
      <c r="B331" s="115" t="s">
        <v>5389</v>
      </c>
      <c r="C331" s="116" t="s">
        <v>258</v>
      </c>
      <c r="D331" s="116" t="s">
        <v>260</v>
      </c>
      <c r="E331" s="115" t="s">
        <v>5003</v>
      </c>
      <c r="F331" s="131">
        <v>42900</v>
      </c>
      <c r="G331" s="119">
        <f ca="1">IF(ISBLANK(I331),TODAY()-F331,I331-F331)</f>
        <v>22</v>
      </c>
      <c r="H331" s="126" t="s">
        <v>5002</v>
      </c>
      <c r="I331" s="127">
        <v>42922</v>
      </c>
      <c r="J331" s="156" t="s">
        <v>5113</v>
      </c>
    </row>
    <row r="332" spans="1:10" ht="15" customHeight="1" x14ac:dyDescent="0.45">
      <c r="A332" s="163">
        <v>328</v>
      </c>
      <c r="B332" s="115" t="s">
        <v>5389</v>
      </c>
      <c r="C332" s="116" t="s">
        <v>263</v>
      </c>
      <c r="D332" s="116" t="s">
        <v>265</v>
      </c>
      <c r="E332" s="115" t="s">
        <v>5003</v>
      </c>
      <c r="F332" s="131">
        <v>42900</v>
      </c>
      <c r="G332" s="119">
        <f ca="1">IF(ISBLANK(I332),TODAY()-F332,I332-F332)</f>
        <v>22</v>
      </c>
      <c r="H332" s="126" t="s">
        <v>5002</v>
      </c>
      <c r="I332" s="127">
        <v>42922</v>
      </c>
      <c r="J332" s="156" t="s">
        <v>5113</v>
      </c>
    </row>
    <row r="333" spans="1:10" ht="15" customHeight="1" x14ac:dyDescent="0.45">
      <c r="A333" s="163">
        <v>329</v>
      </c>
      <c r="B333" s="115" t="s">
        <v>5390</v>
      </c>
      <c r="C333" s="116" t="s">
        <v>1622</v>
      </c>
      <c r="D333" s="116" t="s">
        <v>1624</v>
      </c>
      <c r="E333" s="115" t="s">
        <v>5003</v>
      </c>
      <c r="F333" s="131">
        <v>42900</v>
      </c>
      <c r="G333" s="119">
        <f ca="1">IF(ISBLANK(I333),TODAY()-F333,I333-F333)</f>
        <v>22</v>
      </c>
      <c r="H333" s="126" t="s">
        <v>5002</v>
      </c>
      <c r="I333" s="127">
        <v>42922</v>
      </c>
      <c r="J333" s="156" t="s">
        <v>5113</v>
      </c>
    </row>
    <row r="334" spans="1:10" ht="15" customHeight="1" x14ac:dyDescent="0.45">
      <c r="A334" s="172">
        <v>331</v>
      </c>
      <c r="B334" s="115" t="s">
        <v>5392</v>
      </c>
      <c r="C334" s="115" t="s">
        <v>5186</v>
      </c>
      <c r="D334" s="115" t="s">
        <v>5187</v>
      </c>
      <c r="E334" s="115">
        <v>0</v>
      </c>
      <c r="F334" s="131">
        <v>42900</v>
      </c>
      <c r="G334" s="119">
        <f ca="1">IF(ISBLANK(I334),TODAY()-F334,I334-F334)</f>
        <v>2</v>
      </c>
      <c r="H334" s="126" t="s">
        <v>5227</v>
      </c>
      <c r="I334" s="127">
        <v>42902</v>
      </c>
      <c r="J334" s="156" t="s">
        <v>5113</v>
      </c>
    </row>
    <row r="335" spans="1:10" ht="15" customHeight="1" x14ac:dyDescent="0.45">
      <c r="A335" s="172">
        <v>334</v>
      </c>
      <c r="B335" s="115" t="s">
        <v>5395</v>
      </c>
      <c r="C335" s="116" t="s">
        <v>528</v>
      </c>
      <c r="D335" s="116" t="s">
        <v>530</v>
      </c>
      <c r="E335" s="130">
        <v>0</v>
      </c>
      <c r="F335" s="131">
        <v>42900</v>
      </c>
      <c r="G335" s="119">
        <f ca="1">IF(ISBLANK(I335),TODAY()-F335,I335-F335)</f>
        <v>2</v>
      </c>
      <c r="H335" s="165" t="s">
        <v>5227</v>
      </c>
      <c r="I335" s="374">
        <v>42902</v>
      </c>
      <c r="J335" s="174" t="s">
        <v>5113</v>
      </c>
    </row>
    <row r="336" spans="1:10" ht="15" customHeight="1" x14ac:dyDescent="0.45">
      <c r="A336" s="163">
        <v>330</v>
      </c>
      <c r="B336" s="115" t="s">
        <v>5391</v>
      </c>
      <c r="C336" s="116" t="s">
        <v>1281</v>
      </c>
      <c r="D336" s="116" t="s">
        <v>1283</v>
      </c>
      <c r="E336" s="115" t="s">
        <v>5003</v>
      </c>
      <c r="F336" s="131">
        <v>42906</v>
      </c>
      <c r="G336" s="119">
        <f ca="1">IF(ISBLANK(I336),TODAY()-F336,I336-F336)</f>
        <v>66</v>
      </c>
      <c r="H336" s="126" t="s">
        <v>160</v>
      </c>
      <c r="I336" s="147">
        <v>42972</v>
      </c>
      <c r="J336" s="156" t="s">
        <v>5113</v>
      </c>
    </row>
    <row r="337" spans="1:10" ht="15" customHeight="1" x14ac:dyDescent="0.45">
      <c r="A337" s="172">
        <v>332</v>
      </c>
      <c r="B337" s="115" t="s">
        <v>5393</v>
      </c>
      <c r="C337" s="115" t="s">
        <v>5171</v>
      </c>
      <c r="D337" s="115" t="s">
        <v>5172</v>
      </c>
      <c r="E337" s="115" t="s">
        <v>5003</v>
      </c>
      <c r="F337" s="131">
        <v>42906</v>
      </c>
      <c r="G337" s="119">
        <f ca="1">IF(ISBLANK(I337),TODAY()-F337,I337-F337)</f>
        <v>52</v>
      </c>
      <c r="H337" s="173" t="s">
        <v>5003</v>
      </c>
      <c r="I337" s="121">
        <v>42958</v>
      </c>
      <c r="J337" s="156" t="s">
        <v>5160</v>
      </c>
    </row>
    <row r="338" spans="1:10" ht="15" customHeight="1" x14ac:dyDescent="0.45">
      <c r="A338" s="172">
        <v>333</v>
      </c>
      <c r="B338" s="116" t="s">
        <v>5394</v>
      </c>
      <c r="C338" s="116" t="s">
        <v>568</v>
      </c>
      <c r="D338" s="116" t="s">
        <v>570</v>
      </c>
      <c r="E338" s="130" t="s">
        <v>5002</v>
      </c>
      <c r="F338" s="131">
        <v>42906</v>
      </c>
      <c r="G338" s="119">
        <f ca="1">IF(ISBLANK(I338),TODAY()-F338,I338-F338)</f>
        <v>27</v>
      </c>
      <c r="H338" s="126" t="s">
        <v>5003</v>
      </c>
      <c r="I338" s="125">
        <v>42933</v>
      </c>
      <c r="J338" s="156" t="s">
        <v>5113</v>
      </c>
    </row>
    <row r="339" spans="1:10" ht="15" customHeight="1" x14ac:dyDescent="0.45">
      <c r="A339" s="172">
        <v>335</v>
      </c>
      <c r="B339" s="115" t="s">
        <v>5396</v>
      </c>
      <c r="C339" s="116" t="s">
        <v>516</v>
      </c>
      <c r="D339" s="116" t="s">
        <v>518</v>
      </c>
      <c r="E339" s="130" t="s">
        <v>5003</v>
      </c>
      <c r="F339" s="131">
        <v>42906</v>
      </c>
      <c r="G339" s="119">
        <f ca="1">IF(ISBLANK(I339),TODAY()-F339,I339-F339)</f>
        <v>40</v>
      </c>
      <c r="H339" s="126" t="s">
        <v>5003</v>
      </c>
      <c r="I339" s="127">
        <v>42946</v>
      </c>
      <c r="J339" s="122" t="s">
        <v>5051</v>
      </c>
    </row>
    <row r="340" spans="1:10" ht="15" customHeight="1" x14ac:dyDescent="0.45">
      <c r="A340" s="175">
        <v>336</v>
      </c>
      <c r="B340" s="176" t="s">
        <v>5396</v>
      </c>
      <c r="C340" s="335" t="s">
        <v>520</v>
      </c>
      <c r="D340" s="335" t="s">
        <v>522</v>
      </c>
      <c r="E340" s="338" t="s">
        <v>5003</v>
      </c>
      <c r="F340" s="131">
        <v>42906</v>
      </c>
      <c r="G340" s="119">
        <f ca="1">IF(ISBLANK(I340),TODAY()-F340,I340-F340)</f>
        <v>40</v>
      </c>
      <c r="H340" s="179" t="s">
        <v>5002</v>
      </c>
      <c r="I340" s="127">
        <v>42946</v>
      </c>
      <c r="J340" s="122" t="s">
        <v>5051</v>
      </c>
    </row>
    <row r="341" spans="1:10" ht="15" customHeight="1" x14ac:dyDescent="0.45">
      <c r="A341" s="172">
        <v>337</v>
      </c>
      <c r="B341" s="115" t="s">
        <v>5396</v>
      </c>
      <c r="C341" s="115" t="s">
        <v>5397</v>
      </c>
      <c r="D341" s="115" t="s">
        <v>5398</v>
      </c>
      <c r="E341" s="115" t="s">
        <v>5003</v>
      </c>
      <c r="F341" s="131">
        <v>42906</v>
      </c>
      <c r="G341" s="119">
        <f ca="1">IF(ISBLANK(I341),TODAY()-F341,I341-F341)</f>
        <v>40</v>
      </c>
      <c r="H341" s="120" t="s">
        <v>5002</v>
      </c>
      <c r="I341" s="127">
        <v>42946</v>
      </c>
      <c r="J341" s="122" t="s">
        <v>5051</v>
      </c>
    </row>
    <row r="342" spans="1:10" ht="15" customHeight="1" x14ac:dyDescent="0.45">
      <c r="A342" s="172">
        <v>338</v>
      </c>
      <c r="B342" s="115" t="s">
        <v>5399</v>
      </c>
      <c r="C342" s="116" t="s">
        <v>1289</v>
      </c>
      <c r="D342" s="116" t="s">
        <v>1291</v>
      </c>
      <c r="E342" s="115" t="s">
        <v>5003</v>
      </c>
      <c r="F342" s="131">
        <v>42906</v>
      </c>
      <c r="G342" s="119">
        <f ca="1">IF(ISBLANK(I342),TODAY()-F342,I342-F342)</f>
        <v>40</v>
      </c>
      <c r="H342" s="126" t="s">
        <v>5062</v>
      </c>
      <c r="I342" s="127">
        <v>42946</v>
      </c>
      <c r="J342" s="122" t="s">
        <v>5051</v>
      </c>
    </row>
    <row r="343" spans="1:10" ht="15" customHeight="1" x14ac:dyDescent="0.45">
      <c r="A343" s="172">
        <v>339</v>
      </c>
      <c r="B343" s="115" t="s">
        <v>5400</v>
      </c>
      <c r="C343" s="116" t="s">
        <v>5120</v>
      </c>
      <c r="D343" s="116" t="s">
        <v>5121</v>
      </c>
      <c r="E343" s="115" t="s">
        <v>5003</v>
      </c>
      <c r="F343" s="131">
        <v>42906</v>
      </c>
      <c r="G343" s="119">
        <f ca="1">IF(ISBLANK(I343),TODAY()-F343,I343-F343)</f>
        <v>40</v>
      </c>
      <c r="H343" s="126" t="s">
        <v>5003</v>
      </c>
      <c r="I343" s="127">
        <v>42946</v>
      </c>
      <c r="J343" s="122" t="s">
        <v>5051</v>
      </c>
    </row>
    <row r="344" spans="1:10" ht="15" customHeight="1" x14ac:dyDescent="0.45">
      <c r="A344" s="177">
        <v>340</v>
      </c>
      <c r="B344" s="169" t="s">
        <v>5401</v>
      </c>
      <c r="C344" s="168" t="s">
        <v>537</v>
      </c>
      <c r="D344" s="168" t="s">
        <v>5073</v>
      </c>
      <c r="E344" s="169" t="s">
        <v>5003</v>
      </c>
      <c r="F344" s="178">
        <v>42906</v>
      </c>
      <c r="G344" s="119">
        <f ca="1">IF(ISBLANK(I344),TODAY()-F344,I344-F344)</f>
        <v>34</v>
      </c>
      <c r="H344" s="179" t="s">
        <v>5003</v>
      </c>
      <c r="I344" s="180">
        <v>42940</v>
      </c>
      <c r="J344" s="171" t="s">
        <v>5113</v>
      </c>
    </row>
    <row r="345" spans="1:10" ht="15" customHeight="1" x14ac:dyDescent="0.45">
      <c r="A345" s="177">
        <v>342</v>
      </c>
      <c r="B345" s="169" t="s">
        <v>5405</v>
      </c>
      <c r="C345" s="169" t="s">
        <v>5406</v>
      </c>
      <c r="D345" s="169" t="s">
        <v>5407</v>
      </c>
      <c r="E345" s="169" t="s">
        <v>5002</v>
      </c>
      <c r="F345" s="131">
        <v>42906</v>
      </c>
      <c r="G345" s="119">
        <f ca="1">IF(ISBLANK(I345),TODAY()-F345,I345-F345)</f>
        <v>40</v>
      </c>
      <c r="H345" s="126" t="s">
        <v>5002</v>
      </c>
      <c r="I345" s="127">
        <v>42946</v>
      </c>
      <c r="J345" s="156" t="s">
        <v>5113</v>
      </c>
    </row>
    <row r="346" spans="1:10" ht="15" customHeight="1" x14ac:dyDescent="0.45">
      <c r="A346" s="177">
        <v>343</v>
      </c>
      <c r="B346" s="169" t="s">
        <v>5405</v>
      </c>
      <c r="C346" s="169" t="s">
        <v>5408</v>
      </c>
      <c r="D346" s="169" t="s">
        <v>5409</v>
      </c>
      <c r="E346" s="169" t="s">
        <v>5002</v>
      </c>
      <c r="F346" s="131">
        <v>42906</v>
      </c>
      <c r="G346" s="119">
        <f ca="1">IF(ISBLANK(I346),TODAY()-F346,I346-F346)</f>
        <v>40</v>
      </c>
      <c r="H346" s="179" t="s">
        <v>5003</v>
      </c>
      <c r="I346" s="127">
        <v>42946</v>
      </c>
      <c r="J346" s="156" t="s">
        <v>5113</v>
      </c>
    </row>
    <row r="347" spans="1:10" ht="15" customHeight="1" x14ac:dyDescent="0.45">
      <c r="A347" s="172">
        <v>344</v>
      </c>
      <c r="B347" s="115" t="s">
        <v>5410</v>
      </c>
      <c r="C347" s="116" t="s">
        <v>1297</v>
      </c>
      <c r="D347" s="116" t="s">
        <v>1298</v>
      </c>
      <c r="E347" s="115" t="s">
        <v>160</v>
      </c>
      <c r="F347" s="131">
        <v>42906</v>
      </c>
      <c r="G347" s="119">
        <f ca="1">IF(ISBLANK(I347),TODAY()-F347,I347-F347)</f>
        <v>66</v>
      </c>
      <c r="H347" s="126" t="s">
        <v>65</v>
      </c>
      <c r="I347" s="127">
        <v>42972</v>
      </c>
      <c r="J347" s="171" t="s">
        <v>5113</v>
      </c>
    </row>
    <row r="348" spans="1:10" ht="15" customHeight="1" x14ac:dyDescent="0.45">
      <c r="A348" s="172">
        <v>345</v>
      </c>
      <c r="B348" s="118" t="s">
        <v>5411</v>
      </c>
      <c r="C348" s="116" t="s">
        <v>1229</v>
      </c>
      <c r="D348" s="116" t="s">
        <v>1231</v>
      </c>
      <c r="E348" s="115" t="s">
        <v>65</v>
      </c>
      <c r="F348" s="131">
        <v>42906</v>
      </c>
      <c r="G348" s="119">
        <f ca="1">IF(ISBLANK(I348),TODAY()-F348,I348-F348)</f>
        <v>40</v>
      </c>
      <c r="H348" s="126" t="s">
        <v>5003</v>
      </c>
      <c r="I348" s="127">
        <v>42946</v>
      </c>
      <c r="J348" s="156" t="s">
        <v>5113</v>
      </c>
    </row>
    <row r="349" spans="1:10" ht="15" customHeight="1" x14ac:dyDescent="0.45">
      <c r="A349" s="172">
        <v>346</v>
      </c>
      <c r="B349" s="118" t="s">
        <v>5411</v>
      </c>
      <c r="C349" s="116" t="s">
        <v>1032</v>
      </c>
      <c r="D349" s="115" t="s">
        <v>5412</v>
      </c>
      <c r="E349" s="115" t="s">
        <v>65</v>
      </c>
      <c r="F349" s="131">
        <v>42906</v>
      </c>
      <c r="G349" s="119">
        <f ca="1">IF(ISBLANK(I349),TODAY()-F349,I349-F349)</f>
        <v>40</v>
      </c>
      <c r="H349" s="126" t="s">
        <v>5004</v>
      </c>
      <c r="I349" s="127">
        <v>42946</v>
      </c>
      <c r="J349" s="156" t="s">
        <v>5113</v>
      </c>
    </row>
    <row r="350" spans="1:10" ht="15" customHeight="1" x14ac:dyDescent="0.45">
      <c r="A350" s="172">
        <v>347</v>
      </c>
      <c r="B350" s="118" t="s">
        <v>5411</v>
      </c>
      <c r="C350" s="116" t="s">
        <v>1035</v>
      </c>
      <c r="D350" s="115" t="s">
        <v>5413</v>
      </c>
      <c r="E350" s="115" t="s">
        <v>65</v>
      </c>
      <c r="F350" s="131">
        <v>42906</v>
      </c>
      <c r="G350" s="119">
        <f ca="1">IF(ISBLANK(I350),TODAY()-F350,I350-F350)</f>
        <v>40</v>
      </c>
      <c r="H350" s="126" t="s">
        <v>5004</v>
      </c>
      <c r="I350" s="127">
        <v>42946</v>
      </c>
      <c r="J350" s="156" t="s">
        <v>5113</v>
      </c>
    </row>
    <row r="351" spans="1:10" ht="15" customHeight="1" x14ac:dyDescent="0.45">
      <c r="A351" s="172">
        <v>348</v>
      </c>
      <c r="B351" s="118" t="s">
        <v>5411</v>
      </c>
      <c r="C351" s="116" t="s">
        <v>1044</v>
      </c>
      <c r="D351" s="130" t="s">
        <v>5414</v>
      </c>
      <c r="E351" s="115" t="s">
        <v>65</v>
      </c>
      <c r="F351" s="131">
        <v>42906</v>
      </c>
      <c r="G351" s="119">
        <f ca="1">IF(ISBLANK(I351),TODAY()-F351,I351-F351)</f>
        <v>40</v>
      </c>
      <c r="H351" s="126" t="s">
        <v>5004</v>
      </c>
      <c r="I351" s="127">
        <v>42946</v>
      </c>
      <c r="J351" s="156" t="s">
        <v>5113</v>
      </c>
    </row>
    <row r="352" spans="1:10" ht="15" customHeight="1" x14ac:dyDescent="0.45">
      <c r="A352" s="172">
        <v>349</v>
      </c>
      <c r="B352" s="118" t="s">
        <v>5411</v>
      </c>
      <c r="C352" s="116" t="s">
        <v>1047</v>
      </c>
      <c r="D352" s="130" t="s">
        <v>5415</v>
      </c>
      <c r="E352" s="115" t="s">
        <v>65</v>
      </c>
      <c r="F352" s="131">
        <v>42906</v>
      </c>
      <c r="G352" s="119">
        <f ca="1">IF(ISBLANK(I352),TODAY()-F352,I352-F352)</f>
        <v>40</v>
      </c>
      <c r="H352" s="126" t="s">
        <v>5004</v>
      </c>
      <c r="I352" s="127">
        <v>42946</v>
      </c>
      <c r="J352" s="156" t="s">
        <v>5113</v>
      </c>
    </row>
    <row r="353" spans="1:10" ht="15" customHeight="1" x14ac:dyDescent="0.45">
      <c r="A353" s="172">
        <v>350</v>
      </c>
      <c r="B353" s="118" t="s">
        <v>1629</v>
      </c>
      <c r="C353" s="129" t="s">
        <v>5134</v>
      </c>
      <c r="D353" s="129" t="s">
        <v>5135</v>
      </c>
      <c r="E353" s="115">
        <v>0</v>
      </c>
      <c r="F353" s="131">
        <v>42906</v>
      </c>
      <c r="G353" s="119">
        <f ca="1">IF(ISBLANK(I353),TODAY()-F353,I353-F353)</f>
        <v>0</v>
      </c>
      <c r="H353" s="126" t="s">
        <v>64</v>
      </c>
      <c r="I353" s="127">
        <v>42906</v>
      </c>
      <c r="J353" s="156" t="s">
        <v>5113</v>
      </c>
    </row>
    <row r="354" spans="1:10" ht="15" customHeight="1" x14ac:dyDescent="0.45">
      <c r="A354" s="172">
        <v>351</v>
      </c>
      <c r="B354" s="118" t="s">
        <v>294</v>
      </c>
      <c r="C354" s="116" t="s">
        <v>280</v>
      </c>
      <c r="D354" s="116" t="s">
        <v>282</v>
      </c>
      <c r="E354" s="115">
        <v>0</v>
      </c>
      <c r="F354" s="131">
        <v>42906</v>
      </c>
      <c r="G354" s="119">
        <f ca="1">IF(ISBLANK(I354),TODAY()-F354,I354-F354)</f>
        <v>0</v>
      </c>
      <c r="H354" s="126" t="s">
        <v>64</v>
      </c>
      <c r="I354" s="127">
        <v>42906</v>
      </c>
      <c r="J354" s="122" t="s">
        <v>5113</v>
      </c>
    </row>
    <row r="355" spans="1:10" ht="15" customHeight="1" x14ac:dyDescent="0.45">
      <c r="A355" s="172">
        <v>352</v>
      </c>
      <c r="B355" s="118" t="s">
        <v>294</v>
      </c>
      <c r="C355" s="116" t="s">
        <v>291</v>
      </c>
      <c r="D355" s="116" t="s">
        <v>293</v>
      </c>
      <c r="E355" s="115">
        <v>0</v>
      </c>
      <c r="F355" s="131">
        <v>42906</v>
      </c>
      <c r="G355" s="119">
        <f ca="1">IF(ISBLANK(I355),TODAY()-F355,I355-F355)</f>
        <v>0</v>
      </c>
      <c r="H355" s="126" t="s">
        <v>64</v>
      </c>
      <c r="I355" s="127">
        <v>42906</v>
      </c>
      <c r="J355" s="122" t="s">
        <v>5113</v>
      </c>
    </row>
    <row r="356" spans="1:10" ht="15" customHeight="1" x14ac:dyDescent="0.45">
      <c r="A356" s="172">
        <v>353</v>
      </c>
      <c r="B356" s="118" t="s">
        <v>294</v>
      </c>
      <c r="C356" s="116" t="s">
        <v>296</v>
      </c>
      <c r="D356" s="116" t="s">
        <v>298</v>
      </c>
      <c r="E356" s="115">
        <v>0</v>
      </c>
      <c r="F356" s="131">
        <v>42906</v>
      </c>
      <c r="G356" s="119">
        <f ca="1">IF(ISBLANK(I356),TODAY()-F356,I356-F356)</f>
        <v>0</v>
      </c>
      <c r="H356" s="126" t="s">
        <v>64</v>
      </c>
      <c r="I356" s="127">
        <v>42906</v>
      </c>
      <c r="J356" s="122" t="s">
        <v>5113</v>
      </c>
    </row>
    <row r="357" spans="1:10" ht="15" customHeight="1" x14ac:dyDescent="0.45">
      <c r="A357" s="177">
        <v>354</v>
      </c>
      <c r="B357" s="167" t="s">
        <v>294</v>
      </c>
      <c r="C357" s="168" t="s">
        <v>315</v>
      </c>
      <c r="D357" s="168" t="s">
        <v>317</v>
      </c>
      <c r="E357" s="169">
        <v>0</v>
      </c>
      <c r="F357" s="131">
        <v>42906</v>
      </c>
      <c r="G357" s="119">
        <f ca="1">IF(ISBLANK(I357),TODAY()-F357,I357-F357)</f>
        <v>0</v>
      </c>
      <c r="H357" s="126" t="s">
        <v>64</v>
      </c>
      <c r="I357" s="127">
        <v>42906</v>
      </c>
      <c r="J357" s="122" t="s">
        <v>5113</v>
      </c>
    </row>
    <row r="358" spans="1:10" ht="15" customHeight="1" x14ac:dyDescent="0.45">
      <c r="A358" s="172">
        <v>355</v>
      </c>
      <c r="B358" s="123" t="s">
        <v>5416</v>
      </c>
      <c r="C358" s="116" t="s">
        <v>776</v>
      </c>
      <c r="D358" s="116" t="s">
        <v>5417</v>
      </c>
      <c r="E358" s="130" t="s">
        <v>5002</v>
      </c>
      <c r="F358" s="131">
        <v>42907</v>
      </c>
      <c r="G358" s="119">
        <f ca="1">IF(ISBLANK(I358),TODAY()-F358,I358-F358)</f>
        <v>39</v>
      </c>
      <c r="H358" s="126" t="s">
        <v>5003</v>
      </c>
      <c r="I358" s="127">
        <v>42946</v>
      </c>
      <c r="J358" s="156" t="s">
        <v>5113</v>
      </c>
    </row>
    <row r="359" spans="1:10" ht="15" customHeight="1" x14ac:dyDescent="0.45">
      <c r="A359" s="177">
        <v>356</v>
      </c>
      <c r="B359" s="181" t="s">
        <v>5418</v>
      </c>
      <c r="C359" s="168" t="s">
        <v>781</v>
      </c>
      <c r="D359" s="168" t="s">
        <v>5419</v>
      </c>
      <c r="E359" s="182" t="s">
        <v>5002</v>
      </c>
      <c r="F359" s="131">
        <v>42907</v>
      </c>
      <c r="G359" s="119">
        <f ca="1">IF(ISBLANK(I359),TODAY()-F359,I359-F359)</f>
        <v>39</v>
      </c>
      <c r="H359" s="179" t="s">
        <v>5003</v>
      </c>
      <c r="I359" s="127">
        <v>42946</v>
      </c>
      <c r="J359" s="156" t="s">
        <v>5113</v>
      </c>
    </row>
    <row r="360" spans="1:10" ht="15" customHeight="1" x14ac:dyDescent="0.45">
      <c r="A360" s="177">
        <v>357</v>
      </c>
      <c r="B360" s="118" t="s">
        <v>5420</v>
      </c>
      <c r="C360" s="116" t="s">
        <v>1890</v>
      </c>
      <c r="D360" s="116" t="s">
        <v>1892</v>
      </c>
      <c r="E360" s="115" t="s">
        <v>65</v>
      </c>
      <c r="F360" s="131">
        <v>42907</v>
      </c>
      <c r="G360" s="119">
        <f ca="1">IF(ISBLANK(I360),TODAY()-F360,I360-F360)</f>
        <v>33</v>
      </c>
      <c r="H360" s="126" t="s">
        <v>5004</v>
      </c>
      <c r="I360" s="127">
        <v>42940</v>
      </c>
      <c r="J360" s="156" t="s">
        <v>5113</v>
      </c>
    </row>
    <row r="361" spans="1:10" ht="15" customHeight="1" x14ac:dyDescent="0.45">
      <c r="A361" s="177">
        <v>358</v>
      </c>
      <c r="B361" s="118" t="s">
        <v>5420</v>
      </c>
      <c r="C361" s="116" t="s">
        <v>1910</v>
      </c>
      <c r="D361" s="116" t="s">
        <v>5421</v>
      </c>
      <c r="E361" s="115" t="s">
        <v>65</v>
      </c>
      <c r="F361" s="131">
        <v>42907</v>
      </c>
      <c r="G361" s="119">
        <f ca="1">IF(ISBLANK(I361),TODAY()-F361,I361-F361)</f>
        <v>39</v>
      </c>
      <c r="H361" s="126" t="s">
        <v>5062</v>
      </c>
      <c r="I361" s="127">
        <v>42946</v>
      </c>
      <c r="J361" s="156" t="s">
        <v>5113</v>
      </c>
    </row>
    <row r="362" spans="1:10" ht="15" customHeight="1" x14ac:dyDescent="0.45">
      <c r="A362" s="177">
        <v>359</v>
      </c>
      <c r="B362" s="118" t="s">
        <v>5420</v>
      </c>
      <c r="C362" s="116" t="s">
        <v>1972</v>
      </c>
      <c r="D362" s="116" t="s">
        <v>1974</v>
      </c>
      <c r="E362" s="115" t="s">
        <v>65</v>
      </c>
      <c r="F362" s="131">
        <v>42907</v>
      </c>
      <c r="G362" s="119">
        <f ca="1">IF(ISBLANK(I362),TODAY()-F362,I362-F362)</f>
        <v>33</v>
      </c>
      <c r="H362" s="126" t="s">
        <v>5003</v>
      </c>
      <c r="I362" s="127">
        <v>42940</v>
      </c>
      <c r="J362" s="156" t="s">
        <v>5113</v>
      </c>
    </row>
    <row r="363" spans="1:10" ht="15" customHeight="1" x14ac:dyDescent="0.45">
      <c r="A363" s="172">
        <v>360</v>
      </c>
      <c r="B363" s="118" t="s">
        <v>1605</v>
      </c>
      <c r="C363" s="116" t="s">
        <v>1602</v>
      </c>
      <c r="D363" s="129" t="s">
        <v>1604</v>
      </c>
      <c r="E363" s="115">
        <v>0</v>
      </c>
      <c r="F363" s="131">
        <v>42907</v>
      </c>
      <c r="G363" s="119">
        <f ca="1">IF(ISBLANK(I363),TODAY()-F363,I363-F363)</f>
        <v>1</v>
      </c>
      <c r="H363" s="126" t="s">
        <v>64</v>
      </c>
      <c r="I363" s="127">
        <v>42908</v>
      </c>
      <c r="J363" s="122" t="s">
        <v>5113</v>
      </c>
    </row>
    <row r="364" spans="1:10" ht="15" customHeight="1" x14ac:dyDescent="0.45">
      <c r="A364" s="172">
        <v>410</v>
      </c>
      <c r="B364" s="118" t="s">
        <v>189</v>
      </c>
      <c r="C364" s="116" t="s">
        <v>186</v>
      </c>
      <c r="D364" s="116" t="s">
        <v>188</v>
      </c>
      <c r="E364" s="115">
        <v>0</v>
      </c>
      <c r="F364" s="131">
        <v>42920</v>
      </c>
      <c r="G364" s="119">
        <f ca="1">IF(ISBLANK(I364),TODAY()-F364,I364-F364)</f>
        <v>15</v>
      </c>
      <c r="H364" s="126" t="s">
        <v>5344</v>
      </c>
      <c r="I364" s="127">
        <v>42935</v>
      </c>
      <c r="J364" s="183" t="s">
        <v>5160</v>
      </c>
    </row>
    <row r="365" spans="1:10" ht="15" customHeight="1" x14ac:dyDescent="0.45">
      <c r="A365" s="172">
        <v>381</v>
      </c>
      <c r="B365" s="130" t="s">
        <v>269</v>
      </c>
      <c r="C365" s="135" t="s">
        <v>266</v>
      </c>
      <c r="D365" s="135" t="s">
        <v>268</v>
      </c>
      <c r="E365" s="130">
        <v>0</v>
      </c>
      <c r="F365" s="131">
        <v>42921</v>
      </c>
      <c r="G365" s="119">
        <f ca="1">IF(ISBLANK(I365),TODAY()-F365,I365-F365)</f>
        <v>14</v>
      </c>
      <c r="H365" s="126" t="s">
        <v>5344</v>
      </c>
      <c r="I365" s="127">
        <v>42935</v>
      </c>
      <c r="J365" s="183" t="s">
        <v>5160</v>
      </c>
    </row>
    <row r="366" spans="1:10" ht="15" customHeight="1" x14ac:dyDescent="0.45">
      <c r="A366" s="172">
        <v>382</v>
      </c>
      <c r="B366" s="130" t="s">
        <v>269</v>
      </c>
      <c r="C366" s="135" t="s">
        <v>270</v>
      </c>
      <c r="D366" s="135" t="s">
        <v>272</v>
      </c>
      <c r="E366" s="130">
        <v>0</v>
      </c>
      <c r="F366" s="131">
        <v>42921</v>
      </c>
      <c r="G366" s="119">
        <f ca="1">IF(ISBLANK(I366),TODAY()-F366,I366-F366)</f>
        <v>14</v>
      </c>
      <c r="H366" s="126" t="s">
        <v>5344</v>
      </c>
      <c r="I366" s="127">
        <v>42935</v>
      </c>
      <c r="J366" s="183" t="s">
        <v>5160</v>
      </c>
    </row>
    <row r="367" spans="1:10" ht="15" customHeight="1" x14ac:dyDescent="0.45">
      <c r="A367" s="172">
        <v>402</v>
      </c>
      <c r="B367" s="118" t="s">
        <v>1825</v>
      </c>
      <c r="C367" s="116" t="s">
        <v>1822</v>
      </c>
      <c r="D367" s="116" t="s">
        <v>1824</v>
      </c>
      <c r="E367" s="115">
        <v>0</v>
      </c>
      <c r="F367" s="131">
        <v>42921</v>
      </c>
      <c r="G367" s="119">
        <f ca="1">IF(ISBLANK(I367),TODAY()-F367,I367-F367)</f>
        <v>14</v>
      </c>
      <c r="H367" s="126" t="s">
        <v>5227</v>
      </c>
      <c r="I367" s="127">
        <v>42935</v>
      </c>
      <c r="J367" s="183" t="s">
        <v>5160</v>
      </c>
    </row>
    <row r="368" spans="1:10" ht="15" customHeight="1" x14ac:dyDescent="0.45">
      <c r="A368" s="172">
        <v>403</v>
      </c>
      <c r="B368" s="118" t="s">
        <v>1825</v>
      </c>
      <c r="C368" s="116" t="s">
        <v>1871</v>
      </c>
      <c r="D368" s="116" t="s">
        <v>1873</v>
      </c>
      <c r="E368" s="115">
        <v>0</v>
      </c>
      <c r="F368" s="131">
        <v>42921</v>
      </c>
      <c r="G368" s="119">
        <f ca="1">IF(ISBLANK(I368),TODAY()-F368,I368-F368)</f>
        <v>14</v>
      </c>
      <c r="H368" s="126" t="s">
        <v>5344</v>
      </c>
      <c r="I368" s="127">
        <v>42935</v>
      </c>
      <c r="J368" s="122" t="s">
        <v>5160</v>
      </c>
    </row>
    <row r="369" spans="1:10" ht="15" customHeight="1" x14ac:dyDescent="0.45">
      <c r="A369" s="172">
        <v>404</v>
      </c>
      <c r="B369" s="118" t="s">
        <v>1825</v>
      </c>
      <c r="C369" s="116" t="s">
        <v>1969</v>
      </c>
      <c r="D369" s="116" t="s">
        <v>1971</v>
      </c>
      <c r="E369" s="115">
        <v>0</v>
      </c>
      <c r="F369" s="131">
        <v>42921</v>
      </c>
      <c r="G369" s="119">
        <f ca="1">IF(ISBLANK(I369),TODAY()-F369,I369-F369)</f>
        <v>14</v>
      </c>
      <c r="H369" s="126" t="s">
        <v>5227</v>
      </c>
      <c r="I369" s="127">
        <v>42935</v>
      </c>
      <c r="J369" s="122" t="s">
        <v>5160</v>
      </c>
    </row>
    <row r="370" spans="1:10" ht="15" customHeight="1" x14ac:dyDescent="0.45">
      <c r="A370" s="172">
        <v>361</v>
      </c>
      <c r="B370" s="118" t="s">
        <v>5422</v>
      </c>
      <c r="C370" s="118" t="s">
        <v>5423</v>
      </c>
      <c r="D370" s="118" t="s">
        <v>5424</v>
      </c>
      <c r="E370" s="118" t="s">
        <v>65</v>
      </c>
      <c r="F370" s="131">
        <v>42922</v>
      </c>
      <c r="G370" s="119">
        <f ca="1">IF(ISBLANK(I370),TODAY()-F370,I370-F370)</f>
        <v>18</v>
      </c>
      <c r="H370" s="126" t="s">
        <v>5004</v>
      </c>
      <c r="I370" s="127">
        <v>42940</v>
      </c>
      <c r="J370" s="171" t="s">
        <v>5113</v>
      </c>
    </row>
    <row r="371" spans="1:10" ht="15" customHeight="1" x14ac:dyDescent="0.45">
      <c r="A371" s="172">
        <v>362</v>
      </c>
      <c r="B371" s="118" t="s">
        <v>5422</v>
      </c>
      <c r="C371" s="118" t="s">
        <v>76</v>
      </c>
      <c r="D371" s="118" t="s">
        <v>78</v>
      </c>
      <c r="E371" s="118" t="s">
        <v>65</v>
      </c>
      <c r="F371" s="131">
        <v>42922</v>
      </c>
      <c r="G371" s="119">
        <f ca="1">IF(ISBLANK(I371),TODAY()-F371,I371-F371)</f>
        <v>18</v>
      </c>
      <c r="H371" s="126" t="s">
        <v>5004</v>
      </c>
      <c r="I371" s="127">
        <v>42940</v>
      </c>
      <c r="J371" s="171" t="s">
        <v>5113</v>
      </c>
    </row>
    <row r="372" spans="1:10" ht="15" customHeight="1" x14ac:dyDescent="0.45">
      <c r="A372" s="172">
        <v>363</v>
      </c>
      <c r="B372" s="118" t="s">
        <v>5422</v>
      </c>
      <c r="C372" s="118" t="s">
        <v>82</v>
      </c>
      <c r="D372" s="118" t="s">
        <v>84</v>
      </c>
      <c r="E372" s="118" t="s">
        <v>65</v>
      </c>
      <c r="F372" s="131">
        <v>42922</v>
      </c>
      <c r="G372" s="119">
        <f ca="1">IF(ISBLANK(I372),TODAY()-F372,I372-F372)</f>
        <v>18</v>
      </c>
      <c r="H372" s="126" t="s">
        <v>5004</v>
      </c>
      <c r="I372" s="127">
        <v>42940</v>
      </c>
      <c r="J372" s="171" t="s">
        <v>5113</v>
      </c>
    </row>
    <row r="373" spans="1:10" ht="15" customHeight="1" x14ac:dyDescent="0.45">
      <c r="A373" s="172">
        <v>364</v>
      </c>
      <c r="B373" s="118" t="s">
        <v>5422</v>
      </c>
      <c r="C373" s="118" t="s">
        <v>85</v>
      </c>
      <c r="D373" s="118" t="s">
        <v>87</v>
      </c>
      <c r="E373" s="118" t="s">
        <v>65</v>
      </c>
      <c r="F373" s="131">
        <v>42922</v>
      </c>
      <c r="G373" s="119">
        <f ca="1">IF(ISBLANK(I373),TODAY()-F373,I373-F373)</f>
        <v>18</v>
      </c>
      <c r="H373" s="126" t="s">
        <v>5004</v>
      </c>
      <c r="I373" s="127">
        <v>42940</v>
      </c>
      <c r="J373" s="171" t="s">
        <v>5113</v>
      </c>
    </row>
    <row r="374" spans="1:10" ht="15" customHeight="1" x14ac:dyDescent="0.45">
      <c r="A374" s="177">
        <v>365</v>
      </c>
      <c r="B374" s="167" t="s">
        <v>5425</v>
      </c>
      <c r="C374" s="167" t="s">
        <v>586</v>
      </c>
      <c r="D374" s="167" t="s">
        <v>588</v>
      </c>
      <c r="E374" s="167" t="s">
        <v>65</v>
      </c>
      <c r="F374" s="131">
        <v>42922</v>
      </c>
      <c r="G374" s="119">
        <f ca="1">IF(ISBLANK(I374),TODAY()-F374,I374-F374)</f>
        <v>36</v>
      </c>
      <c r="H374" s="126" t="s">
        <v>65</v>
      </c>
      <c r="I374" s="121">
        <v>42958</v>
      </c>
      <c r="J374" s="171" t="s">
        <v>5160</v>
      </c>
    </row>
    <row r="375" spans="1:10" ht="15" customHeight="1" x14ac:dyDescent="0.45">
      <c r="A375" s="177">
        <v>366</v>
      </c>
      <c r="B375" s="118" t="s">
        <v>5425</v>
      </c>
      <c r="C375" s="118" t="s">
        <v>622</v>
      </c>
      <c r="D375" s="118" t="s">
        <v>624</v>
      </c>
      <c r="E375" s="118" t="s">
        <v>65</v>
      </c>
      <c r="F375" s="131">
        <v>42922</v>
      </c>
      <c r="G375" s="119">
        <f ca="1">IF(ISBLANK(I375),TODAY()-F375,I375-F375)</f>
        <v>36</v>
      </c>
      <c r="H375" s="126" t="s">
        <v>164</v>
      </c>
      <c r="I375" s="121">
        <v>42958</v>
      </c>
      <c r="J375" s="156" t="s">
        <v>5160</v>
      </c>
    </row>
    <row r="376" spans="1:10" ht="15" customHeight="1" x14ac:dyDescent="0.45">
      <c r="A376" s="177">
        <v>367</v>
      </c>
      <c r="B376" s="118" t="s">
        <v>5426</v>
      </c>
      <c r="C376" s="118" t="s">
        <v>5427</v>
      </c>
      <c r="D376" s="118" t="s">
        <v>5428</v>
      </c>
      <c r="E376" s="118" t="s">
        <v>65</v>
      </c>
      <c r="F376" s="131">
        <v>42922</v>
      </c>
      <c r="G376" s="119">
        <f ca="1">IF(ISBLANK(I376),TODAY()-F376,I376-F376)</f>
        <v>18</v>
      </c>
      <c r="H376" s="126" t="s">
        <v>5003</v>
      </c>
      <c r="I376" s="127">
        <v>42940</v>
      </c>
      <c r="J376" s="122" t="s">
        <v>5113</v>
      </c>
    </row>
    <row r="377" spans="1:10" ht="15" customHeight="1" x14ac:dyDescent="0.45">
      <c r="A377" s="177">
        <v>368</v>
      </c>
      <c r="B377" s="118" t="s">
        <v>5429</v>
      </c>
      <c r="C377" s="116" t="s">
        <v>662</v>
      </c>
      <c r="D377" s="116" t="s">
        <v>664</v>
      </c>
      <c r="E377" s="115" t="s">
        <v>65</v>
      </c>
      <c r="F377" s="131">
        <v>42922</v>
      </c>
      <c r="G377" s="119">
        <f ca="1">IF(ISBLANK(I377),TODAY()-F377,I377-F377)</f>
        <v>18</v>
      </c>
      <c r="H377" s="126" t="s">
        <v>5003</v>
      </c>
      <c r="I377" s="127">
        <v>42940</v>
      </c>
      <c r="J377" s="122" t="s">
        <v>5113</v>
      </c>
    </row>
    <row r="378" spans="1:10" ht="15" customHeight="1" x14ac:dyDescent="0.45">
      <c r="A378" s="177">
        <v>369</v>
      </c>
      <c r="B378" s="118" t="s">
        <v>5429</v>
      </c>
      <c r="C378" s="116" t="s">
        <v>669</v>
      </c>
      <c r="D378" s="116" t="s">
        <v>671</v>
      </c>
      <c r="E378" s="115" t="s">
        <v>65</v>
      </c>
      <c r="F378" s="131">
        <v>42922</v>
      </c>
      <c r="G378" s="119">
        <f ca="1">IF(ISBLANK(I378),TODAY()-F378,I378-F378)</f>
        <v>18</v>
      </c>
      <c r="H378" s="126" t="s">
        <v>5004</v>
      </c>
      <c r="I378" s="127">
        <v>42940</v>
      </c>
      <c r="J378" s="183" t="s">
        <v>5113</v>
      </c>
    </row>
    <row r="379" spans="1:10" ht="15" customHeight="1" x14ac:dyDescent="0.45">
      <c r="A379" s="177">
        <v>370</v>
      </c>
      <c r="B379" s="167" t="s">
        <v>5429</v>
      </c>
      <c r="C379" s="168" t="s">
        <v>690</v>
      </c>
      <c r="D379" s="168" t="s">
        <v>692</v>
      </c>
      <c r="E379" s="169" t="s">
        <v>65</v>
      </c>
      <c r="F379" s="131">
        <v>42922</v>
      </c>
      <c r="G379" s="119">
        <f ca="1">IF(ISBLANK(I379),TODAY()-F379,I379-F379)</f>
        <v>19</v>
      </c>
      <c r="H379" s="179" t="s">
        <v>5004</v>
      </c>
      <c r="I379" s="127">
        <v>42941</v>
      </c>
      <c r="J379" s="183" t="s">
        <v>5113</v>
      </c>
    </row>
    <row r="380" spans="1:10" ht="15" customHeight="1" x14ac:dyDescent="0.45">
      <c r="A380" s="172">
        <v>371</v>
      </c>
      <c r="B380" s="118" t="s">
        <v>302</v>
      </c>
      <c r="C380" s="116" t="s">
        <v>299</v>
      </c>
      <c r="D380" s="116" t="s">
        <v>301</v>
      </c>
      <c r="E380" s="115">
        <v>0</v>
      </c>
      <c r="F380" s="131">
        <v>42922</v>
      </c>
      <c r="G380" s="119">
        <f ca="1">IF(ISBLANK(I380),TODAY()-F380,I380-F380)</f>
        <v>13</v>
      </c>
      <c r="H380" s="126" t="s">
        <v>5227</v>
      </c>
      <c r="I380" s="127">
        <v>42935</v>
      </c>
      <c r="J380" s="183" t="s">
        <v>5160</v>
      </c>
    </row>
    <row r="381" spans="1:10" ht="15" customHeight="1" x14ac:dyDescent="0.45">
      <c r="A381" s="172">
        <v>372</v>
      </c>
      <c r="B381" s="118" t="s">
        <v>5430</v>
      </c>
      <c r="C381" s="116" t="s">
        <v>889</v>
      </c>
      <c r="D381" s="116" t="s">
        <v>891</v>
      </c>
      <c r="E381" s="115" t="s">
        <v>65</v>
      </c>
      <c r="F381" s="131">
        <v>42922</v>
      </c>
      <c r="G381" s="119">
        <f ca="1">IF(ISBLANK(I381),TODAY()-F381,I381-F381)</f>
        <v>24</v>
      </c>
      <c r="H381" s="126" t="s">
        <v>5003</v>
      </c>
      <c r="I381" s="127">
        <v>42946</v>
      </c>
      <c r="J381" s="171" t="s">
        <v>5113</v>
      </c>
    </row>
    <row r="382" spans="1:10" ht="15" customHeight="1" x14ac:dyDescent="0.45">
      <c r="A382" s="172">
        <v>373</v>
      </c>
      <c r="B382" s="118" t="s">
        <v>5430</v>
      </c>
      <c r="C382" s="116" t="s">
        <v>894</v>
      </c>
      <c r="D382" s="116" t="s">
        <v>896</v>
      </c>
      <c r="E382" s="115" t="s">
        <v>65</v>
      </c>
      <c r="F382" s="131">
        <v>42922</v>
      </c>
      <c r="G382" s="119">
        <f ca="1">IF(ISBLANK(I382),TODAY()-F382,I382-F382)</f>
        <v>24</v>
      </c>
      <c r="H382" s="126" t="s">
        <v>5002</v>
      </c>
      <c r="I382" s="127">
        <v>42946</v>
      </c>
      <c r="J382" s="171" t="s">
        <v>5113</v>
      </c>
    </row>
    <row r="383" spans="1:10" ht="15" customHeight="1" x14ac:dyDescent="0.45">
      <c r="A383" s="177">
        <v>374</v>
      </c>
      <c r="B383" s="167" t="s">
        <v>5430</v>
      </c>
      <c r="C383" s="168" t="s">
        <v>900</v>
      </c>
      <c r="D383" s="168" t="s">
        <v>902</v>
      </c>
      <c r="E383" s="169" t="s">
        <v>65</v>
      </c>
      <c r="F383" s="131">
        <v>42922</v>
      </c>
      <c r="G383" s="119">
        <f ca="1">IF(ISBLANK(I383),TODAY()-F383,I383-F383)</f>
        <v>24</v>
      </c>
      <c r="H383" s="179" t="s">
        <v>5003</v>
      </c>
      <c r="I383" s="127">
        <v>42946</v>
      </c>
      <c r="J383" s="171" t="s">
        <v>5113</v>
      </c>
    </row>
    <row r="384" spans="1:10" ht="15" customHeight="1" x14ac:dyDescent="0.45">
      <c r="A384" s="172">
        <v>375</v>
      </c>
      <c r="B384" s="118" t="s">
        <v>5431</v>
      </c>
      <c r="C384" s="116" t="s">
        <v>486</v>
      </c>
      <c r="D384" s="116" t="s">
        <v>5432</v>
      </c>
      <c r="E384" s="115" t="s">
        <v>65</v>
      </c>
      <c r="F384" s="131">
        <v>42922</v>
      </c>
      <c r="G384" s="119">
        <f ca="1">IF(ISBLANK(I384),TODAY()-F384,I384-F384)</f>
        <v>18</v>
      </c>
      <c r="H384" s="126" t="s">
        <v>5003</v>
      </c>
      <c r="I384" s="127">
        <v>42940</v>
      </c>
      <c r="J384" s="171" t="s">
        <v>5113</v>
      </c>
    </row>
    <row r="385" spans="1:10" ht="15" customHeight="1" x14ac:dyDescent="0.45">
      <c r="A385" s="177">
        <v>376</v>
      </c>
      <c r="B385" s="167" t="s">
        <v>5431</v>
      </c>
      <c r="C385" s="168" t="s">
        <v>490</v>
      </c>
      <c r="D385" s="168" t="s">
        <v>492</v>
      </c>
      <c r="E385" s="169" t="s">
        <v>65</v>
      </c>
      <c r="F385" s="131">
        <v>42922</v>
      </c>
      <c r="G385" s="119">
        <f ca="1">IF(ISBLANK(I385),TODAY()-F385,I385-F385)</f>
        <v>18</v>
      </c>
      <c r="H385" s="126" t="s">
        <v>5003</v>
      </c>
      <c r="I385" s="127">
        <v>42940</v>
      </c>
      <c r="J385" s="171" t="s">
        <v>5113</v>
      </c>
    </row>
    <row r="386" spans="1:10" ht="15" customHeight="1" x14ac:dyDescent="0.45">
      <c r="A386" s="172">
        <v>377</v>
      </c>
      <c r="B386" s="115" t="s">
        <v>5433</v>
      </c>
      <c r="C386" s="129" t="s">
        <v>5328</v>
      </c>
      <c r="D386" s="129" t="s">
        <v>5329</v>
      </c>
      <c r="E386" s="115" t="s">
        <v>5003</v>
      </c>
      <c r="F386" s="131">
        <v>42922</v>
      </c>
      <c r="G386" s="119">
        <f ca="1">IF(ISBLANK(I386),TODAY()-F386,I386-F386)</f>
        <v>40</v>
      </c>
      <c r="H386" s="152" t="s">
        <v>5296</v>
      </c>
      <c r="I386" s="184">
        <v>42962</v>
      </c>
      <c r="J386" s="185" t="s">
        <v>5113</v>
      </c>
    </row>
    <row r="387" spans="1:10" ht="15" customHeight="1" x14ac:dyDescent="0.45">
      <c r="A387" s="177">
        <v>378</v>
      </c>
      <c r="B387" s="169" t="s">
        <v>5433</v>
      </c>
      <c r="C387" s="188" t="s">
        <v>5330</v>
      </c>
      <c r="D387" s="188" t="s">
        <v>5331</v>
      </c>
      <c r="E387" s="169" t="s">
        <v>5003</v>
      </c>
      <c r="F387" s="131">
        <v>42922</v>
      </c>
      <c r="G387" s="119">
        <f ca="1">IF(ISBLANK(I387),TODAY()-F387,I387-F387)</f>
        <v>112</v>
      </c>
      <c r="H387" s="189" t="s">
        <v>5296</v>
      </c>
      <c r="I387" s="161">
        <v>43034</v>
      </c>
      <c r="J387" s="185" t="s">
        <v>5113</v>
      </c>
    </row>
    <row r="388" spans="1:10" ht="15" customHeight="1" x14ac:dyDescent="0.45">
      <c r="A388" s="177">
        <v>379</v>
      </c>
      <c r="B388" s="169" t="s">
        <v>5433</v>
      </c>
      <c r="C388" s="188" t="s">
        <v>5334</v>
      </c>
      <c r="D388" s="188" t="s">
        <v>5335</v>
      </c>
      <c r="E388" s="169" t="s">
        <v>5003</v>
      </c>
      <c r="F388" s="131">
        <v>42922</v>
      </c>
      <c r="G388" s="119">
        <f ca="1">IF(ISBLANK(I388),TODAY()-F388,I388-F388)</f>
        <v>62</v>
      </c>
      <c r="H388" s="189" t="s">
        <v>5296</v>
      </c>
      <c r="I388" s="186">
        <v>42984</v>
      </c>
      <c r="J388" s="155" t="s">
        <v>5113</v>
      </c>
    </row>
    <row r="389" spans="1:10" ht="15" customHeight="1" x14ac:dyDescent="0.45">
      <c r="A389" s="172">
        <v>380</v>
      </c>
      <c r="B389" s="115" t="s">
        <v>5433</v>
      </c>
      <c r="C389" s="129" t="s">
        <v>5130</v>
      </c>
      <c r="D389" s="129" t="s">
        <v>5131</v>
      </c>
      <c r="E389" s="115" t="s">
        <v>5003</v>
      </c>
      <c r="F389" s="178">
        <v>42922</v>
      </c>
      <c r="G389" s="119">
        <f ca="1">IF(ISBLANK(I389),TODAY()-F389,I389-F389)</f>
        <v>76</v>
      </c>
      <c r="H389" s="152" t="s">
        <v>5296</v>
      </c>
      <c r="I389" s="153">
        <v>42998</v>
      </c>
      <c r="J389" s="197" t="s">
        <v>5113</v>
      </c>
    </row>
    <row r="390" spans="1:10" ht="15" customHeight="1" x14ac:dyDescent="0.45">
      <c r="A390" s="172">
        <v>383</v>
      </c>
      <c r="B390" s="118" t="s">
        <v>5434</v>
      </c>
      <c r="C390" s="116" t="s">
        <v>1938</v>
      </c>
      <c r="D390" s="116" t="s">
        <v>5435</v>
      </c>
      <c r="E390" s="130" t="s">
        <v>5002</v>
      </c>
      <c r="F390" s="178">
        <v>42922</v>
      </c>
      <c r="G390" s="119">
        <f ca="1">IF(ISBLANK(I390),TODAY()-F390,I390-F390)</f>
        <v>49</v>
      </c>
      <c r="H390" s="126" t="s">
        <v>2702</v>
      </c>
      <c r="I390" s="127">
        <v>42971</v>
      </c>
      <c r="J390" s="385" t="s">
        <v>5160</v>
      </c>
    </row>
    <row r="391" spans="1:10" ht="15" customHeight="1" x14ac:dyDescent="0.45">
      <c r="A391" s="172">
        <v>384</v>
      </c>
      <c r="B391" s="118" t="s">
        <v>5434</v>
      </c>
      <c r="C391" s="116" t="s">
        <v>1947</v>
      </c>
      <c r="D391" s="116" t="s">
        <v>1949</v>
      </c>
      <c r="E391" s="130" t="s">
        <v>5003</v>
      </c>
      <c r="F391" s="178">
        <v>42922</v>
      </c>
      <c r="G391" s="119">
        <f ca="1">IF(ISBLANK(I391),TODAY()-F391,I391-F391)</f>
        <v>49</v>
      </c>
      <c r="H391" s="126" t="s">
        <v>65</v>
      </c>
      <c r="I391" s="127">
        <v>42971</v>
      </c>
      <c r="J391" s="156" t="s">
        <v>5113</v>
      </c>
    </row>
    <row r="392" spans="1:10" ht="15" customHeight="1" x14ac:dyDescent="0.45">
      <c r="A392" s="172">
        <v>385</v>
      </c>
      <c r="B392" s="116" t="s">
        <v>5436</v>
      </c>
      <c r="C392" s="116" t="s">
        <v>5437</v>
      </c>
      <c r="D392" s="116" t="s">
        <v>5438</v>
      </c>
      <c r="E392" s="116" t="s">
        <v>5002</v>
      </c>
      <c r="F392" s="178">
        <v>42922</v>
      </c>
      <c r="G392" s="119">
        <f ca="1">IF(ISBLANK(I392),TODAY()-F392,I392-F392)</f>
        <v>18</v>
      </c>
      <c r="H392" s="126" t="s">
        <v>5004</v>
      </c>
      <c r="I392" s="127">
        <v>42940</v>
      </c>
      <c r="J392" s="122" t="s">
        <v>5113</v>
      </c>
    </row>
    <row r="393" spans="1:10" ht="15" customHeight="1" x14ac:dyDescent="0.45">
      <c r="A393" s="172">
        <v>396</v>
      </c>
      <c r="B393" s="118" t="s">
        <v>5450</v>
      </c>
      <c r="C393" s="116" t="s">
        <v>5364</v>
      </c>
      <c r="D393" s="116" t="s">
        <v>5140</v>
      </c>
      <c r="E393" s="115" t="s">
        <v>164</v>
      </c>
      <c r="F393" s="178">
        <v>42928</v>
      </c>
      <c r="G393" s="119">
        <f ca="1">IF(ISBLANK(I393),TODAY()-F393,I393-F393)</f>
        <v>70</v>
      </c>
      <c r="H393" s="152" t="s">
        <v>5296</v>
      </c>
      <c r="I393" s="153">
        <v>42998</v>
      </c>
      <c r="J393" s="154" t="s">
        <v>5113</v>
      </c>
    </row>
    <row r="394" spans="1:10" ht="15" customHeight="1" x14ac:dyDescent="0.45">
      <c r="A394" s="172">
        <v>397</v>
      </c>
      <c r="B394" s="118" t="s">
        <v>5451</v>
      </c>
      <c r="C394" s="135" t="s">
        <v>5452</v>
      </c>
      <c r="D394" s="135" t="s">
        <v>5453</v>
      </c>
      <c r="E394" s="115" t="s">
        <v>65</v>
      </c>
      <c r="F394" s="178">
        <v>42928</v>
      </c>
      <c r="G394" s="119">
        <f ca="1">IF(ISBLANK(I394),TODAY()-F394,I394-F394)</f>
        <v>12</v>
      </c>
      <c r="H394" s="126" t="s">
        <v>5003</v>
      </c>
      <c r="I394" s="127">
        <v>42940</v>
      </c>
      <c r="J394" s="122" t="s">
        <v>5113</v>
      </c>
    </row>
    <row r="395" spans="1:10" ht="15" customHeight="1" x14ac:dyDescent="0.45">
      <c r="A395" s="172">
        <v>398</v>
      </c>
      <c r="B395" s="118" t="s">
        <v>5454</v>
      </c>
      <c r="C395" s="116" t="s">
        <v>5084</v>
      </c>
      <c r="D395" s="116" t="s">
        <v>5085</v>
      </c>
      <c r="E395" s="115" t="s">
        <v>160</v>
      </c>
      <c r="F395" s="178">
        <v>42928</v>
      </c>
      <c r="G395" s="119">
        <f ca="1">IF(ISBLANK(I395),TODAY()-F395,I395-F395)</f>
        <v>30</v>
      </c>
      <c r="H395" s="126" t="s">
        <v>65</v>
      </c>
      <c r="I395" s="121">
        <v>42958</v>
      </c>
      <c r="J395" s="156" t="s">
        <v>5160</v>
      </c>
    </row>
    <row r="396" spans="1:10" ht="15" customHeight="1" x14ac:dyDescent="0.45">
      <c r="A396" s="172">
        <v>399</v>
      </c>
      <c r="B396" s="118" t="s">
        <v>5454</v>
      </c>
      <c r="C396" s="116" t="s">
        <v>1215</v>
      </c>
      <c r="D396" s="116" t="s">
        <v>5118</v>
      </c>
      <c r="E396" s="115" t="s">
        <v>160</v>
      </c>
      <c r="F396" s="178">
        <v>42928</v>
      </c>
      <c r="G396" s="119">
        <f ca="1">IF(ISBLANK(I396),TODAY()-F396,I396-F396)</f>
        <v>18</v>
      </c>
      <c r="H396" s="126" t="s">
        <v>5002</v>
      </c>
      <c r="I396" s="127">
        <v>42946</v>
      </c>
      <c r="J396" s="156" t="s">
        <v>5113</v>
      </c>
    </row>
    <row r="397" spans="1:10" ht="15" customHeight="1" x14ac:dyDescent="0.45">
      <c r="A397" s="172">
        <v>400</v>
      </c>
      <c r="B397" s="118" t="s">
        <v>5455</v>
      </c>
      <c r="C397" s="116" t="s">
        <v>681</v>
      </c>
      <c r="D397" s="116" t="s">
        <v>683</v>
      </c>
      <c r="E397" s="115" t="s">
        <v>65</v>
      </c>
      <c r="F397" s="178">
        <v>42928</v>
      </c>
      <c r="G397" s="119">
        <f ca="1">IF(ISBLANK(I397),TODAY()-F397,I397-F397)</f>
        <v>18</v>
      </c>
      <c r="H397" s="126" t="s">
        <v>5002</v>
      </c>
      <c r="I397" s="127">
        <v>42946</v>
      </c>
      <c r="J397" s="156" t="s">
        <v>5113</v>
      </c>
    </row>
    <row r="398" spans="1:10" ht="15" customHeight="1" x14ac:dyDescent="0.45">
      <c r="A398" s="172">
        <v>401</v>
      </c>
      <c r="B398" s="118" t="s">
        <v>5455</v>
      </c>
      <c r="C398" s="116" t="s">
        <v>686</v>
      </c>
      <c r="D398" s="116" t="s">
        <v>688</v>
      </c>
      <c r="E398" s="115" t="s">
        <v>65</v>
      </c>
      <c r="F398" s="178">
        <v>42928</v>
      </c>
      <c r="G398" s="119">
        <f ca="1">IF(ISBLANK(I398),TODAY()-F398,I398-F398)</f>
        <v>18</v>
      </c>
      <c r="H398" s="126" t="s">
        <v>5002</v>
      </c>
      <c r="I398" s="127">
        <v>42946</v>
      </c>
      <c r="J398" s="156" t="s">
        <v>5113</v>
      </c>
    </row>
    <row r="399" spans="1:10" ht="15" customHeight="1" x14ac:dyDescent="0.45">
      <c r="A399" s="172">
        <v>405</v>
      </c>
      <c r="B399" s="118" t="s">
        <v>5456</v>
      </c>
      <c r="C399" s="116" t="s">
        <v>5090</v>
      </c>
      <c r="D399" s="116" t="s">
        <v>5091</v>
      </c>
      <c r="E399" s="115" t="s">
        <v>160</v>
      </c>
      <c r="F399" s="131">
        <v>42928</v>
      </c>
      <c r="G399" s="119">
        <f ca="1">IF(ISBLANK(I399),TODAY()-F399,I399-F399)</f>
        <v>70</v>
      </c>
      <c r="H399" s="152" t="s">
        <v>5296</v>
      </c>
      <c r="I399" s="153">
        <v>42998</v>
      </c>
      <c r="J399" s="155" t="s">
        <v>5113</v>
      </c>
    </row>
    <row r="400" spans="1:10" ht="15" customHeight="1" x14ac:dyDescent="0.45">
      <c r="A400" s="172">
        <v>406</v>
      </c>
      <c r="B400" s="118" t="s">
        <v>5456</v>
      </c>
      <c r="C400" s="116" t="s">
        <v>5092</v>
      </c>
      <c r="D400" s="116" t="s">
        <v>5093</v>
      </c>
      <c r="E400" s="115" t="s">
        <v>160</v>
      </c>
      <c r="F400" s="131">
        <v>42928</v>
      </c>
      <c r="G400" s="119">
        <f ca="1">IF(ISBLANK(I400),TODAY()-F400,I400-F400)</f>
        <v>70</v>
      </c>
      <c r="H400" s="152" t="s">
        <v>5296</v>
      </c>
      <c r="I400" s="153">
        <v>42998</v>
      </c>
      <c r="J400" s="155" t="s">
        <v>5113</v>
      </c>
    </row>
    <row r="401" spans="1:10" ht="15" customHeight="1" x14ac:dyDescent="0.45">
      <c r="A401" s="172">
        <v>407</v>
      </c>
      <c r="B401" s="118" t="s">
        <v>5456</v>
      </c>
      <c r="C401" s="116" t="s">
        <v>5094</v>
      </c>
      <c r="D401" s="116" t="s">
        <v>5095</v>
      </c>
      <c r="E401" s="115" t="s">
        <v>160</v>
      </c>
      <c r="F401" s="131">
        <v>42928</v>
      </c>
      <c r="G401" s="119">
        <f ca="1">IF(ISBLANK(I401),TODAY()-F401,I401-F401)</f>
        <v>70</v>
      </c>
      <c r="H401" s="152" t="s">
        <v>5296</v>
      </c>
      <c r="I401" s="153">
        <v>42998</v>
      </c>
      <c r="J401" s="154" t="s">
        <v>5113</v>
      </c>
    </row>
    <row r="402" spans="1:10" ht="15" customHeight="1" x14ac:dyDescent="0.45">
      <c r="A402" s="172">
        <v>408</v>
      </c>
      <c r="B402" s="118" t="s">
        <v>5456</v>
      </c>
      <c r="C402" s="116" t="s">
        <v>5096</v>
      </c>
      <c r="D402" s="116" t="s">
        <v>5097</v>
      </c>
      <c r="E402" s="115" t="s">
        <v>160</v>
      </c>
      <c r="F402" s="131">
        <v>42928</v>
      </c>
      <c r="G402" s="119">
        <f ca="1">IF(ISBLANK(I402),TODAY()-F402,I402-F402)</f>
        <v>70</v>
      </c>
      <c r="H402" s="152" t="s">
        <v>5296</v>
      </c>
      <c r="I402" s="153">
        <v>42998</v>
      </c>
      <c r="J402" s="154" t="s">
        <v>5113</v>
      </c>
    </row>
    <row r="403" spans="1:10" ht="15" customHeight="1" x14ac:dyDescent="0.45">
      <c r="A403" s="172">
        <v>409</v>
      </c>
      <c r="B403" s="118" t="s">
        <v>5456</v>
      </c>
      <c r="C403" s="116" t="s">
        <v>5102</v>
      </c>
      <c r="D403" s="116" t="s">
        <v>5103</v>
      </c>
      <c r="E403" s="115" t="s">
        <v>160</v>
      </c>
      <c r="F403" s="131">
        <v>42928</v>
      </c>
      <c r="G403" s="119">
        <f ca="1">IF(ISBLANK(I403),TODAY()-F403,I403-F403)</f>
        <v>70</v>
      </c>
      <c r="H403" s="152" t="s">
        <v>5296</v>
      </c>
      <c r="I403" s="153">
        <v>42998</v>
      </c>
      <c r="J403" s="155" t="s">
        <v>5113</v>
      </c>
    </row>
    <row r="404" spans="1:10" ht="15" customHeight="1" x14ac:dyDescent="0.45">
      <c r="A404" s="172">
        <v>386</v>
      </c>
      <c r="B404" s="118" t="s">
        <v>5439</v>
      </c>
      <c r="C404" s="116" t="s">
        <v>1219</v>
      </c>
      <c r="D404" s="116" t="s">
        <v>5167</v>
      </c>
      <c r="E404" s="115" t="s">
        <v>160</v>
      </c>
      <c r="F404" s="118">
        <v>42929</v>
      </c>
      <c r="G404" s="119">
        <f ca="1">IF(ISBLANK(I404),TODAY()-F404,I404-F404)</f>
        <v>29</v>
      </c>
      <c r="H404" s="126" t="s">
        <v>65</v>
      </c>
      <c r="I404" s="121">
        <v>42958</v>
      </c>
      <c r="J404" s="156" t="s">
        <v>5160</v>
      </c>
    </row>
    <row r="405" spans="1:10" ht="15" customHeight="1" x14ac:dyDescent="0.45">
      <c r="A405" s="172">
        <v>387</v>
      </c>
      <c r="B405" s="118" t="s">
        <v>5439</v>
      </c>
      <c r="C405" s="116" t="s">
        <v>1223</v>
      </c>
      <c r="D405" s="116" t="s">
        <v>5168</v>
      </c>
      <c r="E405" s="115" t="s">
        <v>160</v>
      </c>
      <c r="F405" s="118">
        <v>42929</v>
      </c>
      <c r="G405" s="119">
        <f ca="1">IF(ISBLANK(I405),TODAY()-F405,I405-F405)</f>
        <v>29</v>
      </c>
      <c r="H405" s="126" t="s">
        <v>65</v>
      </c>
      <c r="I405" s="121">
        <v>42958</v>
      </c>
      <c r="J405" s="171" t="s">
        <v>5160</v>
      </c>
    </row>
    <row r="406" spans="1:10" ht="15" customHeight="1" x14ac:dyDescent="0.45">
      <c r="A406" s="172">
        <v>388</v>
      </c>
      <c r="B406" s="118" t="s">
        <v>5439</v>
      </c>
      <c r="C406" s="116" t="s">
        <v>1226</v>
      </c>
      <c r="D406" s="116" t="s">
        <v>5169</v>
      </c>
      <c r="E406" s="115" t="s">
        <v>160</v>
      </c>
      <c r="F406" s="118">
        <v>42929</v>
      </c>
      <c r="G406" s="119">
        <f ca="1">IF(ISBLANK(I406),TODAY()-F406,I406-F406)</f>
        <v>29</v>
      </c>
      <c r="H406" s="126" t="s">
        <v>65</v>
      </c>
      <c r="I406" s="121">
        <v>42958</v>
      </c>
      <c r="J406" s="171" t="s">
        <v>5160</v>
      </c>
    </row>
    <row r="407" spans="1:10" ht="15" customHeight="1" x14ac:dyDescent="0.45">
      <c r="A407" s="172">
        <v>389</v>
      </c>
      <c r="B407" s="118" t="s">
        <v>5439</v>
      </c>
      <c r="C407" s="116" t="s">
        <v>1232</v>
      </c>
      <c r="D407" s="116" t="s">
        <v>5440</v>
      </c>
      <c r="E407" s="115" t="s">
        <v>65</v>
      </c>
      <c r="F407" s="118">
        <v>42929</v>
      </c>
      <c r="G407" s="119">
        <f ca="1">IF(ISBLANK(I407),TODAY()-F407,I407-F407)</f>
        <v>29</v>
      </c>
      <c r="H407" s="126" t="s">
        <v>65</v>
      </c>
      <c r="I407" s="121">
        <v>42958</v>
      </c>
      <c r="J407" s="171" t="s">
        <v>5160</v>
      </c>
    </row>
    <row r="408" spans="1:10" ht="15" customHeight="1" x14ac:dyDescent="0.45">
      <c r="A408" s="172">
        <v>390</v>
      </c>
      <c r="B408" s="118" t="s">
        <v>5439</v>
      </c>
      <c r="C408" s="116" t="s">
        <v>5441</v>
      </c>
      <c r="D408" s="116" t="s">
        <v>5442</v>
      </c>
      <c r="E408" s="115" t="s">
        <v>65</v>
      </c>
      <c r="F408" s="118">
        <v>42929</v>
      </c>
      <c r="G408" s="119">
        <f ca="1">IF(ISBLANK(I408),TODAY()-F408,I408-F408)</f>
        <v>29</v>
      </c>
      <c r="H408" s="126" t="s">
        <v>65</v>
      </c>
      <c r="I408" s="121">
        <v>42958</v>
      </c>
      <c r="J408" s="156" t="s">
        <v>5160</v>
      </c>
    </row>
    <row r="409" spans="1:10" ht="15" customHeight="1" x14ac:dyDescent="0.45">
      <c r="A409" s="172">
        <v>391</v>
      </c>
      <c r="B409" s="118" t="s">
        <v>5439</v>
      </c>
      <c r="C409" s="116" t="s">
        <v>5443</v>
      </c>
      <c r="D409" s="116" t="s">
        <v>5444</v>
      </c>
      <c r="E409" s="115" t="s">
        <v>65</v>
      </c>
      <c r="F409" s="118">
        <v>42929</v>
      </c>
      <c r="G409" s="119">
        <f ca="1">IF(ISBLANK(I409),TODAY()-F409,I409-F409)</f>
        <v>29</v>
      </c>
      <c r="H409" s="126" t="s">
        <v>65</v>
      </c>
      <c r="I409" s="121">
        <v>42958</v>
      </c>
      <c r="J409" s="171" t="s">
        <v>5160</v>
      </c>
    </row>
    <row r="410" spans="1:10" ht="15" customHeight="1" x14ac:dyDescent="0.45">
      <c r="A410" s="172">
        <v>392</v>
      </c>
      <c r="B410" s="118" t="s">
        <v>5439</v>
      </c>
      <c r="C410" s="116" t="s">
        <v>5445</v>
      </c>
      <c r="D410" s="116" t="s">
        <v>5446</v>
      </c>
      <c r="E410" s="115" t="s">
        <v>65</v>
      </c>
      <c r="F410" s="118">
        <v>42929</v>
      </c>
      <c r="G410" s="119">
        <f ca="1">IF(ISBLANK(I410),TODAY()-F410,I410-F410)</f>
        <v>29</v>
      </c>
      <c r="H410" s="126" t="s">
        <v>65</v>
      </c>
      <c r="I410" s="121">
        <v>42958</v>
      </c>
      <c r="J410" s="156" t="s">
        <v>5160</v>
      </c>
    </row>
    <row r="411" spans="1:10" ht="15" customHeight="1" x14ac:dyDescent="0.45">
      <c r="A411" s="172">
        <v>393</v>
      </c>
      <c r="B411" s="118" t="s">
        <v>5439</v>
      </c>
      <c r="C411" s="116" t="s">
        <v>1038</v>
      </c>
      <c r="D411" s="130" t="s">
        <v>5447</v>
      </c>
      <c r="E411" s="115" t="s">
        <v>65</v>
      </c>
      <c r="F411" s="118">
        <v>42929</v>
      </c>
      <c r="G411" s="119">
        <f ca="1">IF(ISBLANK(I411),TODAY()-F411,I411-F411)</f>
        <v>29</v>
      </c>
      <c r="H411" s="126" t="s">
        <v>2702</v>
      </c>
      <c r="I411" s="121">
        <v>42958</v>
      </c>
      <c r="J411" s="156" t="s">
        <v>5160</v>
      </c>
    </row>
    <row r="412" spans="1:10" ht="15" customHeight="1" x14ac:dyDescent="0.45">
      <c r="A412" s="172">
        <v>394</v>
      </c>
      <c r="B412" s="118" t="s">
        <v>5439</v>
      </c>
      <c r="C412" s="116" t="s">
        <v>1041</v>
      </c>
      <c r="D412" s="130" t="s">
        <v>5448</v>
      </c>
      <c r="E412" s="115" t="s">
        <v>65</v>
      </c>
      <c r="F412" s="118">
        <v>42929</v>
      </c>
      <c r="G412" s="119">
        <f ca="1">IF(ISBLANK(I412),TODAY()-F412,I412-F412)</f>
        <v>29</v>
      </c>
      <c r="H412" s="126" t="s">
        <v>2702</v>
      </c>
      <c r="I412" s="121">
        <v>42958</v>
      </c>
      <c r="J412" s="156" t="s">
        <v>5160</v>
      </c>
    </row>
    <row r="413" spans="1:10" ht="15" customHeight="1" x14ac:dyDescent="0.45">
      <c r="A413" s="172">
        <v>395</v>
      </c>
      <c r="B413" s="118" t="s">
        <v>5439</v>
      </c>
      <c r="C413" s="116" t="s">
        <v>1054</v>
      </c>
      <c r="D413" s="130" t="s">
        <v>5449</v>
      </c>
      <c r="E413" s="115" t="s">
        <v>65</v>
      </c>
      <c r="F413" s="118">
        <v>42929</v>
      </c>
      <c r="G413" s="119">
        <f ca="1">IF(ISBLANK(I413),TODAY()-F413,I413-F413)</f>
        <v>29</v>
      </c>
      <c r="H413" s="126" t="s">
        <v>2702</v>
      </c>
      <c r="I413" s="121">
        <v>42958</v>
      </c>
      <c r="J413" s="171" t="s">
        <v>5160</v>
      </c>
    </row>
    <row r="414" spans="1:10" ht="15" customHeight="1" x14ac:dyDescent="0.45">
      <c r="A414" s="172">
        <v>411</v>
      </c>
      <c r="B414" s="118" t="s">
        <v>5457</v>
      </c>
      <c r="C414" s="116" t="s">
        <v>1798</v>
      </c>
      <c r="D414" s="116" t="s">
        <v>1800</v>
      </c>
      <c r="E414" s="115" t="s">
        <v>160</v>
      </c>
      <c r="F414" s="167">
        <v>42929</v>
      </c>
      <c r="G414" s="119">
        <f ca="1">IF(ISBLANK(I414),TODAY()-F414,I414-F414)</f>
        <v>48</v>
      </c>
      <c r="H414" s="152" t="s">
        <v>5296</v>
      </c>
      <c r="I414" s="161">
        <v>42977</v>
      </c>
      <c r="J414" s="154" t="s">
        <v>5113</v>
      </c>
    </row>
    <row r="415" spans="1:10" ht="15" customHeight="1" x14ac:dyDescent="0.45">
      <c r="A415" s="172">
        <v>412</v>
      </c>
      <c r="B415" s="118" t="s">
        <v>5457</v>
      </c>
      <c r="C415" s="116" t="s">
        <v>1807</v>
      </c>
      <c r="D415" s="116" t="s">
        <v>1809</v>
      </c>
      <c r="E415" s="115" t="s">
        <v>160</v>
      </c>
      <c r="F415" s="167">
        <v>42929</v>
      </c>
      <c r="G415" s="119">
        <f ca="1">IF(ISBLANK(I415),TODAY()-F415,I415-F415)</f>
        <v>11</v>
      </c>
      <c r="H415" s="152" t="s">
        <v>5296</v>
      </c>
      <c r="I415" s="161">
        <v>42940</v>
      </c>
      <c r="J415" s="162" t="s">
        <v>5160</v>
      </c>
    </row>
    <row r="416" spans="1:10" ht="15" customHeight="1" x14ac:dyDescent="0.45">
      <c r="A416" s="172">
        <v>413</v>
      </c>
      <c r="B416" s="118" t="s">
        <v>5457</v>
      </c>
      <c r="C416" s="116" t="s">
        <v>2682</v>
      </c>
      <c r="D416" s="116" t="s">
        <v>1811</v>
      </c>
      <c r="E416" s="115" t="s">
        <v>160</v>
      </c>
      <c r="F416" s="167">
        <v>42929</v>
      </c>
      <c r="G416" s="119">
        <f ca="1">IF(ISBLANK(I416),TODAY()-F416,I416-F416)</f>
        <v>8</v>
      </c>
      <c r="H416" s="152" t="s">
        <v>5296</v>
      </c>
      <c r="I416" s="161">
        <v>42937</v>
      </c>
      <c r="J416" s="162" t="s">
        <v>5160</v>
      </c>
    </row>
    <row r="417" spans="1:10" ht="15" customHeight="1" x14ac:dyDescent="0.45">
      <c r="A417" s="172">
        <v>414</v>
      </c>
      <c r="B417" s="118" t="s">
        <v>5457</v>
      </c>
      <c r="C417" s="116" t="s">
        <v>1813</v>
      </c>
      <c r="D417" s="116" t="s">
        <v>1815</v>
      </c>
      <c r="E417" s="115" t="s">
        <v>160</v>
      </c>
      <c r="F417" s="167">
        <v>42929</v>
      </c>
      <c r="G417" s="119">
        <f ca="1">IF(ISBLANK(I417),TODAY()-F417,I417-F417)</f>
        <v>48</v>
      </c>
      <c r="H417" s="152" t="s">
        <v>5296</v>
      </c>
      <c r="I417" s="161">
        <v>42977</v>
      </c>
      <c r="J417" s="192" t="s">
        <v>5113</v>
      </c>
    </row>
    <row r="418" spans="1:10" ht="15" customHeight="1" x14ac:dyDescent="0.45">
      <c r="A418" s="172">
        <v>415</v>
      </c>
      <c r="B418" s="118" t="s">
        <v>5457</v>
      </c>
      <c r="C418" s="116" t="s">
        <v>1818</v>
      </c>
      <c r="D418" s="116" t="s">
        <v>1820</v>
      </c>
      <c r="E418" s="115" t="s">
        <v>160</v>
      </c>
      <c r="F418" s="167">
        <v>42929</v>
      </c>
      <c r="G418" s="119">
        <f ca="1">IF(ISBLANK(I418),TODAY()-F418,I418-F418)</f>
        <v>48</v>
      </c>
      <c r="H418" s="152" t="s">
        <v>5296</v>
      </c>
      <c r="I418" s="161">
        <v>42977</v>
      </c>
      <c r="J418" s="154" t="s">
        <v>5113</v>
      </c>
    </row>
    <row r="419" spans="1:10" ht="15" customHeight="1" x14ac:dyDescent="0.45">
      <c r="A419" s="172">
        <v>416</v>
      </c>
      <c r="B419" s="118" t="s">
        <v>5457</v>
      </c>
      <c r="C419" s="116" t="s">
        <v>1826</v>
      </c>
      <c r="D419" s="116" t="s">
        <v>1828</v>
      </c>
      <c r="E419" s="115" t="s">
        <v>160</v>
      </c>
      <c r="F419" s="167">
        <v>42929</v>
      </c>
      <c r="G419" s="119">
        <f ca="1">IF(ISBLANK(I419),TODAY()-F419,I419-F419)</f>
        <v>42</v>
      </c>
      <c r="H419" s="152" t="s">
        <v>5296</v>
      </c>
      <c r="I419" s="161">
        <v>42971</v>
      </c>
      <c r="J419" s="154" t="s">
        <v>5113</v>
      </c>
    </row>
    <row r="420" spans="1:10" ht="15" customHeight="1" x14ac:dyDescent="0.45">
      <c r="A420" s="172">
        <v>417</v>
      </c>
      <c r="B420" s="118" t="s">
        <v>5457</v>
      </c>
      <c r="C420" s="116" t="s">
        <v>1830</v>
      </c>
      <c r="D420" s="116" t="s">
        <v>1832</v>
      </c>
      <c r="E420" s="115" t="s">
        <v>160</v>
      </c>
      <c r="F420" s="167">
        <v>42929</v>
      </c>
      <c r="G420" s="119">
        <f ca="1">IF(ISBLANK(I420),TODAY()-F420,I420-F420)</f>
        <v>48</v>
      </c>
      <c r="H420" s="189" t="s">
        <v>5296</v>
      </c>
      <c r="I420" s="193">
        <v>42977</v>
      </c>
      <c r="J420" s="194" t="s">
        <v>5113</v>
      </c>
    </row>
    <row r="421" spans="1:10" ht="15" customHeight="1" x14ac:dyDescent="0.45">
      <c r="A421" s="172">
        <v>418</v>
      </c>
      <c r="B421" s="118" t="s">
        <v>5457</v>
      </c>
      <c r="C421" s="116" t="s">
        <v>1834</v>
      </c>
      <c r="D421" s="116" t="s">
        <v>1836</v>
      </c>
      <c r="E421" s="115" t="s">
        <v>160</v>
      </c>
      <c r="F421" s="167">
        <v>42929</v>
      </c>
      <c r="G421" s="119">
        <f ca="1">IF(ISBLANK(I421),TODAY()-F421,I421-F421)</f>
        <v>11</v>
      </c>
      <c r="H421" s="152" t="s">
        <v>5296</v>
      </c>
      <c r="I421" s="161">
        <v>42940</v>
      </c>
      <c r="J421" s="154" t="s">
        <v>5051</v>
      </c>
    </row>
    <row r="422" spans="1:10" ht="15" customHeight="1" x14ac:dyDescent="0.45">
      <c r="A422" s="172">
        <v>419</v>
      </c>
      <c r="B422" s="118" t="s">
        <v>5457</v>
      </c>
      <c r="C422" s="116" t="s">
        <v>1839</v>
      </c>
      <c r="D422" s="116" t="s">
        <v>1841</v>
      </c>
      <c r="E422" s="115" t="s">
        <v>160</v>
      </c>
      <c r="F422" s="167">
        <v>42929</v>
      </c>
      <c r="G422" s="119">
        <f ca="1">IF(ISBLANK(I422),TODAY()-F422,I422-F422)</f>
        <v>11</v>
      </c>
      <c r="H422" s="152" t="s">
        <v>5296</v>
      </c>
      <c r="I422" s="161">
        <v>42940</v>
      </c>
      <c r="J422" s="154" t="s">
        <v>5113</v>
      </c>
    </row>
    <row r="423" spans="1:10" ht="15" customHeight="1" x14ac:dyDescent="0.45">
      <c r="A423" s="172">
        <v>420</v>
      </c>
      <c r="B423" s="118" t="s">
        <v>5457</v>
      </c>
      <c r="C423" s="116" t="s">
        <v>1842</v>
      </c>
      <c r="D423" s="116" t="s">
        <v>1844</v>
      </c>
      <c r="E423" s="115" t="s">
        <v>160</v>
      </c>
      <c r="F423" s="167">
        <v>42929</v>
      </c>
      <c r="G423" s="119">
        <f ca="1">IF(ISBLANK(I423),TODAY()-F423,I423-F423)</f>
        <v>11</v>
      </c>
      <c r="H423" s="152" t="s">
        <v>5296</v>
      </c>
      <c r="I423" s="161">
        <v>42940</v>
      </c>
      <c r="J423" s="154" t="s">
        <v>5113</v>
      </c>
    </row>
    <row r="424" spans="1:10" ht="15" customHeight="1" x14ac:dyDescent="0.45">
      <c r="A424" s="177">
        <v>421</v>
      </c>
      <c r="B424" s="167" t="s">
        <v>5457</v>
      </c>
      <c r="C424" s="168" t="s">
        <v>1868</v>
      </c>
      <c r="D424" s="168" t="s">
        <v>5278</v>
      </c>
      <c r="E424" s="169" t="s">
        <v>160</v>
      </c>
      <c r="F424" s="167">
        <v>42929</v>
      </c>
      <c r="G424" s="119">
        <f ca="1">IF(ISBLANK(I424),TODAY()-F424,I424-F424)</f>
        <v>8</v>
      </c>
      <c r="H424" s="152" t="s">
        <v>5296</v>
      </c>
      <c r="I424" s="161">
        <v>42937</v>
      </c>
      <c r="J424" s="154" t="s">
        <v>5113</v>
      </c>
    </row>
    <row r="425" spans="1:10" ht="15" customHeight="1" x14ac:dyDescent="0.45">
      <c r="A425" s="177">
        <v>422</v>
      </c>
      <c r="B425" s="167" t="s">
        <v>5458</v>
      </c>
      <c r="C425" s="167" t="s">
        <v>5459</v>
      </c>
      <c r="D425" s="167" t="s">
        <v>1052</v>
      </c>
      <c r="E425" s="167" t="s">
        <v>65</v>
      </c>
      <c r="F425" s="167">
        <v>42929</v>
      </c>
      <c r="G425" s="119">
        <f ca="1">IF(ISBLANK(I425),TODAY()-F425,I425-F425)</f>
        <v>29</v>
      </c>
      <c r="H425" s="126" t="s">
        <v>2702</v>
      </c>
      <c r="I425" s="121">
        <v>42958</v>
      </c>
      <c r="J425" s="156" t="s">
        <v>5160</v>
      </c>
    </row>
    <row r="426" spans="1:10" ht="15" customHeight="1" x14ac:dyDescent="0.45">
      <c r="A426" s="177">
        <v>423</v>
      </c>
      <c r="B426" s="167" t="s">
        <v>5458</v>
      </c>
      <c r="C426" s="167" t="s">
        <v>1057</v>
      </c>
      <c r="D426" s="167" t="s">
        <v>1059</v>
      </c>
      <c r="E426" s="167" t="s">
        <v>65</v>
      </c>
      <c r="F426" s="167">
        <v>42929</v>
      </c>
      <c r="G426" s="119">
        <f ca="1">IF(ISBLANK(I426),TODAY()-F426,I426-F426)</f>
        <v>29</v>
      </c>
      <c r="H426" s="126" t="s">
        <v>2702</v>
      </c>
      <c r="I426" s="121">
        <v>42958</v>
      </c>
      <c r="J426" s="156" t="s">
        <v>5160</v>
      </c>
    </row>
    <row r="427" spans="1:10" ht="15" customHeight="1" x14ac:dyDescent="0.45">
      <c r="A427" s="177">
        <v>424</v>
      </c>
      <c r="B427" s="167" t="s">
        <v>5458</v>
      </c>
      <c r="C427" s="167" t="s">
        <v>1061</v>
      </c>
      <c r="D427" s="167" t="s">
        <v>1063</v>
      </c>
      <c r="E427" s="167" t="s">
        <v>65</v>
      </c>
      <c r="F427" s="167">
        <v>42929</v>
      </c>
      <c r="G427" s="119">
        <f ca="1">IF(ISBLANK(I427),TODAY()-F427,I427-F427)</f>
        <v>29</v>
      </c>
      <c r="H427" s="126" t="s">
        <v>2702</v>
      </c>
      <c r="I427" s="121">
        <v>42958</v>
      </c>
      <c r="J427" s="156" t="s">
        <v>5160</v>
      </c>
    </row>
    <row r="428" spans="1:10" ht="15" customHeight="1" x14ac:dyDescent="0.45">
      <c r="A428" s="177">
        <v>425</v>
      </c>
      <c r="B428" s="167" t="s">
        <v>5460</v>
      </c>
      <c r="C428" s="167" t="s">
        <v>2178</v>
      </c>
      <c r="D428" s="167" t="s">
        <v>2180</v>
      </c>
      <c r="E428" s="167" t="s">
        <v>65</v>
      </c>
      <c r="F428" s="167">
        <v>42929</v>
      </c>
      <c r="G428" s="119">
        <f ca="1">IF(ISBLANK(I428),TODAY()-F428,I428-F428)</f>
        <v>29</v>
      </c>
      <c r="H428" s="126" t="s">
        <v>160</v>
      </c>
      <c r="I428" s="121">
        <v>42958</v>
      </c>
      <c r="J428" s="156" t="s">
        <v>5160</v>
      </c>
    </row>
    <row r="429" spans="1:10" ht="15" customHeight="1" x14ac:dyDescent="0.45">
      <c r="A429" s="177">
        <v>426</v>
      </c>
      <c r="B429" s="167" t="s">
        <v>5460</v>
      </c>
      <c r="C429" s="167" t="s">
        <v>2227</v>
      </c>
      <c r="D429" s="167" t="s">
        <v>2229</v>
      </c>
      <c r="E429" s="167" t="s">
        <v>65</v>
      </c>
      <c r="F429" s="167">
        <v>42929</v>
      </c>
      <c r="G429" s="119">
        <f ca="1">IF(ISBLANK(I429),TODAY()-F429,I429-F429)</f>
        <v>29</v>
      </c>
      <c r="H429" s="126" t="s">
        <v>160</v>
      </c>
      <c r="I429" s="121">
        <v>42958</v>
      </c>
      <c r="J429" s="156" t="s">
        <v>5160</v>
      </c>
    </row>
    <row r="430" spans="1:10" ht="15" customHeight="1" x14ac:dyDescent="0.45">
      <c r="A430" s="177">
        <v>427</v>
      </c>
      <c r="B430" s="167" t="s">
        <v>5460</v>
      </c>
      <c r="C430" s="167" t="s">
        <v>2281</v>
      </c>
      <c r="D430" s="167" t="s">
        <v>2283</v>
      </c>
      <c r="E430" s="167" t="s">
        <v>65</v>
      </c>
      <c r="F430" s="167">
        <v>42929</v>
      </c>
      <c r="G430" s="119">
        <f ca="1">IF(ISBLANK(I430),TODAY()-F430,I430-F430)</f>
        <v>29</v>
      </c>
      <c r="H430" s="126" t="s">
        <v>160</v>
      </c>
      <c r="I430" s="121">
        <v>42958</v>
      </c>
      <c r="J430" s="156" t="s">
        <v>5160</v>
      </c>
    </row>
    <row r="431" spans="1:10" ht="15" customHeight="1" x14ac:dyDescent="0.45">
      <c r="A431" s="172">
        <v>428</v>
      </c>
      <c r="B431" s="118" t="s">
        <v>5460</v>
      </c>
      <c r="C431" s="118" t="s">
        <v>2314</v>
      </c>
      <c r="D431" s="118" t="s">
        <v>2316</v>
      </c>
      <c r="E431" s="118" t="s">
        <v>65</v>
      </c>
      <c r="F431" s="167">
        <v>42929</v>
      </c>
      <c r="G431" s="119">
        <f ca="1">IF(ISBLANK(I431),TODAY()-F431,I431-F431)</f>
        <v>29</v>
      </c>
      <c r="H431" s="126" t="s">
        <v>160</v>
      </c>
      <c r="I431" s="121">
        <v>42958</v>
      </c>
      <c r="J431" s="156" t="s">
        <v>5160</v>
      </c>
    </row>
    <row r="432" spans="1:10" ht="15" customHeight="1" x14ac:dyDescent="0.45">
      <c r="A432" s="172">
        <v>436</v>
      </c>
      <c r="B432" s="115" t="s">
        <v>5465</v>
      </c>
      <c r="C432" s="115" t="s">
        <v>5466</v>
      </c>
      <c r="D432" s="116" t="s">
        <v>1609</v>
      </c>
      <c r="E432" s="115" t="s">
        <v>5062</v>
      </c>
      <c r="F432" s="118">
        <v>42929</v>
      </c>
      <c r="G432" s="119">
        <f ca="1">IF(ISBLANK(I432),TODAY()-F432,I432-F432)</f>
        <v>42</v>
      </c>
      <c r="H432" s="126" t="s">
        <v>2702</v>
      </c>
      <c r="I432" s="127">
        <v>42971</v>
      </c>
      <c r="J432" s="171" t="s">
        <v>5160</v>
      </c>
    </row>
    <row r="433" spans="1:10" ht="15" customHeight="1" x14ac:dyDescent="0.45">
      <c r="A433" s="172">
        <v>437</v>
      </c>
      <c r="B433" s="115" t="s">
        <v>5465</v>
      </c>
      <c r="C433" s="115" t="s">
        <v>5229</v>
      </c>
      <c r="D433" s="116" t="s">
        <v>5230</v>
      </c>
      <c r="E433" s="115" t="s">
        <v>5003</v>
      </c>
      <c r="F433" s="118">
        <v>42929</v>
      </c>
      <c r="G433" s="119">
        <f ca="1">IF(ISBLANK(I433),TODAY()-F433,I433-F433)</f>
        <v>42</v>
      </c>
      <c r="H433" s="126" t="s">
        <v>160</v>
      </c>
      <c r="I433" s="127">
        <v>42971</v>
      </c>
      <c r="J433" s="171" t="s">
        <v>5160</v>
      </c>
    </row>
    <row r="434" spans="1:10" ht="15" customHeight="1" x14ac:dyDescent="0.45">
      <c r="A434" s="172">
        <v>438</v>
      </c>
      <c r="B434" s="115" t="s">
        <v>5465</v>
      </c>
      <c r="C434" s="115" t="s">
        <v>5467</v>
      </c>
      <c r="D434" s="116" t="s">
        <v>5468</v>
      </c>
      <c r="E434" s="115" t="s">
        <v>5002</v>
      </c>
      <c r="F434" s="118">
        <v>42929</v>
      </c>
      <c r="G434" s="119">
        <f ca="1">IF(ISBLANK(I434),TODAY()-F434,I434-F434)</f>
        <v>42</v>
      </c>
      <c r="H434" s="126" t="s">
        <v>2702</v>
      </c>
      <c r="I434" s="127">
        <v>42971</v>
      </c>
      <c r="J434" s="171" t="s">
        <v>5160</v>
      </c>
    </row>
    <row r="435" spans="1:10" ht="15" customHeight="1" x14ac:dyDescent="0.45">
      <c r="A435" s="172">
        <v>444</v>
      </c>
      <c r="B435" s="118" t="s">
        <v>5480</v>
      </c>
      <c r="C435" s="116" t="s">
        <v>5481</v>
      </c>
      <c r="D435" s="115" t="s">
        <v>1112</v>
      </c>
      <c r="E435" s="116" t="s">
        <v>5002</v>
      </c>
      <c r="F435" s="118">
        <v>42929</v>
      </c>
      <c r="G435" s="119">
        <f ca="1">IF(ISBLANK(I435),TODAY()-F435,I435-F435)</f>
        <v>29</v>
      </c>
      <c r="H435" s="126" t="s">
        <v>2702</v>
      </c>
      <c r="I435" s="121">
        <v>42958</v>
      </c>
      <c r="J435" s="171" t="s">
        <v>5160</v>
      </c>
    </row>
    <row r="436" spans="1:10" ht="15" customHeight="1" x14ac:dyDescent="0.45">
      <c r="A436" s="172">
        <v>445</v>
      </c>
      <c r="B436" s="118" t="s">
        <v>5480</v>
      </c>
      <c r="C436" s="116" t="s">
        <v>5482</v>
      </c>
      <c r="D436" s="115" t="s">
        <v>1115</v>
      </c>
      <c r="E436" s="116" t="s">
        <v>5002</v>
      </c>
      <c r="F436" s="118">
        <v>42929</v>
      </c>
      <c r="G436" s="119">
        <f ca="1">IF(ISBLANK(I436),TODAY()-F436,I436-F436)</f>
        <v>29</v>
      </c>
      <c r="H436" s="126" t="s">
        <v>2702</v>
      </c>
      <c r="I436" s="121">
        <v>42958</v>
      </c>
      <c r="J436" s="171" t="s">
        <v>5160</v>
      </c>
    </row>
    <row r="437" spans="1:10" ht="15" customHeight="1" x14ac:dyDescent="0.45">
      <c r="A437" s="172">
        <v>446</v>
      </c>
      <c r="B437" s="118" t="s">
        <v>5480</v>
      </c>
      <c r="C437" s="116" t="s">
        <v>5483</v>
      </c>
      <c r="D437" s="130" t="s">
        <v>5484</v>
      </c>
      <c r="E437" s="116" t="s">
        <v>5002</v>
      </c>
      <c r="F437" s="118">
        <v>42929</v>
      </c>
      <c r="G437" s="119">
        <f ca="1">IF(ISBLANK(I437),TODAY()-F437,I437-F437)</f>
        <v>29</v>
      </c>
      <c r="H437" s="126" t="s">
        <v>2702</v>
      </c>
      <c r="I437" s="121">
        <v>42958</v>
      </c>
      <c r="J437" s="171" t="s">
        <v>5160</v>
      </c>
    </row>
    <row r="438" spans="1:10" ht="15" customHeight="1" x14ac:dyDescent="0.45">
      <c r="A438" s="172">
        <v>450</v>
      </c>
      <c r="B438" s="195" t="s">
        <v>5487</v>
      </c>
      <c r="C438" s="196" t="s">
        <v>788</v>
      </c>
      <c r="D438" s="196" t="s">
        <v>5488</v>
      </c>
      <c r="E438" s="195" t="s">
        <v>65</v>
      </c>
      <c r="F438" s="118">
        <v>42929</v>
      </c>
      <c r="G438" s="119">
        <f ca="1">IF(ISBLANK(I438),TODAY()-F438,I438-F438)</f>
        <v>29</v>
      </c>
      <c r="H438" s="126" t="s">
        <v>160</v>
      </c>
      <c r="I438" s="121">
        <v>42958</v>
      </c>
      <c r="J438" s="171" t="s">
        <v>5160</v>
      </c>
    </row>
    <row r="439" spans="1:10" ht="15" customHeight="1" x14ac:dyDescent="0.45">
      <c r="A439" s="172">
        <v>451</v>
      </c>
      <c r="B439" s="195" t="s">
        <v>5487</v>
      </c>
      <c r="C439" s="196" t="s">
        <v>793</v>
      </c>
      <c r="D439" s="196" t="s">
        <v>795</v>
      </c>
      <c r="E439" s="195" t="s">
        <v>65</v>
      </c>
      <c r="F439" s="167">
        <v>42929</v>
      </c>
      <c r="G439" s="119">
        <f ca="1">IF(ISBLANK(I439),TODAY()-F439,I439-F439)</f>
        <v>29</v>
      </c>
      <c r="H439" s="126" t="s">
        <v>65</v>
      </c>
      <c r="I439" s="121">
        <v>42958</v>
      </c>
      <c r="J439" s="156" t="s">
        <v>5160</v>
      </c>
    </row>
    <row r="440" spans="1:10" ht="15" customHeight="1" x14ac:dyDescent="0.45">
      <c r="A440" s="172">
        <v>452</v>
      </c>
      <c r="B440" s="195" t="s">
        <v>5487</v>
      </c>
      <c r="C440" s="196" t="s">
        <v>797</v>
      </c>
      <c r="D440" s="196" t="s">
        <v>799</v>
      </c>
      <c r="E440" s="195" t="s">
        <v>65</v>
      </c>
      <c r="F440" s="167">
        <v>42929</v>
      </c>
      <c r="G440" s="119">
        <f ca="1">IF(ISBLANK(I440),TODAY()-F440,I440-F440)</f>
        <v>29</v>
      </c>
      <c r="H440" s="126" t="s">
        <v>160</v>
      </c>
      <c r="I440" s="121">
        <v>42958</v>
      </c>
      <c r="J440" s="156" t="s">
        <v>5160</v>
      </c>
    </row>
    <row r="441" spans="1:10" ht="15" customHeight="1" x14ac:dyDescent="0.45">
      <c r="A441" s="172">
        <v>453</v>
      </c>
      <c r="B441" s="334" t="s">
        <v>5489</v>
      </c>
      <c r="C441" s="336" t="s">
        <v>801</v>
      </c>
      <c r="D441" s="336" t="s">
        <v>803</v>
      </c>
      <c r="E441" s="334" t="s">
        <v>65</v>
      </c>
      <c r="F441" s="167">
        <v>42929</v>
      </c>
      <c r="G441" s="119">
        <f ca="1">IF(ISBLANK(I441),TODAY()-F441,I441-F441)</f>
        <v>29</v>
      </c>
      <c r="H441" s="126" t="s">
        <v>160</v>
      </c>
      <c r="I441" s="121">
        <v>42958</v>
      </c>
      <c r="J441" s="156" t="s">
        <v>5160</v>
      </c>
    </row>
    <row r="442" spans="1:10" ht="15" customHeight="1" x14ac:dyDescent="0.45">
      <c r="A442" s="172">
        <v>454</v>
      </c>
      <c r="B442" s="334" t="s">
        <v>5487</v>
      </c>
      <c r="C442" s="336" t="s">
        <v>807</v>
      </c>
      <c r="D442" s="336" t="s">
        <v>809</v>
      </c>
      <c r="E442" s="334" t="s">
        <v>65</v>
      </c>
      <c r="F442" s="118">
        <v>42929</v>
      </c>
      <c r="G442" s="119">
        <f ca="1">IF(ISBLANK(I442),TODAY()-F442,I442-F442)</f>
        <v>60</v>
      </c>
      <c r="H442" s="126" t="s">
        <v>65</v>
      </c>
      <c r="I442" s="127">
        <v>42989</v>
      </c>
      <c r="J442" s="122" t="s">
        <v>5160</v>
      </c>
    </row>
    <row r="443" spans="1:10" ht="15" customHeight="1" x14ac:dyDescent="0.45">
      <c r="A443" s="172">
        <v>455</v>
      </c>
      <c r="B443" s="334" t="s">
        <v>5487</v>
      </c>
      <c r="C443" s="336" t="s">
        <v>813</v>
      </c>
      <c r="D443" s="336" t="s">
        <v>815</v>
      </c>
      <c r="E443" s="334" t="s">
        <v>65</v>
      </c>
      <c r="F443" s="118">
        <v>42929</v>
      </c>
      <c r="G443" s="119">
        <f ca="1">IF(ISBLANK(I443),TODAY()-F443,I443-F443)</f>
        <v>60</v>
      </c>
      <c r="H443" s="126" t="s">
        <v>164</v>
      </c>
      <c r="I443" s="147">
        <v>42989</v>
      </c>
      <c r="J443" s="122" t="s">
        <v>5160</v>
      </c>
    </row>
    <row r="444" spans="1:10" ht="15" customHeight="1" x14ac:dyDescent="0.45">
      <c r="A444" s="172">
        <v>456</v>
      </c>
      <c r="B444" s="334" t="s">
        <v>5487</v>
      </c>
      <c r="C444" s="336" t="s">
        <v>818</v>
      </c>
      <c r="D444" s="336" t="s">
        <v>820</v>
      </c>
      <c r="E444" s="334" t="s">
        <v>65</v>
      </c>
      <c r="F444" s="118">
        <v>42929</v>
      </c>
      <c r="G444" s="119">
        <f ca="1">IF(ISBLANK(I444),TODAY()-F444,I444-F444)</f>
        <v>60</v>
      </c>
      <c r="H444" s="126" t="s">
        <v>65</v>
      </c>
      <c r="I444" s="147">
        <v>42989</v>
      </c>
      <c r="J444" s="122" t="s">
        <v>5160</v>
      </c>
    </row>
    <row r="445" spans="1:10" ht="15" customHeight="1" x14ac:dyDescent="0.45">
      <c r="A445" s="172">
        <v>457</v>
      </c>
      <c r="B445" s="334" t="s">
        <v>5487</v>
      </c>
      <c r="C445" s="336" t="s">
        <v>822</v>
      </c>
      <c r="D445" s="336" t="s">
        <v>824</v>
      </c>
      <c r="E445" s="334" t="s">
        <v>65</v>
      </c>
      <c r="F445" s="118">
        <v>42929</v>
      </c>
      <c r="G445" s="119">
        <f ca="1">IF(ISBLANK(I445),TODAY()-F445,I445-F445)</f>
        <v>29</v>
      </c>
      <c r="H445" s="126" t="s">
        <v>5004</v>
      </c>
      <c r="I445" s="356">
        <v>42958</v>
      </c>
      <c r="J445" s="156" t="s">
        <v>5160</v>
      </c>
    </row>
    <row r="446" spans="1:10" ht="15" customHeight="1" x14ac:dyDescent="0.45">
      <c r="A446" s="172">
        <v>458</v>
      </c>
      <c r="B446" s="195" t="s">
        <v>5490</v>
      </c>
      <c r="C446" s="195" t="s">
        <v>1292</v>
      </c>
      <c r="D446" s="195" t="s">
        <v>1294</v>
      </c>
      <c r="E446" s="195" t="s">
        <v>160</v>
      </c>
      <c r="F446" s="118">
        <v>42929</v>
      </c>
      <c r="G446" s="119">
        <f ca="1">IF(ISBLANK(I446),TODAY()-F446,I446-F446)</f>
        <v>17</v>
      </c>
      <c r="H446" s="126" t="s">
        <v>5002</v>
      </c>
      <c r="I446" s="127">
        <v>42946</v>
      </c>
      <c r="J446" s="156" t="s">
        <v>5113</v>
      </c>
    </row>
    <row r="447" spans="1:10" ht="15" customHeight="1" x14ac:dyDescent="0.45">
      <c r="A447" s="172">
        <v>459</v>
      </c>
      <c r="B447" s="130" t="s">
        <v>5491</v>
      </c>
      <c r="C447" s="130" t="s">
        <v>959</v>
      </c>
      <c r="D447" s="130" t="s">
        <v>961</v>
      </c>
      <c r="E447" s="130" t="s">
        <v>65</v>
      </c>
      <c r="F447" s="167">
        <v>42929</v>
      </c>
      <c r="G447" s="119">
        <f ca="1">IF(ISBLANK(I447),TODAY()-F447,I447-F447)</f>
        <v>17</v>
      </c>
      <c r="H447" s="126" t="s">
        <v>5002</v>
      </c>
      <c r="I447" s="127">
        <v>42946</v>
      </c>
      <c r="J447" s="156" t="s">
        <v>5113</v>
      </c>
    </row>
    <row r="448" spans="1:10" ht="15" customHeight="1" x14ac:dyDescent="0.45">
      <c r="A448" s="172">
        <v>460</v>
      </c>
      <c r="B448" s="130" t="s">
        <v>5491</v>
      </c>
      <c r="C448" s="130" t="s">
        <v>962</v>
      </c>
      <c r="D448" s="130" t="s">
        <v>964</v>
      </c>
      <c r="E448" s="130" t="s">
        <v>65</v>
      </c>
      <c r="F448" s="167">
        <v>42929</v>
      </c>
      <c r="G448" s="119">
        <f ca="1">IF(ISBLANK(I448),TODAY()-F448,I448-F448)</f>
        <v>17</v>
      </c>
      <c r="H448" s="126" t="s">
        <v>5002</v>
      </c>
      <c r="I448" s="127">
        <v>42946</v>
      </c>
      <c r="J448" s="156" t="s">
        <v>5113</v>
      </c>
    </row>
    <row r="449" spans="1:10" ht="15" customHeight="1" x14ac:dyDescent="0.45">
      <c r="A449" s="172">
        <v>461</v>
      </c>
      <c r="B449" s="130" t="s">
        <v>5491</v>
      </c>
      <c r="C449" s="130" t="s">
        <v>967</v>
      </c>
      <c r="D449" s="130" t="s">
        <v>969</v>
      </c>
      <c r="E449" s="130" t="s">
        <v>65</v>
      </c>
      <c r="F449" s="167">
        <v>42929</v>
      </c>
      <c r="G449" s="119">
        <f ca="1">IF(ISBLANK(I449),TODAY()-F449,I449-F449)</f>
        <v>17</v>
      </c>
      <c r="H449" s="126" t="s">
        <v>5003</v>
      </c>
      <c r="I449" s="127">
        <v>42946</v>
      </c>
      <c r="J449" s="156" t="s">
        <v>5113</v>
      </c>
    </row>
    <row r="450" spans="1:10" ht="15" customHeight="1" x14ac:dyDescent="0.45">
      <c r="A450" s="172">
        <v>462</v>
      </c>
      <c r="B450" s="130" t="s">
        <v>5492</v>
      </c>
      <c r="C450" s="130" t="s">
        <v>971</v>
      </c>
      <c r="D450" s="130" t="s">
        <v>973</v>
      </c>
      <c r="E450" s="130" t="s">
        <v>65</v>
      </c>
      <c r="F450" s="118">
        <v>42929</v>
      </c>
      <c r="G450" s="119">
        <f ca="1">IF(ISBLANK(I450),TODAY()-F450,I450-F450)</f>
        <v>29</v>
      </c>
      <c r="H450" s="126" t="s">
        <v>2702</v>
      </c>
      <c r="I450" s="356">
        <v>42958</v>
      </c>
      <c r="J450" s="156" t="s">
        <v>5160</v>
      </c>
    </row>
    <row r="451" spans="1:10" ht="15" customHeight="1" x14ac:dyDescent="0.45">
      <c r="A451" s="172">
        <v>463</v>
      </c>
      <c r="B451" s="130" t="s">
        <v>5492</v>
      </c>
      <c r="C451" s="130" t="s">
        <v>976</v>
      </c>
      <c r="D451" s="130" t="s">
        <v>978</v>
      </c>
      <c r="E451" s="130" t="s">
        <v>65</v>
      </c>
      <c r="F451" s="118">
        <v>42929</v>
      </c>
      <c r="G451" s="119">
        <f ca="1">IF(ISBLANK(I451),TODAY()-F451,I451-F451)</f>
        <v>89</v>
      </c>
      <c r="H451" s="152" t="s">
        <v>5296</v>
      </c>
      <c r="I451" s="375">
        <v>43018</v>
      </c>
      <c r="J451" s="197" t="s">
        <v>5113</v>
      </c>
    </row>
    <row r="452" spans="1:10" ht="15" customHeight="1" x14ac:dyDescent="0.45">
      <c r="A452" s="172">
        <v>464</v>
      </c>
      <c r="B452" s="130" t="s">
        <v>5492</v>
      </c>
      <c r="C452" s="130" t="s">
        <v>980</v>
      </c>
      <c r="D452" s="130" t="s">
        <v>982</v>
      </c>
      <c r="E452" s="130" t="s">
        <v>65</v>
      </c>
      <c r="F452" s="118">
        <v>42929</v>
      </c>
      <c r="G452" s="119">
        <f ca="1">IF(ISBLANK(I452),TODAY()-F452,I452-F452)</f>
        <v>29</v>
      </c>
      <c r="H452" s="126" t="s">
        <v>2702</v>
      </c>
      <c r="I452" s="356">
        <v>42958</v>
      </c>
      <c r="J452" s="156" t="s">
        <v>5160</v>
      </c>
    </row>
    <row r="453" spans="1:10" ht="15" customHeight="1" x14ac:dyDescent="0.45">
      <c r="A453" s="172">
        <v>465</v>
      </c>
      <c r="B453" s="130" t="s">
        <v>5492</v>
      </c>
      <c r="C453" s="130" t="s">
        <v>986</v>
      </c>
      <c r="D453" s="130" t="s">
        <v>988</v>
      </c>
      <c r="E453" s="130" t="s">
        <v>65</v>
      </c>
      <c r="F453" s="167">
        <v>42929</v>
      </c>
      <c r="G453" s="119">
        <f ca="1">IF(ISBLANK(I453),TODAY()-F453,I453-F453)</f>
        <v>29</v>
      </c>
      <c r="H453" s="126" t="s">
        <v>2702</v>
      </c>
      <c r="I453" s="121">
        <v>42958</v>
      </c>
      <c r="J453" s="156" t="s">
        <v>5160</v>
      </c>
    </row>
    <row r="454" spans="1:10" ht="15" customHeight="1" x14ac:dyDescent="0.45">
      <c r="A454" s="172">
        <v>468</v>
      </c>
      <c r="B454" s="130" t="s">
        <v>5494</v>
      </c>
      <c r="C454" s="135" t="s">
        <v>1803</v>
      </c>
      <c r="D454" s="135" t="s">
        <v>1805</v>
      </c>
      <c r="E454" s="130" t="s">
        <v>160</v>
      </c>
      <c r="F454" s="167">
        <v>42929</v>
      </c>
      <c r="G454" s="119">
        <f ca="1">IF(ISBLANK(I454),TODAY()-F454,I454-F454)</f>
        <v>11</v>
      </c>
      <c r="H454" s="126" t="s">
        <v>5003</v>
      </c>
      <c r="I454" s="127">
        <v>42940</v>
      </c>
      <c r="J454" s="122" t="s">
        <v>5113</v>
      </c>
    </row>
    <row r="455" spans="1:10" ht="15" customHeight="1" x14ac:dyDescent="0.45">
      <c r="A455" s="172">
        <v>469</v>
      </c>
      <c r="B455" s="130" t="s">
        <v>5494</v>
      </c>
      <c r="C455" s="135" t="s">
        <v>1848</v>
      </c>
      <c r="D455" s="135" t="s">
        <v>1850</v>
      </c>
      <c r="E455" s="130" t="s">
        <v>164</v>
      </c>
      <c r="F455" s="167">
        <v>42929</v>
      </c>
      <c r="G455" s="119">
        <f ca="1">IF(ISBLANK(I455),TODAY()-F455,I455-F455)</f>
        <v>29</v>
      </c>
      <c r="H455" s="126" t="s">
        <v>160</v>
      </c>
      <c r="I455" s="121">
        <v>42958</v>
      </c>
      <c r="J455" s="156" t="s">
        <v>5160</v>
      </c>
    </row>
    <row r="456" spans="1:10" ht="15" customHeight="1" x14ac:dyDescent="0.45">
      <c r="A456" s="172">
        <v>470</v>
      </c>
      <c r="B456" s="130" t="s">
        <v>5494</v>
      </c>
      <c r="C456" s="135" t="s">
        <v>1881</v>
      </c>
      <c r="D456" s="135" t="s">
        <v>1883</v>
      </c>
      <c r="E456" s="130" t="s">
        <v>164</v>
      </c>
      <c r="F456" s="167">
        <v>42929</v>
      </c>
      <c r="G456" s="119">
        <f ca="1">IF(ISBLANK(I456),TODAY()-F456,I456-F456)</f>
        <v>29</v>
      </c>
      <c r="H456" s="126" t="s">
        <v>2702</v>
      </c>
      <c r="I456" s="121">
        <v>42958</v>
      </c>
      <c r="J456" s="156" t="s">
        <v>5160</v>
      </c>
    </row>
    <row r="457" spans="1:10" ht="15" customHeight="1" x14ac:dyDescent="0.45">
      <c r="A457" s="172">
        <v>474</v>
      </c>
      <c r="B457" s="130" t="s">
        <v>5495</v>
      </c>
      <c r="C457" s="130" t="s">
        <v>1377</v>
      </c>
      <c r="D457" s="130" t="s">
        <v>1379</v>
      </c>
      <c r="E457" s="130" t="s">
        <v>160</v>
      </c>
      <c r="F457" s="167">
        <v>42929</v>
      </c>
      <c r="G457" s="119">
        <f ca="1">IF(ISBLANK(I457),TODAY()-F457,I457-F457)</f>
        <v>63</v>
      </c>
      <c r="H457" s="152" t="s">
        <v>5296</v>
      </c>
      <c r="I457" s="376">
        <v>42992</v>
      </c>
      <c r="J457" s="187" t="s">
        <v>5113</v>
      </c>
    </row>
    <row r="458" spans="1:10" ht="15" customHeight="1" x14ac:dyDescent="0.45">
      <c r="A458" s="172">
        <v>475</v>
      </c>
      <c r="B458" s="130" t="s">
        <v>5496</v>
      </c>
      <c r="C458" s="130" t="s">
        <v>643</v>
      </c>
      <c r="D458" s="130" t="s">
        <v>645</v>
      </c>
      <c r="E458" s="130" t="s">
        <v>160</v>
      </c>
      <c r="F458" s="167">
        <v>42929</v>
      </c>
      <c r="G458" s="119">
        <f ca="1">IF(ISBLANK(I458),TODAY()-F458,I458-F458)</f>
        <v>29</v>
      </c>
      <c r="H458" s="126" t="s">
        <v>65</v>
      </c>
      <c r="I458" s="121">
        <v>42958</v>
      </c>
      <c r="J458" s="171" t="s">
        <v>5160</v>
      </c>
    </row>
    <row r="459" spans="1:10" ht="15" customHeight="1" x14ac:dyDescent="0.45">
      <c r="A459" s="172">
        <v>476</v>
      </c>
      <c r="B459" s="130" t="s">
        <v>5496</v>
      </c>
      <c r="C459" s="130" t="s">
        <v>648</v>
      </c>
      <c r="D459" s="130" t="s">
        <v>650</v>
      </c>
      <c r="E459" s="130" t="s">
        <v>160</v>
      </c>
      <c r="F459" s="167">
        <v>42929</v>
      </c>
      <c r="G459" s="119">
        <f ca="1">IF(ISBLANK(I459),TODAY()-F459,I459-F459)</f>
        <v>29</v>
      </c>
      <c r="H459" s="126" t="s">
        <v>65</v>
      </c>
      <c r="I459" s="121">
        <v>42958</v>
      </c>
      <c r="J459" s="171" t="s">
        <v>5160</v>
      </c>
    </row>
    <row r="460" spans="1:10" ht="15" customHeight="1" x14ac:dyDescent="0.45">
      <c r="A460" s="172">
        <v>477</v>
      </c>
      <c r="B460" s="130" t="s">
        <v>5496</v>
      </c>
      <c r="C460" s="130" t="s">
        <v>653</v>
      </c>
      <c r="D460" s="130" t="s">
        <v>655</v>
      </c>
      <c r="E460" s="130" t="s">
        <v>160</v>
      </c>
      <c r="F460" s="167">
        <v>42929</v>
      </c>
      <c r="G460" s="119">
        <f ca="1">IF(ISBLANK(I460),TODAY()-F460,I460-F460)</f>
        <v>29</v>
      </c>
      <c r="H460" s="126" t="s">
        <v>65</v>
      </c>
      <c r="I460" s="121">
        <v>42958</v>
      </c>
      <c r="J460" s="156" t="s">
        <v>5160</v>
      </c>
    </row>
    <row r="461" spans="1:10" ht="15" customHeight="1" x14ac:dyDescent="0.45">
      <c r="A461" s="172">
        <v>478</v>
      </c>
      <c r="B461" s="130" t="s">
        <v>5496</v>
      </c>
      <c r="C461" s="130" t="s">
        <v>673</v>
      </c>
      <c r="D461" s="130" t="s">
        <v>675</v>
      </c>
      <c r="E461" s="130" t="s">
        <v>160</v>
      </c>
      <c r="F461" s="167">
        <v>42929</v>
      </c>
      <c r="G461" s="119">
        <f ca="1">IF(ISBLANK(I461),TODAY()-F461,I461-F461)</f>
        <v>33</v>
      </c>
      <c r="H461" s="152" t="s">
        <v>5296</v>
      </c>
      <c r="I461" s="184">
        <v>42962</v>
      </c>
      <c r="J461" s="154" t="s">
        <v>5113</v>
      </c>
    </row>
    <row r="462" spans="1:10" ht="15" customHeight="1" x14ac:dyDescent="0.45">
      <c r="A462" s="172">
        <v>429</v>
      </c>
      <c r="B462" s="115" t="s">
        <v>5461</v>
      </c>
      <c r="C462" s="116" t="s">
        <v>273</v>
      </c>
      <c r="D462" s="116" t="s">
        <v>275</v>
      </c>
      <c r="E462" s="115">
        <v>0</v>
      </c>
      <c r="F462" s="178">
        <v>42933</v>
      </c>
      <c r="G462" s="119">
        <f ca="1">IF(ISBLANK(I462),TODAY()-F462,I462-F462)</f>
        <v>2</v>
      </c>
      <c r="H462" s="126" t="s">
        <v>5344</v>
      </c>
      <c r="I462" s="127">
        <v>42935</v>
      </c>
      <c r="J462" s="122" t="s">
        <v>5160</v>
      </c>
    </row>
    <row r="463" spans="1:10" ht="15" customHeight="1" x14ac:dyDescent="0.45">
      <c r="A463" s="172">
        <v>430</v>
      </c>
      <c r="B463" s="115" t="s">
        <v>5461</v>
      </c>
      <c r="C463" s="116" t="s">
        <v>277</v>
      </c>
      <c r="D463" s="116" t="s">
        <v>279</v>
      </c>
      <c r="E463" s="115">
        <v>0</v>
      </c>
      <c r="F463" s="178">
        <v>42933</v>
      </c>
      <c r="G463" s="119">
        <f ca="1">IF(ISBLANK(I463),TODAY()-F463,I463-F463)</f>
        <v>2</v>
      </c>
      <c r="H463" s="126" t="s">
        <v>5344</v>
      </c>
      <c r="I463" s="127">
        <v>42935</v>
      </c>
      <c r="J463" s="122" t="s">
        <v>5160</v>
      </c>
    </row>
    <row r="464" spans="1:10" ht="15" customHeight="1" x14ac:dyDescent="0.45">
      <c r="A464" s="172">
        <v>431</v>
      </c>
      <c r="B464" s="115" t="s">
        <v>5461</v>
      </c>
      <c r="C464" s="116" t="s">
        <v>309</v>
      </c>
      <c r="D464" s="116" t="s">
        <v>311</v>
      </c>
      <c r="E464" s="115">
        <v>0</v>
      </c>
      <c r="F464" s="178">
        <v>42933</v>
      </c>
      <c r="G464" s="119">
        <f ca="1">IF(ISBLANK(I464),TODAY()-F464,I464-F464)</f>
        <v>2</v>
      </c>
      <c r="H464" s="126" t="s">
        <v>5344</v>
      </c>
      <c r="I464" s="127">
        <v>42935</v>
      </c>
      <c r="J464" s="122" t="s">
        <v>5160</v>
      </c>
    </row>
    <row r="465" spans="1:10" ht="15" customHeight="1" x14ac:dyDescent="0.45">
      <c r="A465" s="172">
        <v>432</v>
      </c>
      <c r="B465" s="115" t="s">
        <v>5461</v>
      </c>
      <c r="C465" s="116" t="s">
        <v>312</v>
      </c>
      <c r="D465" s="116" t="s">
        <v>314</v>
      </c>
      <c r="E465" s="115">
        <v>0</v>
      </c>
      <c r="F465" s="178">
        <v>42933</v>
      </c>
      <c r="G465" s="119">
        <f ca="1">IF(ISBLANK(I465),TODAY()-F465,I465-F465)</f>
        <v>2</v>
      </c>
      <c r="H465" s="126" t="s">
        <v>5344</v>
      </c>
      <c r="I465" s="127">
        <v>42935</v>
      </c>
      <c r="J465" s="122" t="s">
        <v>5160</v>
      </c>
    </row>
    <row r="466" spans="1:10" ht="15" customHeight="1" x14ac:dyDescent="0.45">
      <c r="A466" s="172">
        <v>439</v>
      </c>
      <c r="B466" s="115" t="s">
        <v>5469</v>
      </c>
      <c r="C466" s="115" t="s">
        <v>5470</v>
      </c>
      <c r="D466" s="115" t="s">
        <v>5471</v>
      </c>
      <c r="E466" s="115">
        <v>0</v>
      </c>
      <c r="F466" s="178">
        <v>42933</v>
      </c>
      <c r="G466" s="119">
        <f ca="1">IF(ISBLANK(I466),TODAY()-F466,I466-F466)</f>
        <v>0</v>
      </c>
      <c r="H466" s="126" t="s">
        <v>5344</v>
      </c>
      <c r="I466" s="125">
        <v>42933</v>
      </c>
      <c r="J466" s="156" t="s">
        <v>5113</v>
      </c>
    </row>
    <row r="467" spans="1:10" ht="15" customHeight="1" x14ac:dyDescent="0.45">
      <c r="A467" s="172">
        <v>440</v>
      </c>
      <c r="B467" s="115" t="s">
        <v>5469</v>
      </c>
      <c r="C467" s="115" t="s">
        <v>5472</v>
      </c>
      <c r="D467" s="115" t="s">
        <v>5473</v>
      </c>
      <c r="E467" s="115">
        <v>0</v>
      </c>
      <c r="F467" s="178">
        <v>42933</v>
      </c>
      <c r="G467" s="119">
        <f ca="1">IF(ISBLANK(I467),TODAY()-F467,I467-F467)</f>
        <v>0</v>
      </c>
      <c r="H467" s="126" t="s">
        <v>5344</v>
      </c>
      <c r="I467" s="125">
        <v>42933</v>
      </c>
      <c r="J467" s="156" t="s">
        <v>5113</v>
      </c>
    </row>
    <row r="468" spans="1:10" ht="15" customHeight="1" x14ac:dyDescent="0.45">
      <c r="A468" s="172">
        <v>441</v>
      </c>
      <c r="B468" s="169" t="s">
        <v>5469</v>
      </c>
      <c r="C468" s="169" t="s">
        <v>5474</v>
      </c>
      <c r="D468" s="169" t="s">
        <v>5475</v>
      </c>
      <c r="E468" s="169">
        <v>0</v>
      </c>
      <c r="F468" s="178">
        <v>42933</v>
      </c>
      <c r="G468" s="119">
        <f ca="1">IF(ISBLANK(I468),TODAY()-F468,I468-F468)</f>
        <v>0</v>
      </c>
      <c r="H468" s="126" t="s">
        <v>5344</v>
      </c>
      <c r="I468" s="125">
        <v>42933</v>
      </c>
      <c r="J468" s="156" t="s">
        <v>5113</v>
      </c>
    </row>
    <row r="469" spans="1:10" ht="15" customHeight="1" x14ac:dyDescent="0.45">
      <c r="A469" s="172">
        <v>442</v>
      </c>
      <c r="B469" s="115" t="s">
        <v>5469</v>
      </c>
      <c r="C469" s="115" t="s">
        <v>5476</v>
      </c>
      <c r="D469" s="115" t="s">
        <v>5477</v>
      </c>
      <c r="E469" s="115">
        <v>0</v>
      </c>
      <c r="F469" s="131">
        <v>42933</v>
      </c>
      <c r="G469" s="119">
        <f ca="1">IF(ISBLANK(I469),TODAY()-F469,I469-F469)</f>
        <v>0</v>
      </c>
      <c r="H469" s="126" t="s">
        <v>5344</v>
      </c>
      <c r="I469" s="125">
        <v>42933</v>
      </c>
      <c r="J469" s="171" t="s">
        <v>5113</v>
      </c>
    </row>
    <row r="470" spans="1:10" ht="15" customHeight="1" x14ac:dyDescent="0.45">
      <c r="A470" s="172">
        <v>443</v>
      </c>
      <c r="B470" s="115" t="s">
        <v>5469</v>
      </c>
      <c r="C470" s="115" t="s">
        <v>5478</v>
      </c>
      <c r="D470" s="115" t="s">
        <v>5479</v>
      </c>
      <c r="E470" s="115">
        <v>0</v>
      </c>
      <c r="F470" s="131">
        <v>42933</v>
      </c>
      <c r="G470" s="119">
        <f ca="1">IF(ISBLANK(I470),TODAY()-F470,I470-F470)</f>
        <v>0</v>
      </c>
      <c r="H470" s="126" t="s">
        <v>5344</v>
      </c>
      <c r="I470" s="125">
        <v>42933</v>
      </c>
      <c r="J470" s="171" t="s">
        <v>5113</v>
      </c>
    </row>
    <row r="471" spans="1:10" ht="15" customHeight="1" x14ac:dyDescent="0.35">
      <c r="A471" s="172">
        <v>447</v>
      </c>
      <c r="B471" s="115" t="s">
        <v>5485</v>
      </c>
      <c r="C471" s="116" t="s">
        <v>319</v>
      </c>
      <c r="D471" s="128" t="s">
        <v>321</v>
      </c>
      <c r="E471" s="130">
        <v>0</v>
      </c>
      <c r="F471" s="178">
        <v>42933</v>
      </c>
      <c r="G471" s="119">
        <f ca="1">IF(ISBLANK(I471),TODAY()-F471,I471-F471)</f>
        <v>0</v>
      </c>
      <c r="H471" s="126" t="s">
        <v>5344</v>
      </c>
      <c r="I471" s="125">
        <v>42933</v>
      </c>
      <c r="J471" s="171" t="s">
        <v>5113</v>
      </c>
    </row>
    <row r="472" spans="1:10" ht="15" customHeight="1" x14ac:dyDescent="0.45">
      <c r="A472" s="172">
        <v>448</v>
      </c>
      <c r="B472" s="160" t="s">
        <v>5486</v>
      </c>
      <c r="C472" s="159" t="s">
        <v>258</v>
      </c>
      <c r="D472" s="159" t="s">
        <v>260</v>
      </c>
      <c r="E472" s="160">
        <v>0</v>
      </c>
      <c r="F472" s="178">
        <v>42933</v>
      </c>
      <c r="G472" s="119">
        <f ca="1">IF(ISBLANK(I472),TODAY()-F472,I472-F472)</f>
        <v>0</v>
      </c>
      <c r="H472" s="126" t="s">
        <v>5227</v>
      </c>
      <c r="I472" s="125">
        <v>42933</v>
      </c>
      <c r="J472" s="156" t="s">
        <v>5113</v>
      </c>
    </row>
    <row r="473" spans="1:10" ht="15" customHeight="1" x14ac:dyDescent="0.45">
      <c r="A473" s="172">
        <v>449</v>
      </c>
      <c r="B473" s="160" t="s">
        <v>5486</v>
      </c>
      <c r="C473" s="159" t="s">
        <v>263</v>
      </c>
      <c r="D473" s="159" t="s">
        <v>265</v>
      </c>
      <c r="E473" s="160">
        <v>0</v>
      </c>
      <c r="F473" s="178">
        <v>42933</v>
      </c>
      <c r="G473" s="119">
        <f ca="1">IF(ISBLANK(I473),TODAY()-F473,I473-F473)</f>
        <v>0</v>
      </c>
      <c r="H473" s="126" t="s">
        <v>5227</v>
      </c>
      <c r="I473" s="125">
        <v>42933</v>
      </c>
      <c r="J473" s="156" t="s">
        <v>5113</v>
      </c>
    </row>
    <row r="474" spans="1:10" ht="15" customHeight="1" x14ac:dyDescent="0.45">
      <c r="A474" s="172">
        <v>466</v>
      </c>
      <c r="B474" s="130" t="s">
        <v>1796</v>
      </c>
      <c r="C474" s="135" t="s">
        <v>1793</v>
      </c>
      <c r="D474" s="135" t="s">
        <v>1795</v>
      </c>
      <c r="E474" s="130">
        <v>0</v>
      </c>
      <c r="F474" s="131">
        <v>42933</v>
      </c>
      <c r="G474" s="119">
        <f ca="1">IF(ISBLANK(I474),TODAY()-F474,I474-F474)</f>
        <v>63</v>
      </c>
      <c r="H474" s="126" t="s">
        <v>5493</v>
      </c>
      <c r="I474" s="356">
        <v>42996</v>
      </c>
      <c r="J474" s="122" t="s">
        <v>5160</v>
      </c>
    </row>
    <row r="475" spans="1:10" ht="15" customHeight="1" x14ac:dyDescent="0.45">
      <c r="A475" s="172">
        <v>467</v>
      </c>
      <c r="B475" s="130" t="s">
        <v>1796</v>
      </c>
      <c r="C475" s="135" t="s">
        <v>1874</v>
      </c>
      <c r="D475" s="135" t="s">
        <v>1876</v>
      </c>
      <c r="E475" s="130">
        <v>0</v>
      </c>
      <c r="F475" s="131">
        <v>42933</v>
      </c>
      <c r="G475" s="119">
        <f ca="1">IF(ISBLANK(I475),TODAY()-F475,I475-F475)</f>
        <v>63</v>
      </c>
      <c r="H475" s="126" t="s">
        <v>64</v>
      </c>
      <c r="I475" s="356">
        <v>42996</v>
      </c>
      <c r="J475" s="122" t="s">
        <v>5160</v>
      </c>
    </row>
    <row r="476" spans="1:10" ht="15" customHeight="1" x14ac:dyDescent="0.45">
      <c r="A476" s="172">
        <v>471</v>
      </c>
      <c r="B476" s="130" t="s">
        <v>1376</v>
      </c>
      <c r="C476" s="130" t="s">
        <v>1373</v>
      </c>
      <c r="D476" s="130" t="s">
        <v>1375</v>
      </c>
      <c r="E476" s="130">
        <v>0</v>
      </c>
      <c r="F476" s="131">
        <v>42933</v>
      </c>
      <c r="G476" s="119">
        <f ca="1">IF(ISBLANK(I476),TODAY()-F476,I476-F476)</f>
        <v>0</v>
      </c>
      <c r="H476" s="126" t="s">
        <v>5227</v>
      </c>
      <c r="I476" s="164">
        <v>42933</v>
      </c>
      <c r="J476" s="156" t="s">
        <v>5113</v>
      </c>
    </row>
    <row r="477" spans="1:10" ht="15" customHeight="1" x14ac:dyDescent="0.45">
      <c r="A477" s="172">
        <v>472</v>
      </c>
      <c r="B477" s="182" t="s">
        <v>1376</v>
      </c>
      <c r="C477" s="182" t="s">
        <v>1414</v>
      </c>
      <c r="D477" s="182" t="s">
        <v>1416</v>
      </c>
      <c r="E477" s="182">
        <v>0</v>
      </c>
      <c r="F477" s="178">
        <v>42933</v>
      </c>
      <c r="G477" s="119">
        <f ca="1">IF(ISBLANK(I477),TODAY()-F477,I477-F477)</f>
        <v>0</v>
      </c>
      <c r="H477" s="126" t="s">
        <v>5227</v>
      </c>
      <c r="I477" s="377">
        <v>42933</v>
      </c>
      <c r="J477" s="171" t="s">
        <v>5113</v>
      </c>
    </row>
    <row r="478" spans="1:10" ht="15" customHeight="1" x14ac:dyDescent="0.45">
      <c r="A478" s="172">
        <v>473</v>
      </c>
      <c r="B478" s="130" t="s">
        <v>1376</v>
      </c>
      <c r="C478" s="130" t="s">
        <v>1417</v>
      </c>
      <c r="D478" s="130" t="s">
        <v>1419</v>
      </c>
      <c r="E478" s="130">
        <v>0</v>
      </c>
      <c r="F478" s="178">
        <v>42933</v>
      </c>
      <c r="G478" s="119">
        <f ca="1">IF(ISBLANK(I478),TODAY()-F478,I478-F478)</f>
        <v>0</v>
      </c>
      <c r="H478" s="126" t="s">
        <v>5227</v>
      </c>
      <c r="I478" s="125">
        <v>42933</v>
      </c>
      <c r="J478" s="156" t="s">
        <v>5113</v>
      </c>
    </row>
    <row r="479" spans="1:10" ht="15" customHeight="1" x14ac:dyDescent="0.45">
      <c r="A479" s="172">
        <v>479</v>
      </c>
      <c r="B479" s="130" t="s">
        <v>5497</v>
      </c>
      <c r="C479" s="130" t="s">
        <v>197</v>
      </c>
      <c r="D479" s="130" t="s">
        <v>199</v>
      </c>
      <c r="E479" s="130">
        <v>0</v>
      </c>
      <c r="F479" s="178">
        <v>42933</v>
      </c>
      <c r="G479" s="119">
        <f ca="1">IF(ISBLANK(I479),TODAY()-F479,I479-F479)</f>
        <v>0</v>
      </c>
      <c r="H479" s="126" t="s">
        <v>5498</v>
      </c>
      <c r="I479" s="180">
        <v>42933</v>
      </c>
      <c r="J479" s="122" t="s">
        <v>5113</v>
      </c>
    </row>
    <row r="480" spans="1:10" ht="15" customHeight="1" x14ac:dyDescent="0.45">
      <c r="A480" s="172">
        <v>480</v>
      </c>
      <c r="B480" s="130" t="s">
        <v>5497</v>
      </c>
      <c r="C480" s="130" t="s">
        <v>200</v>
      </c>
      <c r="D480" s="130" t="s">
        <v>202</v>
      </c>
      <c r="E480" s="130">
        <v>0</v>
      </c>
      <c r="F480" s="178">
        <v>42933</v>
      </c>
      <c r="G480" s="119">
        <f ca="1">IF(ISBLANK(I480),TODAY()-F480,I480-F480)</f>
        <v>0</v>
      </c>
      <c r="H480" s="126" t="s">
        <v>5498</v>
      </c>
      <c r="I480" s="127">
        <v>42933</v>
      </c>
      <c r="J480" s="122" t="s">
        <v>5113</v>
      </c>
    </row>
    <row r="481" spans="1:10" ht="15" customHeight="1" x14ac:dyDescent="0.45">
      <c r="A481" s="172">
        <v>481</v>
      </c>
      <c r="B481" s="182" t="s">
        <v>5497</v>
      </c>
      <c r="C481" s="182" t="s">
        <v>203</v>
      </c>
      <c r="D481" s="182" t="s">
        <v>205</v>
      </c>
      <c r="E481" s="182">
        <v>0</v>
      </c>
      <c r="F481" s="178">
        <v>42933</v>
      </c>
      <c r="G481" s="119">
        <f ca="1">IF(ISBLANK(I481),TODAY()-F481,I481-F481)</f>
        <v>0</v>
      </c>
      <c r="H481" s="179" t="s">
        <v>5498</v>
      </c>
      <c r="I481" s="127">
        <v>42933</v>
      </c>
      <c r="J481" s="122" t="s">
        <v>5113</v>
      </c>
    </row>
    <row r="482" spans="1:10" ht="15" customHeight="1" x14ac:dyDescent="0.45">
      <c r="A482" s="172">
        <v>482</v>
      </c>
      <c r="B482" s="182" t="s">
        <v>5497</v>
      </c>
      <c r="C482" s="182" t="s">
        <v>226</v>
      </c>
      <c r="D482" s="182" t="s">
        <v>228</v>
      </c>
      <c r="E482" s="182">
        <v>0</v>
      </c>
      <c r="F482" s="178">
        <v>42933</v>
      </c>
      <c r="G482" s="119">
        <f ca="1">IF(ISBLANK(I482),TODAY()-F482,I482-F482)</f>
        <v>0</v>
      </c>
      <c r="H482" s="126" t="s">
        <v>5498</v>
      </c>
      <c r="I482" s="180">
        <v>42933</v>
      </c>
      <c r="J482" s="183" t="s">
        <v>5113</v>
      </c>
    </row>
    <row r="483" spans="1:10" ht="15" customHeight="1" x14ac:dyDescent="0.45">
      <c r="A483" s="114">
        <v>485</v>
      </c>
      <c r="B483" s="182" t="s">
        <v>5500</v>
      </c>
      <c r="C483" s="182" t="s">
        <v>5501</v>
      </c>
      <c r="D483" s="182" t="s">
        <v>1534</v>
      </c>
      <c r="E483" s="182" t="s">
        <v>65</v>
      </c>
      <c r="F483" s="178">
        <v>42933</v>
      </c>
      <c r="G483" s="119">
        <f ca="1">IF(ISBLANK(I483),TODAY()-F483,I483-F483)</f>
        <v>56</v>
      </c>
      <c r="H483" s="126" t="s">
        <v>164</v>
      </c>
      <c r="I483" s="180">
        <v>42989</v>
      </c>
      <c r="J483" s="183" t="s">
        <v>5160</v>
      </c>
    </row>
    <row r="484" spans="1:10" ht="15" customHeight="1" x14ac:dyDescent="0.45">
      <c r="A484" s="172">
        <v>433</v>
      </c>
      <c r="B484" s="169" t="s">
        <v>5462</v>
      </c>
      <c r="C484" s="169" t="s">
        <v>5463</v>
      </c>
      <c r="D484" s="169" t="s">
        <v>5464</v>
      </c>
      <c r="E484" s="169" t="s">
        <v>5062</v>
      </c>
      <c r="F484" s="178">
        <v>42934</v>
      </c>
      <c r="G484" s="119">
        <f ca="1">IF(ISBLANK(I484),TODAY()-F484,I484-F484)</f>
        <v>37</v>
      </c>
      <c r="H484" s="126" t="s">
        <v>65</v>
      </c>
      <c r="I484" s="180">
        <v>42971</v>
      </c>
      <c r="J484" s="191" t="s">
        <v>5160</v>
      </c>
    </row>
    <row r="485" spans="1:10" ht="15" customHeight="1" x14ac:dyDescent="0.45">
      <c r="A485" s="172">
        <v>434</v>
      </c>
      <c r="B485" s="169" t="s">
        <v>5462</v>
      </c>
      <c r="C485" s="169" t="s">
        <v>5232</v>
      </c>
      <c r="D485" s="169" t="s">
        <v>5233</v>
      </c>
      <c r="E485" s="169" t="s">
        <v>5062</v>
      </c>
      <c r="F485" s="178">
        <v>42934</v>
      </c>
      <c r="G485" s="119">
        <f ca="1">IF(ISBLANK(I485),TODAY()-F485,I485-F485)</f>
        <v>37</v>
      </c>
      <c r="H485" s="126" t="s">
        <v>65</v>
      </c>
      <c r="I485" s="180">
        <v>42971</v>
      </c>
      <c r="J485" s="191" t="s">
        <v>5160</v>
      </c>
    </row>
    <row r="486" spans="1:10" ht="15" customHeight="1" x14ac:dyDescent="0.45">
      <c r="A486" s="177">
        <v>435</v>
      </c>
      <c r="B486" s="169" t="s">
        <v>5462</v>
      </c>
      <c r="C486" s="168" t="s">
        <v>5234</v>
      </c>
      <c r="D486" s="182" t="s">
        <v>5235</v>
      </c>
      <c r="E486" s="169" t="s">
        <v>5062</v>
      </c>
      <c r="F486" s="131">
        <v>42934</v>
      </c>
      <c r="G486" s="119">
        <f ca="1">IF(ISBLANK(I486),TODAY()-F486,I486-F486)</f>
        <v>37</v>
      </c>
      <c r="H486" s="179" t="s">
        <v>65</v>
      </c>
      <c r="I486" s="127">
        <v>42971</v>
      </c>
      <c r="J486" s="385" t="s">
        <v>5160</v>
      </c>
    </row>
    <row r="487" spans="1:10" ht="15" customHeight="1" x14ac:dyDescent="0.45">
      <c r="A487" s="200">
        <v>483</v>
      </c>
      <c r="B487" s="182" t="s">
        <v>5499</v>
      </c>
      <c r="C487" s="182" t="s">
        <v>1746</v>
      </c>
      <c r="D487" s="182" t="s">
        <v>1748</v>
      </c>
      <c r="E487" s="182" t="s">
        <v>160</v>
      </c>
      <c r="F487" s="131">
        <v>42934</v>
      </c>
      <c r="G487" s="119">
        <f ca="1">IF(ISBLANK(I487),TODAY()-F487,I487-F487)</f>
        <v>12</v>
      </c>
      <c r="H487" s="126" t="s">
        <v>5002</v>
      </c>
      <c r="I487" s="127">
        <v>42946</v>
      </c>
      <c r="J487" s="156" t="s">
        <v>5113</v>
      </c>
    </row>
    <row r="488" spans="1:10" ht="15" customHeight="1" x14ac:dyDescent="0.45">
      <c r="A488" s="200">
        <v>484</v>
      </c>
      <c r="B488" s="182" t="s">
        <v>5499</v>
      </c>
      <c r="C488" s="182" t="s">
        <v>1611</v>
      </c>
      <c r="D488" s="182" t="s">
        <v>1613</v>
      </c>
      <c r="E488" s="182" t="s">
        <v>160</v>
      </c>
      <c r="F488" s="178">
        <v>42934</v>
      </c>
      <c r="G488" s="119">
        <f ca="1">IF(ISBLANK(I488),TODAY()-F488,I488-F488)</f>
        <v>6</v>
      </c>
      <c r="H488" s="179" t="s">
        <v>5004</v>
      </c>
      <c r="I488" s="127">
        <v>42940</v>
      </c>
      <c r="J488" s="171" t="s">
        <v>5113</v>
      </c>
    </row>
    <row r="489" spans="1:10" ht="15" customHeight="1" x14ac:dyDescent="0.45">
      <c r="A489" s="114">
        <v>491</v>
      </c>
      <c r="B489" s="130" t="s">
        <v>5509</v>
      </c>
      <c r="C489" s="130" t="s">
        <v>206</v>
      </c>
      <c r="D489" s="130" t="s">
        <v>208</v>
      </c>
      <c r="E489" s="130">
        <v>0</v>
      </c>
      <c r="F489" s="131">
        <v>42934</v>
      </c>
      <c r="G489" s="119">
        <f ca="1">IF(ISBLANK(I489),TODAY()-F489,I489-F489)</f>
        <v>1</v>
      </c>
      <c r="H489" s="126" t="s">
        <v>5498</v>
      </c>
      <c r="I489" s="127">
        <v>42935</v>
      </c>
      <c r="J489" s="122" t="s">
        <v>5113</v>
      </c>
    </row>
    <row r="490" spans="1:10" ht="15" customHeight="1" x14ac:dyDescent="0.45">
      <c r="A490" s="114">
        <v>492</v>
      </c>
      <c r="B490" s="130" t="s">
        <v>5509</v>
      </c>
      <c r="C490" s="130" t="s">
        <v>212</v>
      </c>
      <c r="D490" s="130" t="s">
        <v>214</v>
      </c>
      <c r="E490" s="130">
        <v>0</v>
      </c>
      <c r="F490" s="131">
        <v>42934</v>
      </c>
      <c r="G490" s="119">
        <f ca="1">IF(ISBLANK(I490),TODAY()-F490,I490-F490)</f>
        <v>1</v>
      </c>
      <c r="H490" s="126" t="s">
        <v>5498</v>
      </c>
      <c r="I490" s="127">
        <v>42935</v>
      </c>
      <c r="J490" s="122" t="s">
        <v>5113</v>
      </c>
    </row>
    <row r="491" spans="1:10" ht="15" customHeight="1" x14ac:dyDescent="0.45">
      <c r="A491" s="114">
        <v>493</v>
      </c>
      <c r="B491" s="115" t="s">
        <v>5510</v>
      </c>
      <c r="C491" s="116" t="s">
        <v>284</v>
      </c>
      <c r="D491" s="116" t="s">
        <v>5115</v>
      </c>
      <c r="E491" s="130">
        <v>0</v>
      </c>
      <c r="F491" s="131">
        <v>42934</v>
      </c>
      <c r="G491" s="119">
        <f ca="1">IF(ISBLANK(I491),TODAY()-F491,I491-F491)</f>
        <v>1</v>
      </c>
      <c r="H491" s="126" t="s">
        <v>5344</v>
      </c>
      <c r="I491" s="127">
        <v>42935</v>
      </c>
      <c r="J491" s="122" t="s">
        <v>5160</v>
      </c>
    </row>
    <row r="492" spans="1:10" ht="15" customHeight="1" x14ac:dyDescent="0.45">
      <c r="A492" s="114">
        <v>497</v>
      </c>
      <c r="B492" s="115" t="s">
        <v>5512</v>
      </c>
      <c r="C492" s="115" t="s">
        <v>5174</v>
      </c>
      <c r="D492" s="115" t="s">
        <v>5175</v>
      </c>
      <c r="E492" s="115">
        <v>0</v>
      </c>
      <c r="F492" s="131">
        <v>42934</v>
      </c>
      <c r="G492" s="119">
        <f ca="1">IF(ISBLANK(I492),TODAY()-F492,I492-F492)</f>
        <v>1</v>
      </c>
      <c r="H492" s="126" t="s">
        <v>5344</v>
      </c>
      <c r="I492" s="127">
        <v>42935</v>
      </c>
      <c r="J492" s="122" t="s">
        <v>5160</v>
      </c>
    </row>
    <row r="493" spans="1:10" ht="15" customHeight="1" x14ac:dyDescent="0.45">
      <c r="A493" s="114">
        <v>498</v>
      </c>
      <c r="B493" s="115" t="s">
        <v>5512</v>
      </c>
      <c r="C493" s="115" t="s">
        <v>5176</v>
      </c>
      <c r="D493" s="115" t="s">
        <v>5177</v>
      </c>
      <c r="E493" s="115">
        <v>0</v>
      </c>
      <c r="F493" s="131">
        <v>42934</v>
      </c>
      <c r="G493" s="119">
        <f ca="1">IF(ISBLANK(I493),TODAY()-F493,I493-F493)</f>
        <v>1</v>
      </c>
      <c r="H493" s="126" t="s">
        <v>5344</v>
      </c>
      <c r="I493" s="127">
        <v>42935</v>
      </c>
      <c r="J493" s="122" t="s">
        <v>5160</v>
      </c>
    </row>
    <row r="494" spans="1:10" ht="15" customHeight="1" x14ac:dyDescent="0.45">
      <c r="A494" s="114">
        <v>486</v>
      </c>
      <c r="B494" s="130" t="s">
        <v>5502</v>
      </c>
      <c r="C494" s="130" t="s">
        <v>5503</v>
      </c>
      <c r="D494" s="130" t="s">
        <v>1118</v>
      </c>
      <c r="E494" s="130" t="s">
        <v>65</v>
      </c>
      <c r="F494" s="131">
        <v>42935</v>
      </c>
      <c r="G494" s="119">
        <f ca="1">IF(ISBLANK(I494),TODAY()-F494,I494-F494)</f>
        <v>11</v>
      </c>
      <c r="H494" s="126" t="s">
        <v>5004</v>
      </c>
      <c r="I494" s="127">
        <v>42946</v>
      </c>
      <c r="J494" s="171" t="s">
        <v>5113</v>
      </c>
    </row>
    <row r="495" spans="1:10" ht="15" customHeight="1" x14ac:dyDescent="0.45">
      <c r="A495" s="114">
        <v>487</v>
      </c>
      <c r="B495" s="130" t="s">
        <v>5502</v>
      </c>
      <c r="C495" s="130" t="s">
        <v>5504</v>
      </c>
      <c r="D495" s="130" t="s">
        <v>1126</v>
      </c>
      <c r="E495" s="130" t="s">
        <v>65</v>
      </c>
      <c r="F495" s="131">
        <v>42935</v>
      </c>
      <c r="G495" s="119">
        <f ca="1">IF(ISBLANK(I495),TODAY()-F495,I495-F495)</f>
        <v>11</v>
      </c>
      <c r="H495" s="126" t="s">
        <v>5004</v>
      </c>
      <c r="I495" s="127">
        <v>42946</v>
      </c>
      <c r="J495" s="171" t="s">
        <v>5113</v>
      </c>
    </row>
    <row r="496" spans="1:10" ht="15" customHeight="1" x14ac:dyDescent="0.45">
      <c r="A496" s="114">
        <v>488</v>
      </c>
      <c r="B496" s="130" t="s">
        <v>5502</v>
      </c>
      <c r="C496" s="130" t="s">
        <v>5505</v>
      </c>
      <c r="D496" s="130" t="s">
        <v>1129</v>
      </c>
      <c r="E496" s="130" t="s">
        <v>65</v>
      </c>
      <c r="F496" s="131">
        <v>42935</v>
      </c>
      <c r="G496" s="119">
        <f ca="1">IF(ISBLANK(I496),TODAY()-F496,I496-F496)</f>
        <v>11</v>
      </c>
      <c r="H496" s="126" t="s">
        <v>5004</v>
      </c>
      <c r="I496" s="127">
        <v>42946</v>
      </c>
      <c r="J496" s="171" t="s">
        <v>5113</v>
      </c>
    </row>
    <row r="497" spans="1:11" ht="15" customHeight="1" x14ac:dyDescent="0.45">
      <c r="A497" s="114">
        <v>489</v>
      </c>
      <c r="B497" s="182" t="s">
        <v>5502</v>
      </c>
      <c r="C497" s="182" t="s">
        <v>5506</v>
      </c>
      <c r="D497" s="182" t="s">
        <v>1161</v>
      </c>
      <c r="E497" s="182" t="s">
        <v>65</v>
      </c>
      <c r="F497" s="131">
        <v>42935</v>
      </c>
      <c r="G497" s="119">
        <f ca="1">IF(ISBLANK(I497),TODAY()-F497,I497-F497)</f>
        <v>11</v>
      </c>
      <c r="H497" s="126" t="s">
        <v>5004</v>
      </c>
      <c r="I497" s="127">
        <v>42946</v>
      </c>
      <c r="J497" s="171" t="s">
        <v>5113</v>
      </c>
    </row>
    <row r="498" spans="1:11" ht="15" customHeight="1" x14ac:dyDescent="0.45">
      <c r="A498" s="114">
        <v>490</v>
      </c>
      <c r="B498" s="182" t="s">
        <v>5502</v>
      </c>
      <c r="C498" s="182" t="s">
        <v>5507</v>
      </c>
      <c r="D498" s="182" t="s">
        <v>5508</v>
      </c>
      <c r="E498" s="182" t="s">
        <v>65</v>
      </c>
      <c r="F498" s="131">
        <v>42935</v>
      </c>
      <c r="G498" s="119">
        <f ca="1">IF(ISBLANK(I498),TODAY()-F498,I498-F498)</f>
        <v>11</v>
      </c>
      <c r="H498" s="126" t="s">
        <v>5004</v>
      </c>
      <c r="I498" s="127">
        <v>42946</v>
      </c>
      <c r="J498" s="171" t="s">
        <v>5113</v>
      </c>
    </row>
    <row r="499" spans="1:11" ht="15" customHeight="1" x14ac:dyDescent="0.45">
      <c r="A499" s="114">
        <v>494</v>
      </c>
      <c r="B499" s="169" t="s">
        <v>5511</v>
      </c>
      <c r="C499" s="169" t="s">
        <v>5192</v>
      </c>
      <c r="D499" s="169" t="s">
        <v>5193</v>
      </c>
      <c r="E499" s="169">
        <v>0</v>
      </c>
      <c r="F499" s="131">
        <v>42935</v>
      </c>
      <c r="G499" s="119">
        <f ca="1">IF(ISBLANK(I499),TODAY()-F499,I499-F499)</f>
        <v>0</v>
      </c>
      <c r="H499" s="126" t="s">
        <v>5344</v>
      </c>
      <c r="I499" s="127">
        <v>42935</v>
      </c>
      <c r="J499" s="183" t="s">
        <v>5160</v>
      </c>
    </row>
    <row r="500" spans="1:11" ht="15" customHeight="1" x14ac:dyDescent="0.45">
      <c r="A500" s="114">
        <v>495</v>
      </c>
      <c r="B500" s="169" t="s">
        <v>5511</v>
      </c>
      <c r="C500" s="169" t="s">
        <v>5194</v>
      </c>
      <c r="D500" s="169" t="s">
        <v>5195</v>
      </c>
      <c r="E500" s="169">
        <v>0</v>
      </c>
      <c r="F500" s="131">
        <v>42935</v>
      </c>
      <c r="G500" s="119">
        <f ca="1">IF(ISBLANK(I500),TODAY()-F500,I500-F500)</f>
        <v>0</v>
      </c>
      <c r="H500" s="126" t="s">
        <v>5344</v>
      </c>
      <c r="I500" s="127">
        <v>42935</v>
      </c>
      <c r="J500" s="183" t="s">
        <v>5160</v>
      </c>
    </row>
    <row r="501" spans="1:11" ht="15" customHeight="1" x14ac:dyDescent="0.45">
      <c r="A501" s="114">
        <v>496</v>
      </c>
      <c r="B501" s="169" t="s">
        <v>5511</v>
      </c>
      <c r="C501" s="169" t="s">
        <v>5224</v>
      </c>
      <c r="D501" s="169" t="s">
        <v>5225</v>
      </c>
      <c r="E501" s="169">
        <v>0</v>
      </c>
      <c r="F501" s="131">
        <v>42935</v>
      </c>
      <c r="G501" s="119">
        <f ca="1">IF(ISBLANK(I501),TODAY()-F501,I501-F501)</f>
        <v>0</v>
      </c>
      <c r="H501" s="126" t="s">
        <v>5344</v>
      </c>
      <c r="I501" s="127">
        <v>42935</v>
      </c>
      <c r="J501" s="183" t="s">
        <v>5160</v>
      </c>
    </row>
    <row r="502" spans="1:11" ht="15" customHeight="1" x14ac:dyDescent="0.45">
      <c r="A502" s="200">
        <v>499</v>
      </c>
      <c r="B502" s="168" t="s">
        <v>5513</v>
      </c>
      <c r="C502" s="168" t="s">
        <v>232</v>
      </c>
      <c r="D502" s="168" t="s">
        <v>234</v>
      </c>
      <c r="E502" s="168" t="s">
        <v>5002</v>
      </c>
      <c r="F502" s="131">
        <v>42935</v>
      </c>
      <c r="G502" s="119">
        <f ca="1">IF(ISBLANK(I502),TODAY()-F502,I502-F502)</f>
        <v>54</v>
      </c>
      <c r="H502" s="126" t="s">
        <v>164</v>
      </c>
      <c r="I502" s="127">
        <v>42989</v>
      </c>
      <c r="J502" s="183" t="s">
        <v>5160</v>
      </c>
    </row>
    <row r="503" spans="1:11" ht="15" customHeight="1" x14ac:dyDescent="0.45">
      <c r="A503" s="172">
        <v>341</v>
      </c>
      <c r="B503" s="115" t="s">
        <v>5402</v>
      </c>
      <c r="C503" s="116" t="s">
        <v>5179</v>
      </c>
      <c r="D503" s="116" t="s">
        <v>5072</v>
      </c>
      <c r="E503" s="115">
        <v>1</v>
      </c>
      <c r="F503" s="131">
        <v>42936</v>
      </c>
      <c r="G503" s="119">
        <f ca="1">IF(ISBLANK(I503),TODAY()-F503,I503-F503)</f>
        <v>273</v>
      </c>
      <c r="H503" s="126" t="s">
        <v>5296</v>
      </c>
      <c r="I503" s="127">
        <v>43209</v>
      </c>
      <c r="J503" s="171" t="s">
        <v>5403</v>
      </c>
      <c r="K503" s="106" t="s">
        <v>5404</v>
      </c>
    </row>
    <row r="504" spans="1:11" ht="15" customHeight="1" x14ac:dyDescent="0.45">
      <c r="A504" s="114">
        <v>503</v>
      </c>
      <c r="B504" s="130" t="s">
        <v>5515</v>
      </c>
      <c r="C504" s="130" t="s">
        <v>1556</v>
      </c>
      <c r="D504" s="130" t="s">
        <v>1558</v>
      </c>
      <c r="E504" s="130" t="s">
        <v>5002</v>
      </c>
      <c r="F504" s="131">
        <v>42937</v>
      </c>
      <c r="G504" s="119">
        <f ca="1">IF(ISBLANK(I504),TODAY()-F504,I504-F504)</f>
        <v>55</v>
      </c>
      <c r="H504" s="152" t="s">
        <v>5296</v>
      </c>
      <c r="I504" s="153">
        <v>42992</v>
      </c>
      <c r="J504" s="194" t="s">
        <v>5160</v>
      </c>
    </row>
    <row r="505" spans="1:11" ht="15" customHeight="1" x14ac:dyDescent="0.45">
      <c r="A505" s="200">
        <v>504</v>
      </c>
      <c r="B505" s="182" t="s">
        <v>5516</v>
      </c>
      <c r="C505" s="182" t="s">
        <v>1536</v>
      </c>
      <c r="D505" s="182" t="s">
        <v>1538</v>
      </c>
      <c r="E505" s="182" t="s">
        <v>5002</v>
      </c>
      <c r="F505" s="131">
        <v>42937</v>
      </c>
      <c r="G505" s="119">
        <f ca="1">IF(ISBLANK(I505),TODAY()-F505,I505-F505)</f>
        <v>52</v>
      </c>
      <c r="H505" s="179" t="s">
        <v>65</v>
      </c>
      <c r="I505" s="127">
        <v>42989</v>
      </c>
      <c r="J505" s="156" t="s">
        <v>5113</v>
      </c>
    </row>
    <row r="506" spans="1:11" ht="15" customHeight="1" x14ac:dyDescent="0.45">
      <c r="A506" s="114">
        <v>505</v>
      </c>
      <c r="B506" s="118" t="s">
        <v>5517</v>
      </c>
      <c r="C506" s="116" t="s">
        <v>431</v>
      </c>
      <c r="D506" s="116" t="s">
        <v>433</v>
      </c>
      <c r="E506" s="115" t="s">
        <v>65</v>
      </c>
      <c r="F506" s="131">
        <v>42937</v>
      </c>
      <c r="G506" s="119">
        <f ca="1">IF(ISBLANK(I506),TODAY()-F506,I506-F506)</f>
        <v>84</v>
      </c>
      <c r="H506" s="152" t="s">
        <v>5296</v>
      </c>
      <c r="I506" s="161">
        <v>43021</v>
      </c>
      <c r="J506" s="194" t="s">
        <v>5113</v>
      </c>
    </row>
    <row r="507" spans="1:11" ht="15" customHeight="1" x14ac:dyDescent="0.45">
      <c r="A507" s="200">
        <v>506</v>
      </c>
      <c r="B507" s="167" t="s">
        <v>5517</v>
      </c>
      <c r="C507" s="168" t="s">
        <v>470</v>
      </c>
      <c r="D507" s="168" t="s">
        <v>472</v>
      </c>
      <c r="E507" s="169" t="s">
        <v>65</v>
      </c>
      <c r="F507" s="131">
        <v>42937</v>
      </c>
      <c r="G507" s="119">
        <f ca="1">IF(ISBLANK(I507),TODAY()-F507,I507-F507)</f>
        <v>84</v>
      </c>
      <c r="H507" s="189" t="s">
        <v>5296</v>
      </c>
      <c r="I507" s="193">
        <v>43021</v>
      </c>
      <c r="J507" s="154" t="s">
        <v>5113</v>
      </c>
    </row>
    <row r="508" spans="1:11" ht="15" customHeight="1" x14ac:dyDescent="0.45">
      <c r="A508" s="114">
        <v>510</v>
      </c>
      <c r="B508" s="118" t="s">
        <v>5519</v>
      </c>
      <c r="C508" s="116" t="s">
        <v>5064</v>
      </c>
      <c r="D508" s="116" t="s">
        <v>219</v>
      </c>
      <c r="E508" s="115" t="s">
        <v>164</v>
      </c>
      <c r="F508" s="131">
        <v>42937</v>
      </c>
      <c r="G508" s="119">
        <f ca="1">IF(ISBLANK(I508),TODAY()-F508,I508-F508)</f>
        <v>31</v>
      </c>
      <c r="H508" s="152" t="s">
        <v>5296</v>
      </c>
      <c r="I508" s="161">
        <v>42968</v>
      </c>
      <c r="J508" s="194" t="s">
        <v>5113</v>
      </c>
    </row>
    <row r="509" spans="1:11" ht="15" customHeight="1" x14ac:dyDescent="0.45">
      <c r="A509" s="114">
        <v>511</v>
      </c>
      <c r="B509" s="118" t="s">
        <v>5519</v>
      </c>
      <c r="C509" s="116" t="s">
        <v>5065</v>
      </c>
      <c r="D509" s="116" t="s">
        <v>224</v>
      </c>
      <c r="E509" s="115" t="s">
        <v>164</v>
      </c>
      <c r="F509" s="131">
        <v>42937</v>
      </c>
      <c r="G509" s="119">
        <f ca="1">IF(ISBLANK(I509),TODAY()-F509,I509-F509)</f>
        <v>33</v>
      </c>
      <c r="H509" s="152" t="s">
        <v>5296</v>
      </c>
      <c r="I509" s="161">
        <v>42970</v>
      </c>
      <c r="J509" s="194" t="s">
        <v>5051</v>
      </c>
    </row>
    <row r="510" spans="1:11" ht="15" customHeight="1" x14ac:dyDescent="0.45">
      <c r="A510" s="114">
        <v>512</v>
      </c>
      <c r="B510" s="118" t="s">
        <v>5520</v>
      </c>
      <c r="C510" s="116" t="s">
        <v>1865</v>
      </c>
      <c r="D510" s="116" t="s">
        <v>1867</v>
      </c>
      <c r="E510" s="115" t="s">
        <v>160</v>
      </c>
      <c r="F510" s="131">
        <v>42937</v>
      </c>
      <c r="G510" s="119">
        <f ca="1">IF(ISBLANK(I510),TODAY()-F510,I510-F510)</f>
        <v>13</v>
      </c>
      <c r="H510" s="126" t="s">
        <v>65</v>
      </c>
      <c r="I510" s="127">
        <v>42950</v>
      </c>
      <c r="J510" s="171" t="s">
        <v>5113</v>
      </c>
    </row>
    <row r="511" spans="1:11" ht="15" customHeight="1" x14ac:dyDescent="0.45">
      <c r="A511" s="114">
        <v>513</v>
      </c>
      <c r="B511" s="118" t="s">
        <v>5520</v>
      </c>
      <c r="C511" s="116" t="s">
        <v>1896</v>
      </c>
      <c r="D511" s="116" t="s">
        <v>1898</v>
      </c>
      <c r="E511" s="115" t="s">
        <v>65</v>
      </c>
      <c r="F511" s="131">
        <v>42937</v>
      </c>
      <c r="G511" s="119">
        <f ca="1">IF(ISBLANK(I511),TODAY()-F511,I511-F511)</f>
        <v>13</v>
      </c>
      <c r="H511" s="126" t="s">
        <v>160</v>
      </c>
      <c r="I511" s="127">
        <v>42950</v>
      </c>
      <c r="J511" s="171" t="s">
        <v>5113</v>
      </c>
    </row>
    <row r="512" spans="1:11" ht="15" customHeight="1" x14ac:dyDescent="0.45">
      <c r="A512" s="200">
        <v>514</v>
      </c>
      <c r="B512" s="167" t="s">
        <v>5520</v>
      </c>
      <c r="C512" s="168" t="s">
        <v>1900</v>
      </c>
      <c r="D512" s="168" t="s">
        <v>1902</v>
      </c>
      <c r="E512" s="169" t="s">
        <v>65</v>
      </c>
      <c r="F512" s="131">
        <v>42937</v>
      </c>
      <c r="G512" s="119">
        <f ca="1">IF(ISBLANK(I512),TODAY()-F512,I512-F512)</f>
        <v>13</v>
      </c>
      <c r="H512" s="179" t="s">
        <v>65</v>
      </c>
      <c r="I512" s="127">
        <v>42950</v>
      </c>
      <c r="J512" s="171" t="s">
        <v>5113</v>
      </c>
    </row>
    <row r="513" spans="1:10" ht="15" customHeight="1" x14ac:dyDescent="0.45">
      <c r="A513" s="114">
        <v>515</v>
      </c>
      <c r="B513" s="118" t="s">
        <v>5520</v>
      </c>
      <c r="C513" s="116" t="s">
        <v>1903</v>
      </c>
      <c r="D513" s="116" t="s">
        <v>1905</v>
      </c>
      <c r="E513" s="115" t="s">
        <v>65</v>
      </c>
      <c r="F513" s="131">
        <v>42937</v>
      </c>
      <c r="G513" s="119">
        <f ca="1">IF(ISBLANK(I513),TODAY()-F513,I513-F513)</f>
        <v>13</v>
      </c>
      <c r="H513" s="126" t="s">
        <v>65</v>
      </c>
      <c r="I513" s="127">
        <v>42950</v>
      </c>
      <c r="J513" s="156" t="s">
        <v>5113</v>
      </c>
    </row>
    <row r="514" spans="1:10" ht="15" customHeight="1" x14ac:dyDescent="0.45">
      <c r="A514" s="114">
        <v>516</v>
      </c>
      <c r="B514" s="118" t="s">
        <v>5520</v>
      </c>
      <c r="C514" s="116" t="s">
        <v>1907</v>
      </c>
      <c r="D514" s="116" t="s">
        <v>1909</v>
      </c>
      <c r="E514" s="115" t="s">
        <v>65</v>
      </c>
      <c r="F514" s="131">
        <v>42937</v>
      </c>
      <c r="G514" s="119">
        <f ca="1">IF(ISBLANK(I514),TODAY()-F514,I514-F514)</f>
        <v>13</v>
      </c>
      <c r="H514" s="126" t="s">
        <v>2702</v>
      </c>
      <c r="I514" s="180">
        <v>42950</v>
      </c>
      <c r="J514" s="156" t="s">
        <v>5113</v>
      </c>
    </row>
    <row r="515" spans="1:10" ht="15" customHeight="1" x14ac:dyDescent="0.45">
      <c r="A515" s="114">
        <v>517</v>
      </c>
      <c r="B515" s="118" t="s">
        <v>5520</v>
      </c>
      <c r="C515" s="116" t="s">
        <v>1913</v>
      </c>
      <c r="D515" s="116" t="s">
        <v>1915</v>
      </c>
      <c r="E515" s="115" t="s">
        <v>65</v>
      </c>
      <c r="F515" s="131">
        <v>42937</v>
      </c>
      <c r="G515" s="119">
        <f ca="1">IF(ISBLANK(I515),TODAY()-F515,I515-F515)</f>
        <v>52</v>
      </c>
      <c r="H515" s="126" t="s">
        <v>65</v>
      </c>
      <c r="I515" s="127">
        <v>42989</v>
      </c>
      <c r="J515" s="156" t="s">
        <v>5113</v>
      </c>
    </row>
    <row r="516" spans="1:10" ht="15" customHeight="1" x14ac:dyDescent="0.45">
      <c r="A516" s="114">
        <v>518</v>
      </c>
      <c r="B516" s="118" t="s">
        <v>5520</v>
      </c>
      <c r="C516" s="116" t="s">
        <v>1950</v>
      </c>
      <c r="D516" s="116" t="s">
        <v>1952</v>
      </c>
      <c r="E516" s="115" t="s">
        <v>65</v>
      </c>
      <c r="F516" s="131">
        <v>42937</v>
      </c>
      <c r="G516" s="119">
        <f ca="1">IF(ISBLANK(I516),TODAY()-F516,I516-F516)</f>
        <v>13</v>
      </c>
      <c r="H516" s="126" t="s">
        <v>65</v>
      </c>
      <c r="I516" s="127">
        <v>42950</v>
      </c>
      <c r="J516" s="122" t="s">
        <v>5160</v>
      </c>
    </row>
    <row r="517" spans="1:10" ht="15" customHeight="1" x14ac:dyDescent="0.45">
      <c r="A517" s="114">
        <v>519</v>
      </c>
      <c r="B517" s="118" t="s">
        <v>5520</v>
      </c>
      <c r="C517" s="116" t="s">
        <v>1953</v>
      </c>
      <c r="D517" s="116" t="s">
        <v>1955</v>
      </c>
      <c r="E517" s="115" t="s">
        <v>65</v>
      </c>
      <c r="F517" s="131">
        <v>42937</v>
      </c>
      <c r="G517" s="119">
        <f ca="1">IF(ISBLANK(I517),TODAY()-F517,I517-F517)</f>
        <v>13</v>
      </c>
      <c r="H517" s="126" t="s">
        <v>65</v>
      </c>
      <c r="I517" s="127">
        <v>42950</v>
      </c>
      <c r="J517" s="122" t="s">
        <v>5160</v>
      </c>
    </row>
    <row r="518" spans="1:10" ht="15" customHeight="1" x14ac:dyDescent="0.45">
      <c r="A518" s="114">
        <v>520</v>
      </c>
      <c r="B518" s="118" t="s">
        <v>5520</v>
      </c>
      <c r="C518" s="116" t="s">
        <v>1956</v>
      </c>
      <c r="D518" s="116" t="s">
        <v>1958</v>
      </c>
      <c r="E518" s="115" t="s">
        <v>65</v>
      </c>
      <c r="F518" s="131">
        <v>42937</v>
      </c>
      <c r="G518" s="119">
        <f ca="1">IF(ISBLANK(I518),TODAY()-F518,I518-F518)</f>
        <v>13</v>
      </c>
      <c r="H518" s="126" t="s">
        <v>65</v>
      </c>
      <c r="I518" s="127">
        <v>42950</v>
      </c>
      <c r="J518" s="122" t="s">
        <v>5160</v>
      </c>
    </row>
    <row r="519" spans="1:10" ht="15" customHeight="1" x14ac:dyDescent="0.45">
      <c r="A519" s="114">
        <v>521</v>
      </c>
      <c r="B519" s="118" t="s">
        <v>5521</v>
      </c>
      <c r="C519" s="116" t="s">
        <v>2682</v>
      </c>
      <c r="D519" s="116" t="s">
        <v>1811</v>
      </c>
      <c r="E519" s="115" t="s">
        <v>164</v>
      </c>
      <c r="F519" s="131">
        <v>42937</v>
      </c>
      <c r="G519" s="119">
        <f ca="1">IF(ISBLANK(I519),TODAY()-F519,I519-F519)</f>
        <v>13</v>
      </c>
      <c r="H519" s="126" t="s">
        <v>2702</v>
      </c>
      <c r="I519" s="127">
        <v>42950</v>
      </c>
      <c r="J519" s="122" t="s">
        <v>5160</v>
      </c>
    </row>
    <row r="520" spans="1:10" ht="15" customHeight="1" x14ac:dyDescent="0.45">
      <c r="A520" s="114">
        <v>522</v>
      </c>
      <c r="B520" s="118" t="s">
        <v>5521</v>
      </c>
      <c r="C520" s="116" t="s">
        <v>1868</v>
      </c>
      <c r="D520" s="116" t="s">
        <v>5278</v>
      </c>
      <c r="E520" s="115" t="s">
        <v>164</v>
      </c>
      <c r="F520" s="131">
        <v>42937</v>
      </c>
      <c r="G520" s="119">
        <f ca="1">IF(ISBLANK(I520),TODAY()-F520,I520-F520)</f>
        <v>13</v>
      </c>
      <c r="H520" s="126" t="s">
        <v>2702</v>
      </c>
      <c r="I520" s="180">
        <v>42950</v>
      </c>
      <c r="J520" s="122" t="s">
        <v>5160</v>
      </c>
    </row>
    <row r="521" spans="1:10" ht="15" customHeight="1" x14ac:dyDescent="0.45">
      <c r="A521" s="114">
        <v>529</v>
      </c>
      <c r="B521" s="118" t="s">
        <v>5522</v>
      </c>
      <c r="C521" s="116" t="s">
        <v>5523</v>
      </c>
      <c r="D521" s="201" t="s">
        <v>1132</v>
      </c>
      <c r="E521" s="115" t="s">
        <v>65</v>
      </c>
      <c r="F521" s="131">
        <v>42937</v>
      </c>
      <c r="G521" s="119">
        <f ca="1">IF(ISBLANK(I521),TODAY()-F521,I521-F521)</f>
        <v>13</v>
      </c>
      <c r="H521" s="126" t="s">
        <v>2702</v>
      </c>
      <c r="I521" s="127">
        <v>42950</v>
      </c>
      <c r="J521" s="122" t="s">
        <v>5160</v>
      </c>
    </row>
    <row r="522" spans="1:10" ht="15" customHeight="1" x14ac:dyDescent="0.45">
      <c r="A522" s="114">
        <v>530</v>
      </c>
      <c r="B522" s="118" t="s">
        <v>5522</v>
      </c>
      <c r="C522" s="116" t="s">
        <v>5524</v>
      </c>
      <c r="D522" s="201" t="s">
        <v>1135</v>
      </c>
      <c r="E522" s="115" t="s">
        <v>65</v>
      </c>
      <c r="F522" s="131">
        <v>42937</v>
      </c>
      <c r="G522" s="119">
        <f ca="1">IF(ISBLANK(I522),TODAY()-F522,I522-F522)</f>
        <v>13</v>
      </c>
      <c r="H522" s="126" t="s">
        <v>2702</v>
      </c>
      <c r="I522" s="127">
        <v>42950</v>
      </c>
      <c r="J522" s="122" t="s">
        <v>5160</v>
      </c>
    </row>
    <row r="523" spans="1:10" ht="15" customHeight="1" x14ac:dyDescent="0.45">
      <c r="A523" s="114">
        <v>531</v>
      </c>
      <c r="B523" s="118" t="s">
        <v>5522</v>
      </c>
      <c r="C523" s="116" t="s">
        <v>5525</v>
      </c>
      <c r="D523" s="202" t="s">
        <v>1140</v>
      </c>
      <c r="E523" s="115" t="s">
        <v>65</v>
      </c>
      <c r="F523" s="131">
        <v>42937</v>
      </c>
      <c r="G523" s="119">
        <f ca="1">IF(ISBLANK(I523),TODAY()-F523,I523-F523)</f>
        <v>13</v>
      </c>
      <c r="H523" s="126" t="s">
        <v>2702</v>
      </c>
      <c r="I523" s="127">
        <v>42950</v>
      </c>
      <c r="J523" s="122" t="s">
        <v>5160</v>
      </c>
    </row>
    <row r="524" spans="1:10" ht="15" customHeight="1" x14ac:dyDescent="0.45">
      <c r="A524" s="114">
        <v>532</v>
      </c>
      <c r="B524" s="118" t="s">
        <v>5522</v>
      </c>
      <c r="C524" s="116" t="s">
        <v>5526</v>
      </c>
      <c r="D524" s="202" t="s">
        <v>5527</v>
      </c>
      <c r="E524" s="115" t="s">
        <v>65</v>
      </c>
      <c r="F524" s="131">
        <v>42937</v>
      </c>
      <c r="G524" s="119">
        <f ca="1">IF(ISBLANK(I524),TODAY()-F524,I524-F524)</f>
        <v>13</v>
      </c>
      <c r="H524" s="126" t="s">
        <v>2702</v>
      </c>
      <c r="I524" s="127">
        <v>42950</v>
      </c>
      <c r="J524" s="122" t="s">
        <v>5160</v>
      </c>
    </row>
    <row r="525" spans="1:10" ht="15" customHeight="1" x14ac:dyDescent="0.45">
      <c r="A525" s="114">
        <v>533</v>
      </c>
      <c r="B525" s="118" t="s">
        <v>5528</v>
      </c>
      <c r="C525" s="116" t="s">
        <v>658</v>
      </c>
      <c r="D525" s="116" t="s">
        <v>5529</v>
      </c>
      <c r="E525" s="115" t="s">
        <v>160</v>
      </c>
      <c r="F525" s="131">
        <v>42937</v>
      </c>
      <c r="G525" s="119">
        <f ca="1">IF(ISBLANK(I525),TODAY()-F525,I525-F525)</f>
        <v>13</v>
      </c>
      <c r="H525" s="126" t="s">
        <v>65</v>
      </c>
      <c r="I525" s="127">
        <v>42950</v>
      </c>
      <c r="J525" s="122" t="s">
        <v>5160</v>
      </c>
    </row>
    <row r="526" spans="1:10" ht="15" customHeight="1" x14ac:dyDescent="0.45">
      <c r="A526" s="114">
        <v>534</v>
      </c>
      <c r="B526" s="118" t="s">
        <v>5528</v>
      </c>
      <c r="C526" s="116" t="s">
        <v>666</v>
      </c>
      <c r="D526" s="116" t="s">
        <v>5530</v>
      </c>
      <c r="E526" s="115" t="s">
        <v>160</v>
      </c>
      <c r="F526" s="131">
        <v>42937</v>
      </c>
      <c r="G526" s="119">
        <f ca="1">IF(ISBLANK(I526),TODAY()-F526,I526-F526)</f>
        <v>13</v>
      </c>
      <c r="H526" s="126" t="s">
        <v>2702</v>
      </c>
      <c r="I526" s="127">
        <v>42950</v>
      </c>
      <c r="J526" s="183" t="s">
        <v>5160</v>
      </c>
    </row>
    <row r="527" spans="1:10" ht="15" customHeight="1" x14ac:dyDescent="0.45">
      <c r="A527" s="137">
        <v>535</v>
      </c>
      <c r="B527" s="195" t="s">
        <v>5531</v>
      </c>
      <c r="C527" s="196" t="s">
        <v>409</v>
      </c>
      <c r="D527" s="196" t="s">
        <v>5532</v>
      </c>
      <c r="E527" s="195" t="s">
        <v>160</v>
      </c>
      <c r="F527" s="131">
        <v>42937</v>
      </c>
      <c r="G527" s="119">
        <f ca="1">IF(ISBLANK(I527),TODAY()-F527,I527-F527)</f>
        <v>40</v>
      </c>
      <c r="H527" s="152" t="s">
        <v>5296</v>
      </c>
      <c r="I527" s="161">
        <v>42977</v>
      </c>
      <c r="J527" s="187" t="s">
        <v>5113</v>
      </c>
    </row>
    <row r="528" spans="1:10" ht="15" customHeight="1" x14ac:dyDescent="0.45">
      <c r="A528" s="137">
        <v>536</v>
      </c>
      <c r="B528" s="195" t="s">
        <v>5531</v>
      </c>
      <c r="C528" s="196" t="s">
        <v>418</v>
      </c>
      <c r="D528" s="196" t="s">
        <v>420</v>
      </c>
      <c r="E528" s="195" t="s">
        <v>160</v>
      </c>
      <c r="F528" s="131">
        <v>42937</v>
      </c>
      <c r="G528" s="119">
        <f ca="1">IF(ISBLANK(I528),TODAY()-F528,I528-F528)</f>
        <v>40</v>
      </c>
      <c r="H528" s="152" t="s">
        <v>5296</v>
      </c>
      <c r="I528" s="161">
        <v>42977</v>
      </c>
      <c r="J528" s="187" t="s">
        <v>5113</v>
      </c>
    </row>
    <row r="529" spans="1:10" ht="15" customHeight="1" x14ac:dyDescent="0.45">
      <c r="A529" s="137">
        <v>537</v>
      </c>
      <c r="B529" s="195" t="s">
        <v>5531</v>
      </c>
      <c r="C529" s="196" t="s">
        <v>422</v>
      </c>
      <c r="D529" s="196" t="s">
        <v>424</v>
      </c>
      <c r="E529" s="195" t="s">
        <v>160</v>
      </c>
      <c r="F529" s="131">
        <v>42937</v>
      </c>
      <c r="G529" s="119">
        <f ca="1">IF(ISBLANK(I529),TODAY()-F529,I529-F529)</f>
        <v>40</v>
      </c>
      <c r="H529" s="152" t="s">
        <v>5296</v>
      </c>
      <c r="I529" s="161">
        <v>42977</v>
      </c>
      <c r="J529" s="194" t="s">
        <v>5051</v>
      </c>
    </row>
    <row r="530" spans="1:10" ht="15" customHeight="1" x14ac:dyDescent="0.45">
      <c r="A530" s="137">
        <v>538</v>
      </c>
      <c r="B530" s="195" t="s">
        <v>5531</v>
      </c>
      <c r="C530" s="196" t="s">
        <v>450</v>
      </c>
      <c r="D530" s="196" t="s">
        <v>452</v>
      </c>
      <c r="E530" s="195" t="s">
        <v>160</v>
      </c>
      <c r="F530" s="131">
        <v>42937</v>
      </c>
      <c r="G530" s="119">
        <f ca="1">IF(ISBLANK(I530),TODAY()-F530,I530-F530)</f>
        <v>40</v>
      </c>
      <c r="H530" s="152" t="s">
        <v>5296</v>
      </c>
      <c r="I530" s="161">
        <v>42977</v>
      </c>
      <c r="J530" s="187" t="s">
        <v>5113</v>
      </c>
    </row>
    <row r="531" spans="1:10" ht="15" customHeight="1" x14ac:dyDescent="0.45">
      <c r="A531" s="114">
        <v>539</v>
      </c>
      <c r="B531" s="130" t="s">
        <v>5531</v>
      </c>
      <c r="C531" s="135" t="s">
        <v>457</v>
      </c>
      <c r="D531" s="135" t="s">
        <v>459</v>
      </c>
      <c r="E531" s="130" t="s">
        <v>160</v>
      </c>
      <c r="F531" s="131">
        <v>42937</v>
      </c>
      <c r="G531" s="119">
        <f ca="1">IF(ISBLANK(I531),TODAY()-F531,I531-F531)</f>
        <v>40</v>
      </c>
      <c r="H531" s="152" t="s">
        <v>5296</v>
      </c>
      <c r="I531" s="161">
        <v>42977</v>
      </c>
      <c r="J531" s="187" t="s">
        <v>5113</v>
      </c>
    </row>
    <row r="532" spans="1:10" ht="15" customHeight="1" x14ac:dyDescent="0.45">
      <c r="A532" s="114">
        <v>540</v>
      </c>
      <c r="B532" s="118" t="s">
        <v>5531</v>
      </c>
      <c r="C532" s="118" t="s">
        <v>461</v>
      </c>
      <c r="D532" s="118" t="s">
        <v>463</v>
      </c>
      <c r="E532" s="118" t="s">
        <v>160</v>
      </c>
      <c r="F532" s="131">
        <v>42937</v>
      </c>
      <c r="G532" s="119">
        <f ca="1">IF(ISBLANK(I532),TODAY()-F532,I532-F532)</f>
        <v>40</v>
      </c>
      <c r="H532" s="359" t="s">
        <v>5296</v>
      </c>
      <c r="I532" s="161">
        <v>42977</v>
      </c>
      <c r="J532" s="155" t="s">
        <v>5113</v>
      </c>
    </row>
    <row r="533" spans="1:10" ht="15" customHeight="1" x14ac:dyDescent="0.45">
      <c r="A533" s="114">
        <v>500</v>
      </c>
      <c r="B533" s="130" t="s">
        <v>5514</v>
      </c>
      <c r="C533" s="135" t="s">
        <v>1244</v>
      </c>
      <c r="D533" s="135" t="s">
        <v>1246</v>
      </c>
      <c r="E533" s="130">
        <v>0</v>
      </c>
      <c r="F533" s="131">
        <v>42940</v>
      </c>
      <c r="G533" s="119">
        <f ca="1">IF(ISBLANK(I533),TODAY()-F533,I533-F533)</f>
        <v>0</v>
      </c>
      <c r="H533" s="126" t="s">
        <v>5227</v>
      </c>
      <c r="I533" s="127">
        <v>42940</v>
      </c>
      <c r="J533" s="122" t="s">
        <v>5113</v>
      </c>
    </row>
    <row r="534" spans="1:10" ht="15" customHeight="1" x14ac:dyDescent="0.45">
      <c r="A534" s="114">
        <v>501</v>
      </c>
      <c r="B534" s="130" t="s">
        <v>5514</v>
      </c>
      <c r="C534" s="135" t="s">
        <v>1253</v>
      </c>
      <c r="D534" s="135" t="s">
        <v>1255</v>
      </c>
      <c r="E534" s="130">
        <v>0</v>
      </c>
      <c r="F534" s="131">
        <v>42940</v>
      </c>
      <c r="G534" s="119">
        <f ca="1">IF(ISBLANK(I534),TODAY()-F534,I534-F534)</f>
        <v>0</v>
      </c>
      <c r="H534" s="126" t="s">
        <v>5227</v>
      </c>
      <c r="I534" s="180">
        <v>42940</v>
      </c>
      <c r="J534" s="122" t="s">
        <v>5113</v>
      </c>
    </row>
    <row r="535" spans="1:10" ht="15" customHeight="1" x14ac:dyDescent="0.45">
      <c r="A535" s="114">
        <v>502</v>
      </c>
      <c r="B535" s="130" t="s">
        <v>1327</v>
      </c>
      <c r="C535" s="135" t="s">
        <v>1324</v>
      </c>
      <c r="D535" s="135" t="s">
        <v>1326</v>
      </c>
      <c r="E535" s="130">
        <v>0</v>
      </c>
      <c r="F535" s="131">
        <v>42940</v>
      </c>
      <c r="G535" s="119">
        <f ca="1">IF(ISBLANK(I535),TODAY()-F535,I535-F535)</f>
        <v>0</v>
      </c>
      <c r="H535" s="126" t="s">
        <v>5227</v>
      </c>
      <c r="I535" s="127">
        <v>42940</v>
      </c>
      <c r="J535" s="122" t="s">
        <v>5113</v>
      </c>
    </row>
    <row r="536" spans="1:10" ht="15" customHeight="1" x14ac:dyDescent="0.45">
      <c r="A536" s="114">
        <v>507</v>
      </c>
      <c r="B536" s="118" t="s">
        <v>1284</v>
      </c>
      <c r="C536" s="116" t="s">
        <v>1289</v>
      </c>
      <c r="D536" s="116" t="s">
        <v>1291</v>
      </c>
      <c r="E536" s="115">
        <v>0</v>
      </c>
      <c r="F536" s="131">
        <v>42940</v>
      </c>
      <c r="G536" s="119">
        <f ca="1">IF(ISBLANK(I536),TODAY()-F536,I536-F536)</f>
        <v>3</v>
      </c>
      <c r="H536" s="126" t="s">
        <v>5227</v>
      </c>
      <c r="I536" s="127">
        <v>42943</v>
      </c>
      <c r="J536" s="122" t="s">
        <v>5113</v>
      </c>
    </row>
    <row r="537" spans="1:10" ht="15" customHeight="1" x14ac:dyDescent="0.45">
      <c r="A537" s="114">
        <v>508</v>
      </c>
      <c r="B537" s="167" t="s">
        <v>1284</v>
      </c>
      <c r="C537" s="168" t="s">
        <v>1281</v>
      </c>
      <c r="D537" s="168" t="s">
        <v>1283</v>
      </c>
      <c r="E537" s="169">
        <v>0</v>
      </c>
      <c r="F537" s="131">
        <v>42940</v>
      </c>
      <c r="G537" s="119">
        <f ca="1">IF(ISBLANK(I537),TODAY()-F537,I537-F537)</f>
        <v>3</v>
      </c>
      <c r="H537" s="179" t="s">
        <v>5344</v>
      </c>
      <c r="I537" s="127">
        <v>42943</v>
      </c>
      <c r="J537" s="122" t="s">
        <v>5113</v>
      </c>
    </row>
    <row r="538" spans="1:10" ht="15" customHeight="1" x14ac:dyDescent="0.45">
      <c r="A538" s="114">
        <v>509</v>
      </c>
      <c r="B538" s="118" t="s">
        <v>5518</v>
      </c>
      <c r="C538" s="116" t="s">
        <v>1286</v>
      </c>
      <c r="D538" s="116" t="s">
        <v>5172</v>
      </c>
      <c r="E538" s="115">
        <v>0</v>
      </c>
      <c r="F538" s="131">
        <v>42940</v>
      </c>
      <c r="G538" s="119">
        <f ca="1">IF(ISBLANK(I538),TODAY()-F538,I538-F538)</f>
        <v>3</v>
      </c>
      <c r="H538" s="126" t="s">
        <v>5227</v>
      </c>
      <c r="I538" s="127">
        <v>42943</v>
      </c>
      <c r="J538" s="122" t="s">
        <v>5113</v>
      </c>
    </row>
    <row r="539" spans="1:10" ht="15" customHeight="1" x14ac:dyDescent="0.45">
      <c r="A539" s="114">
        <v>523</v>
      </c>
      <c r="B539" s="118" t="s">
        <v>1837</v>
      </c>
      <c r="C539" s="116" t="s">
        <v>1807</v>
      </c>
      <c r="D539" s="116" t="s">
        <v>1809</v>
      </c>
      <c r="E539" s="115">
        <v>0</v>
      </c>
      <c r="F539" s="131">
        <v>42940</v>
      </c>
      <c r="G539" s="119">
        <f ca="1">IF(ISBLANK(I539),TODAY()-F539,I539-F539)</f>
        <v>8</v>
      </c>
      <c r="H539" s="126" t="s">
        <v>64</v>
      </c>
      <c r="I539" s="127">
        <v>42948</v>
      </c>
      <c r="J539" s="122" t="s">
        <v>5160</v>
      </c>
    </row>
    <row r="540" spans="1:10" ht="15" customHeight="1" x14ac:dyDescent="0.45">
      <c r="A540" s="114">
        <v>524</v>
      </c>
      <c r="B540" s="118" t="s">
        <v>1837</v>
      </c>
      <c r="C540" s="116" t="s">
        <v>1834</v>
      </c>
      <c r="D540" s="116" t="s">
        <v>1836</v>
      </c>
      <c r="E540" s="115">
        <v>0</v>
      </c>
      <c r="F540" s="131">
        <v>42940</v>
      </c>
      <c r="G540" s="119">
        <f ca="1">IF(ISBLANK(I540),TODAY()-F540,I540-F540)</f>
        <v>8</v>
      </c>
      <c r="H540" s="179" t="s">
        <v>5493</v>
      </c>
      <c r="I540" s="180">
        <v>42948</v>
      </c>
      <c r="J540" s="183" t="s">
        <v>5160</v>
      </c>
    </row>
    <row r="541" spans="1:10" ht="15" customHeight="1" x14ac:dyDescent="0.45">
      <c r="A541" s="114">
        <v>525</v>
      </c>
      <c r="B541" s="118" t="s">
        <v>1837</v>
      </c>
      <c r="C541" s="116" t="s">
        <v>1839</v>
      </c>
      <c r="D541" s="116" t="s">
        <v>1841</v>
      </c>
      <c r="E541" s="115">
        <v>0</v>
      </c>
      <c r="F541" s="131">
        <v>42940</v>
      </c>
      <c r="G541" s="119">
        <f ca="1">IF(ISBLANK(I541),TODAY()-F541,I541-F541)</f>
        <v>8</v>
      </c>
      <c r="H541" s="179" t="s">
        <v>5493</v>
      </c>
      <c r="I541" s="180">
        <v>42948</v>
      </c>
      <c r="J541" s="183" t="s">
        <v>5160</v>
      </c>
    </row>
    <row r="542" spans="1:10" ht="15" customHeight="1" x14ac:dyDescent="0.45">
      <c r="A542" s="114">
        <v>526</v>
      </c>
      <c r="B542" s="118" t="s">
        <v>1837</v>
      </c>
      <c r="C542" s="116" t="s">
        <v>1842</v>
      </c>
      <c r="D542" s="116" t="s">
        <v>1844</v>
      </c>
      <c r="E542" s="115">
        <v>0</v>
      </c>
      <c r="F542" s="131">
        <v>42940</v>
      </c>
      <c r="G542" s="119">
        <f ca="1">IF(ISBLANK(I542),TODAY()-F542,I542-F542)</f>
        <v>8</v>
      </c>
      <c r="H542" s="179" t="s">
        <v>5493</v>
      </c>
      <c r="I542" s="180">
        <v>42948</v>
      </c>
      <c r="J542" s="183" t="s">
        <v>5160</v>
      </c>
    </row>
    <row r="543" spans="1:10" ht="15" customHeight="1" x14ac:dyDescent="0.45">
      <c r="A543" s="114">
        <v>527</v>
      </c>
      <c r="B543" s="118" t="s">
        <v>1837</v>
      </c>
      <c r="C543" s="116" t="s">
        <v>1845</v>
      </c>
      <c r="D543" s="116" t="s">
        <v>1847</v>
      </c>
      <c r="E543" s="115">
        <v>0</v>
      </c>
      <c r="F543" s="131">
        <v>42940</v>
      </c>
      <c r="G543" s="119">
        <f ca="1">IF(ISBLANK(I543),TODAY()-F543,I543-F543)</f>
        <v>8</v>
      </c>
      <c r="H543" s="179" t="s">
        <v>64</v>
      </c>
      <c r="I543" s="180">
        <v>42948</v>
      </c>
      <c r="J543" s="183" t="s">
        <v>5160</v>
      </c>
    </row>
    <row r="544" spans="1:10" ht="15" customHeight="1" x14ac:dyDescent="0.45">
      <c r="A544" s="114">
        <v>528</v>
      </c>
      <c r="B544" s="118" t="s">
        <v>1837</v>
      </c>
      <c r="C544" s="116" t="s">
        <v>1947</v>
      </c>
      <c r="D544" s="116" t="s">
        <v>1949</v>
      </c>
      <c r="E544" s="115">
        <v>0</v>
      </c>
      <c r="F544" s="131">
        <v>42940</v>
      </c>
      <c r="G544" s="119">
        <f ca="1">IF(ISBLANK(I544),TODAY()-F544,I544-F544)</f>
        <v>32</v>
      </c>
      <c r="H544" s="179" t="s">
        <v>64</v>
      </c>
      <c r="I544" s="180">
        <v>42972</v>
      </c>
      <c r="J544" s="183" t="s">
        <v>5160</v>
      </c>
    </row>
    <row r="545" spans="1:10" ht="15" customHeight="1" x14ac:dyDescent="0.45">
      <c r="A545" s="114">
        <v>550</v>
      </c>
      <c r="B545" s="118" t="s">
        <v>5547</v>
      </c>
      <c r="C545" s="118" t="s">
        <v>5548</v>
      </c>
      <c r="D545" s="118" t="s">
        <v>5549</v>
      </c>
      <c r="E545" s="130">
        <v>0</v>
      </c>
      <c r="F545" s="131">
        <v>42940</v>
      </c>
      <c r="G545" s="119">
        <f ca="1">IF(ISBLANK(I545),TODAY()-F545,I545-F545)</f>
        <v>0</v>
      </c>
      <c r="H545" s="126" t="s">
        <v>5344</v>
      </c>
      <c r="I545" s="127">
        <v>42940</v>
      </c>
      <c r="J545" s="122" t="s">
        <v>5113</v>
      </c>
    </row>
    <row r="546" spans="1:10" ht="15" customHeight="1" x14ac:dyDescent="0.45">
      <c r="A546" s="114">
        <v>555</v>
      </c>
      <c r="B546" s="130" t="s">
        <v>5559</v>
      </c>
      <c r="C546" s="130" t="s">
        <v>5370</v>
      </c>
      <c r="D546" s="130" t="s">
        <v>5560</v>
      </c>
      <c r="E546" s="130">
        <v>0</v>
      </c>
      <c r="F546" s="131">
        <v>42940</v>
      </c>
      <c r="G546" s="119">
        <f ca="1">IF(ISBLANK(I546),TODAY()-F546,I546-F546)</f>
        <v>0</v>
      </c>
      <c r="H546" s="126" t="s">
        <v>5344</v>
      </c>
      <c r="I546" s="127">
        <v>42940</v>
      </c>
      <c r="J546" s="122" t="s">
        <v>5113</v>
      </c>
    </row>
    <row r="547" spans="1:10" ht="15" customHeight="1" x14ac:dyDescent="0.45">
      <c r="A547" s="114">
        <v>562</v>
      </c>
      <c r="B547" s="130" t="s">
        <v>5573</v>
      </c>
      <c r="C547" s="130" t="s">
        <v>5574</v>
      </c>
      <c r="D547" s="130" t="s">
        <v>5073</v>
      </c>
      <c r="E547" s="130">
        <v>0</v>
      </c>
      <c r="F547" s="131">
        <v>42940</v>
      </c>
      <c r="G547" s="119">
        <f ca="1">IF(ISBLANK(I547),TODAY()-F547,I547-F547)</f>
        <v>0</v>
      </c>
      <c r="H547" s="179" t="s">
        <v>5344</v>
      </c>
      <c r="I547" s="180">
        <v>42940</v>
      </c>
      <c r="J547" s="183" t="s">
        <v>5113</v>
      </c>
    </row>
    <row r="548" spans="1:10" ht="15" customHeight="1" x14ac:dyDescent="0.45">
      <c r="A548" s="114">
        <v>541</v>
      </c>
      <c r="B548" s="118" t="s">
        <v>5533</v>
      </c>
      <c r="C548" s="118" t="s">
        <v>912</v>
      </c>
      <c r="D548" s="118" t="s">
        <v>5534</v>
      </c>
      <c r="E548" s="118" t="s">
        <v>5002</v>
      </c>
      <c r="F548" s="131">
        <v>42942</v>
      </c>
      <c r="G548" s="119">
        <f ca="1">IF(ISBLANK(I548),TODAY()-F548,I548-F548)</f>
        <v>26</v>
      </c>
      <c r="H548" s="203" t="s">
        <v>160</v>
      </c>
      <c r="I548" s="199">
        <v>42968</v>
      </c>
      <c r="J548" s="191" t="s">
        <v>5160</v>
      </c>
    </row>
    <row r="549" spans="1:10" ht="15" customHeight="1" x14ac:dyDescent="0.45">
      <c r="A549" s="114">
        <v>542</v>
      </c>
      <c r="B549" s="130" t="s">
        <v>5533</v>
      </c>
      <c r="C549" s="130" t="s">
        <v>904</v>
      </c>
      <c r="D549" s="130" t="s">
        <v>5535</v>
      </c>
      <c r="E549" s="130" t="s">
        <v>5002</v>
      </c>
      <c r="F549" s="131">
        <v>42942</v>
      </c>
      <c r="G549" s="119">
        <f ca="1">IF(ISBLANK(I549),TODAY()-F549,I549-F549)</f>
        <v>47</v>
      </c>
      <c r="H549" s="179" t="s">
        <v>164</v>
      </c>
      <c r="I549" s="180">
        <v>42989</v>
      </c>
      <c r="J549" s="183" t="s">
        <v>5160</v>
      </c>
    </row>
    <row r="550" spans="1:10" ht="15" customHeight="1" x14ac:dyDescent="0.45">
      <c r="A550" s="114">
        <v>543</v>
      </c>
      <c r="B550" s="130" t="s">
        <v>5533</v>
      </c>
      <c r="C550" s="130" t="s">
        <v>908</v>
      </c>
      <c r="D550" s="130" t="s">
        <v>5536</v>
      </c>
      <c r="E550" s="130" t="s">
        <v>5002</v>
      </c>
      <c r="F550" s="131">
        <v>42942</v>
      </c>
      <c r="G550" s="119">
        <f ca="1">IF(ISBLANK(I550),TODAY()-F550,I550-F550)</f>
        <v>47</v>
      </c>
      <c r="H550" s="179" t="s">
        <v>164</v>
      </c>
      <c r="I550" s="180">
        <v>42989</v>
      </c>
      <c r="J550" s="183" t="s">
        <v>5160</v>
      </c>
    </row>
    <row r="551" spans="1:10" ht="15" customHeight="1" x14ac:dyDescent="0.45">
      <c r="A551" s="114">
        <v>544</v>
      </c>
      <c r="B551" s="118" t="s">
        <v>5537</v>
      </c>
      <c r="C551" s="118" t="s">
        <v>2071</v>
      </c>
      <c r="D551" s="118" t="s">
        <v>5349</v>
      </c>
      <c r="E551" s="118" t="s">
        <v>5062</v>
      </c>
      <c r="F551" s="131">
        <v>42942</v>
      </c>
      <c r="G551" s="119">
        <f ca="1">IF(ISBLANK(I551),TODAY()-F551,I551-F551)</f>
        <v>26</v>
      </c>
      <c r="H551" s="356" t="s">
        <v>160</v>
      </c>
      <c r="I551" s="121">
        <v>42968</v>
      </c>
      <c r="J551" s="385" t="s">
        <v>5160</v>
      </c>
    </row>
    <row r="552" spans="1:10" ht="15" customHeight="1" x14ac:dyDescent="0.45">
      <c r="A552" s="114">
        <v>545</v>
      </c>
      <c r="B552" s="130" t="s">
        <v>5538</v>
      </c>
      <c r="C552" s="130" t="s">
        <v>2066</v>
      </c>
      <c r="D552" s="130" t="s">
        <v>5350</v>
      </c>
      <c r="E552" s="130" t="s">
        <v>5062</v>
      </c>
      <c r="F552" s="131">
        <v>42942</v>
      </c>
      <c r="G552" s="119">
        <f ca="1">IF(ISBLANK(I552),TODAY()-F552,I552-F552)</f>
        <v>26</v>
      </c>
      <c r="H552" s="356" t="s">
        <v>160</v>
      </c>
      <c r="I552" s="121">
        <v>42968</v>
      </c>
      <c r="J552" s="385" t="s">
        <v>5160</v>
      </c>
    </row>
    <row r="553" spans="1:10" ht="15" customHeight="1" x14ac:dyDescent="0.45">
      <c r="A553" s="114">
        <v>546</v>
      </c>
      <c r="B553" s="130" t="s">
        <v>5538</v>
      </c>
      <c r="C553" s="130" t="s">
        <v>2061</v>
      </c>
      <c r="D553" s="130" t="s">
        <v>5351</v>
      </c>
      <c r="E553" s="130" t="s">
        <v>5062</v>
      </c>
      <c r="F553" s="131">
        <v>42942</v>
      </c>
      <c r="G553" s="119">
        <f ca="1">IF(ISBLANK(I553),TODAY()-F553,I553-F553)</f>
        <v>26</v>
      </c>
      <c r="H553" s="356" t="s">
        <v>160</v>
      </c>
      <c r="I553" s="121">
        <v>42968</v>
      </c>
      <c r="J553" s="191" t="s">
        <v>5160</v>
      </c>
    </row>
    <row r="554" spans="1:10" ht="15" customHeight="1" x14ac:dyDescent="0.45">
      <c r="A554" s="114">
        <v>547</v>
      </c>
      <c r="B554" s="118" t="s">
        <v>5539</v>
      </c>
      <c r="C554" s="118" t="s">
        <v>5120</v>
      </c>
      <c r="D554" s="118" t="s">
        <v>5540</v>
      </c>
      <c r="E554" s="118" t="s">
        <v>5062</v>
      </c>
      <c r="F554" s="131">
        <v>42942</v>
      </c>
      <c r="G554" s="119">
        <f ca="1">IF(ISBLANK(I554),TODAY()-F554,I554-F554)</f>
        <v>26</v>
      </c>
      <c r="H554" s="203" t="s">
        <v>160</v>
      </c>
      <c r="I554" s="199">
        <v>42968</v>
      </c>
      <c r="J554" s="191" t="s">
        <v>5160</v>
      </c>
    </row>
    <row r="555" spans="1:10" ht="15" customHeight="1" x14ac:dyDescent="0.45">
      <c r="A555" s="114">
        <v>548</v>
      </c>
      <c r="B555" s="130" t="s">
        <v>5541</v>
      </c>
      <c r="C555" s="130" t="s">
        <v>5542</v>
      </c>
      <c r="D555" s="130" t="s">
        <v>5543</v>
      </c>
      <c r="E555" s="130" t="s">
        <v>5002</v>
      </c>
      <c r="F555" s="131">
        <v>42942</v>
      </c>
      <c r="G555" s="119">
        <f ca="1">IF(ISBLANK(I555),TODAY()-F555,I555-F555)</f>
        <v>47</v>
      </c>
      <c r="H555" s="126" t="s">
        <v>164</v>
      </c>
      <c r="I555" s="180">
        <v>42989</v>
      </c>
      <c r="J555" s="183" t="s">
        <v>5160</v>
      </c>
    </row>
    <row r="556" spans="1:10" ht="15" customHeight="1" x14ac:dyDescent="0.45">
      <c r="A556" s="114">
        <v>551</v>
      </c>
      <c r="B556" s="130" t="s">
        <v>5550</v>
      </c>
      <c r="C556" s="130" t="s">
        <v>339</v>
      </c>
      <c r="D556" s="130" t="s">
        <v>5551</v>
      </c>
      <c r="E556" s="130" t="s">
        <v>5002</v>
      </c>
      <c r="F556" s="131">
        <v>42942</v>
      </c>
      <c r="G556" s="119">
        <f ca="1">IF(ISBLANK(I556),TODAY()-F556,I556-F556)</f>
        <v>26</v>
      </c>
      <c r="H556" s="203" t="s">
        <v>160</v>
      </c>
      <c r="I556" s="199">
        <v>42968</v>
      </c>
      <c r="J556" s="191" t="s">
        <v>5160</v>
      </c>
    </row>
    <row r="557" spans="1:10" ht="15" customHeight="1" x14ac:dyDescent="0.45">
      <c r="A557" s="114">
        <v>552</v>
      </c>
      <c r="B557" s="130" t="s">
        <v>5550</v>
      </c>
      <c r="C557" s="130" t="s">
        <v>343</v>
      </c>
      <c r="D557" s="130" t="s">
        <v>5552</v>
      </c>
      <c r="E557" s="130" t="s">
        <v>5002</v>
      </c>
      <c r="F557" s="131">
        <v>42942</v>
      </c>
      <c r="G557" s="119">
        <f ca="1">IF(ISBLANK(I557),TODAY()-F557,I557-F557)</f>
        <v>26</v>
      </c>
      <c r="H557" s="126" t="s">
        <v>160</v>
      </c>
      <c r="I557" s="121">
        <v>42968</v>
      </c>
      <c r="J557" s="385" t="s">
        <v>5160</v>
      </c>
    </row>
    <row r="558" spans="1:10" ht="15" customHeight="1" x14ac:dyDescent="0.45">
      <c r="A558" s="114">
        <v>553</v>
      </c>
      <c r="B558" s="118" t="s">
        <v>5553</v>
      </c>
      <c r="C558" s="118" t="s">
        <v>5554</v>
      </c>
      <c r="D558" s="118" t="s">
        <v>5555</v>
      </c>
      <c r="E558" s="118" t="s">
        <v>5002</v>
      </c>
      <c r="F558" s="131">
        <v>42942</v>
      </c>
      <c r="G558" s="119">
        <f ca="1">IF(ISBLANK(I558),TODAY()-F558,I558-F558)</f>
        <v>26</v>
      </c>
      <c r="H558" s="356" t="s">
        <v>2702</v>
      </c>
      <c r="I558" s="121">
        <v>42968</v>
      </c>
      <c r="J558" s="191" t="s">
        <v>5160</v>
      </c>
    </row>
    <row r="559" spans="1:10" ht="15" customHeight="1" x14ac:dyDescent="0.45">
      <c r="A559" s="114">
        <v>554</v>
      </c>
      <c r="B559" s="130" t="s">
        <v>5556</v>
      </c>
      <c r="C559" s="130" t="s">
        <v>5557</v>
      </c>
      <c r="D559" s="130" t="s">
        <v>5558</v>
      </c>
      <c r="E559" s="130" t="s">
        <v>5002</v>
      </c>
      <c r="F559" s="131">
        <v>42942</v>
      </c>
      <c r="G559" s="119">
        <f ca="1">IF(ISBLANK(I559),TODAY()-F559,I559-F559)</f>
        <v>47</v>
      </c>
      <c r="H559" s="126" t="s">
        <v>65</v>
      </c>
      <c r="I559" s="127">
        <v>42989</v>
      </c>
      <c r="J559" s="122" t="s">
        <v>5160</v>
      </c>
    </row>
    <row r="560" spans="1:10" ht="15" customHeight="1" x14ac:dyDescent="0.45">
      <c r="A560" s="114">
        <v>556</v>
      </c>
      <c r="B560" s="130" t="s">
        <v>5561</v>
      </c>
      <c r="C560" s="130" t="s">
        <v>5562</v>
      </c>
      <c r="D560" s="130" t="s">
        <v>5563</v>
      </c>
      <c r="E560" s="130" t="s">
        <v>65</v>
      </c>
      <c r="F560" s="131">
        <v>42942</v>
      </c>
      <c r="G560" s="119">
        <f ca="1">IF(ISBLANK(I560),TODAY()-F560,I560-F560)</f>
        <v>47</v>
      </c>
      <c r="H560" s="126" t="s">
        <v>164</v>
      </c>
      <c r="I560" s="127">
        <v>42989</v>
      </c>
      <c r="J560" s="122" t="s">
        <v>5160</v>
      </c>
    </row>
    <row r="561" spans="1:10" ht="15" customHeight="1" x14ac:dyDescent="0.45">
      <c r="A561" s="114">
        <v>557</v>
      </c>
      <c r="B561" s="130" t="s">
        <v>5561</v>
      </c>
      <c r="C561" s="130" t="s">
        <v>5564</v>
      </c>
      <c r="D561" s="130" t="s">
        <v>5565</v>
      </c>
      <c r="E561" s="130" t="s">
        <v>65</v>
      </c>
      <c r="F561" s="131">
        <v>42942</v>
      </c>
      <c r="G561" s="119">
        <f ca="1">IF(ISBLANK(I561),TODAY()-F561,I561-F561)</f>
        <v>47</v>
      </c>
      <c r="H561" s="126" t="s">
        <v>2702</v>
      </c>
      <c r="I561" s="127">
        <v>42989</v>
      </c>
      <c r="J561" s="122" t="s">
        <v>5160</v>
      </c>
    </row>
    <row r="562" spans="1:10" ht="15" customHeight="1" x14ac:dyDescent="0.45">
      <c r="A562" s="114">
        <v>558</v>
      </c>
      <c r="B562" s="130" t="s">
        <v>5561</v>
      </c>
      <c r="C562" s="130" t="s">
        <v>5566</v>
      </c>
      <c r="D562" s="130" t="s">
        <v>5567</v>
      </c>
      <c r="E562" s="130" t="s">
        <v>65</v>
      </c>
      <c r="F562" s="131">
        <v>42942</v>
      </c>
      <c r="G562" s="119">
        <f ca="1">IF(ISBLANK(I562),TODAY()-F562,I562-F562)</f>
        <v>47</v>
      </c>
      <c r="H562" s="126" t="s">
        <v>2702</v>
      </c>
      <c r="I562" s="180">
        <v>42989</v>
      </c>
      <c r="J562" s="183" t="s">
        <v>5160</v>
      </c>
    </row>
    <row r="563" spans="1:10" ht="15" customHeight="1" x14ac:dyDescent="0.45">
      <c r="A563" s="114">
        <v>559</v>
      </c>
      <c r="B563" s="130" t="s">
        <v>5568</v>
      </c>
      <c r="C563" s="130" t="s">
        <v>5569</v>
      </c>
      <c r="D563" s="130" t="s">
        <v>5570</v>
      </c>
      <c r="E563" s="130" t="s">
        <v>164</v>
      </c>
      <c r="F563" s="131">
        <v>42942</v>
      </c>
      <c r="G563" s="119">
        <f ca="1">IF(ISBLANK(I563),TODAY()-F563,I563-F563)</f>
        <v>26</v>
      </c>
      <c r="H563" s="126" t="s">
        <v>160</v>
      </c>
      <c r="I563" s="199">
        <v>42968</v>
      </c>
      <c r="J563" s="191" t="s">
        <v>5160</v>
      </c>
    </row>
    <row r="564" spans="1:10" ht="15" customHeight="1" x14ac:dyDescent="0.45">
      <c r="A564" s="114">
        <v>560</v>
      </c>
      <c r="B564" s="130" t="s">
        <v>5568</v>
      </c>
      <c r="C564" s="130" t="s">
        <v>5571</v>
      </c>
      <c r="D564" s="130" t="s">
        <v>5572</v>
      </c>
      <c r="E564" s="130" t="s">
        <v>164</v>
      </c>
      <c r="F564" s="131">
        <v>42942</v>
      </c>
      <c r="G564" s="119">
        <f ca="1">IF(ISBLANK(I564),TODAY()-F564,I564-F564)</f>
        <v>26</v>
      </c>
      <c r="H564" s="126" t="s">
        <v>65</v>
      </c>
      <c r="I564" s="199">
        <v>42968</v>
      </c>
      <c r="J564" s="191" t="s">
        <v>5160</v>
      </c>
    </row>
    <row r="565" spans="1:10" ht="15" customHeight="1" x14ac:dyDescent="0.45">
      <c r="A565" s="114">
        <v>561</v>
      </c>
      <c r="B565" s="130" t="s">
        <v>5568</v>
      </c>
      <c r="C565" s="130" t="s">
        <v>5397</v>
      </c>
      <c r="D565" s="130" t="s">
        <v>5398</v>
      </c>
      <c r="E565" s="130" t="s">
        <v>164</v>
      </c>
      <c r="F565" s="131">
        <v>42942</v>
      </c>
      <c r="G565" s="119">
        <f ca="1">IF(ISBLANK(I565),TODAY()-F565,I565-F565)</f>
        <v>26</v>
      </c>
      <c r="H565" s="126" t="s">
        <v>65</v>
      </c>
      <c r="I565" s="121">
        <v>42968</v>
      </c>
      <c r="J565" s="385" t="s">
        <v>5160</v>
      </c>
    </row>
    <row r="566" spans="1:10" ht="15" customHeight="1" x14ac:dyDescent="0.45">
      <c r="A566" s="114">
        <v>563</v>
      </c>
      <c r="B566" s="130" t="s">
        <v>5575</v>
      </c>
      <c r="C566" s="130" t="s">
        <v>5576</v>
      </c>
      <c r="D566" s="130" t="s">
        <v>5577</v>
      </c>
      <c r="E566" s="130" t="s">
        <v>160</v>
      </c>
      <c r="F566" s="131">
        <v>42942</v>
      </c>
      <c r="G566" s="119">
        <f ca="1">IF(ISBLANK(I566),TODAY()-F566,I566-F566)</f>
        <v>47</v>
      </c>
      <c r="H566" s="126" t="s">
        <v>65</v>
      </c>
      <c r="I566" s="127">
        <v>42989</v>
      </c>
      <c r="J566" s="122" t="s">
        <v>5160</v>
      </c>
    </row>
    <row r="567" spans="1:10" ht="15" customHeight="1" x14ac:dyDescent="0.45">
      <c r="A567" s="114">
        <v>568</v>
      </c>
      <c r="B567" s="130" t="s">
        <v>5587</v>
      </c>
      <c r="C567" s="130" t="s">
        <v>5588</v>
      </c>
      <c r="D567" s="116" t="s">
        <v>993</v>
      </c>
      <c r="E567" s="130" t="s">
        <v>65</v>
      </c>
      <c r="F567" s="131">
        <v>42942</v>
      </c>
      <c r="G567" s="119">
        <f ca="1">IF(ISBLANK(I567),TODAY()-F567,I567-F567)</f>
        <v>26</v>
      </c>
      <c r="H567" s="126" t="s">
        <v>164</v>
      </c>
      <c r="I567" s="121">
        <v>42968</v>
      </c>
      <c r="J567" s="191" t="s">
        <v>5160</v>
      </c>
    </row>
    <row r="568" spans="1:10" ht="15" customHeight="1" x14ac:dyDescent="0.45">
      <c r="A568" s="114">
        <v>569</v>
      </c>
      <c r="B568" s="130" t="s">
        <v>5587</v>
      </c>
      <c r="C568" s="130" t="s">
        <v>5589</v>
      </c>
      <c r="D568" s="116" t="s">
        <v>997</v>
      </c>
      <c r="E568" s="130" t="s">
        <v>65</v>
      </c>
      <c r="F568" s="131">
        <v>42942</v>
      </c>
      <c r="G568" s="119">
        <f ca="1">IF(ISBLANK(I568),TODAY()-F568,I568-F568)</f>
        <v>26</v>
      </c>
      <c r="H568" s="126" t="s">
        <v>160</v>
      </c>
      <c r="I568" s="121">
        <v>42968</v>
      </c>
      <c r="J568" s="191" t="s">
        <v>5160</v>
      </c>
    </row>
    <row r="569" spans="1:10" ht="15" customHeight="1" x14ac:dyDescent="0.45">
      <c r="A569" s="114">
        <v>570</v>
      </c>
      <c r="B569" s="130" t="s">
        <v>5587</v>
      </c>
      <c r="C569" s="130" t="s">
        <v>5590</v>
      </c>
      <c r="D569" s="116" t="s">
        <v>1001</v>
      </c>
      <c r="E569" s="130" t="s">
        <v>65</v>
      </c>
      <c r="F569" s="131">
        <v>42942</v>
      </c>
      <c r="G569" s="119">
        <f ca="1">IF(ISBLANK(I569),TODAY()-F569,I569-F569)</f>
        <v>47</v>
      </c>
      <c r="H569" s="126" t="s">
        <v>65</v>
      </c>
      <c r="I569" s="127">
        <v>42989</v>
      </c>
      <c r="J569" s="183" t="s">
        <v>5160</v>
      </c>
    </row>
    <row r="570" spans="1:10" ht="15" customHeight="1" x14ac:dyDescent="0.45">
      <c r="A570" s="114">
        <v>571</v>
      </c>
      <c r="B570" s="130" t="s">
        <v>5591</v>
      </c>
      <c r="C570" s="130" t="s">
        <v>5221</v>
      </c>
      <c r="D570" s="116" t="s">
        <v>5222</v>
      </c>
      <c r="E570" s="130" t="s">
        <v>160</v>
      </c>
      <c r="F570" s="131">
        <v>42942</v>
      </c>
      <c r="G570" s="119">
        <f ca="1">IF(ISBLANK(I570),TODAY()-F570,I570-F570)</f>
        <v>79</v>
      </c>
      <c r="H570" s="152" t="s">
        <v>5296</v>
      </c>
      <c r="I570" s="161">
        <v>43021</v>
      </c>
      <c r="J570" s="194" t="s">
        <v>5113</v>
      </c>
    </row>
    <row r="571" spans="1:10" ht="15" customHeight="1" x14ac:dyDescent="0.45">
      <c r="A571" s="114">
        <v>572</v>
      </c>
      <c r="B571" s="130" t="s">
        <v>5592</v>
      </c>
      <c r="C571" s="130" t="s">
        <v>5200</v>
      </c>
      <c r="D571" s="116" t="s">
        <v>1321</v>
      </c>
      <c r="E571" s="130" t="s">
        <v>160</v>
      </c>
      <c r="F571" s="131">
        <v>42942</v>
      </c>
      <c r="G571" s="119">
        <f ca="1">IF(ISBLANK(I571),TODAY()-F571,I571-F571)</f>
        <v>47</v>
      </c>
      <c r="H571" s="126" t="s">
        <v>65</v>
      </c>
      <c r="I571" s="180">
        <v>42989</v>
      </c>
      <c r="J571" s="183" t="s">
        <v>5160</v>
      </c>
    </row>
    <row r="572" spans="1:10" ht="15" customHeight="1" x14ac:dyDescent="0.45">
      <c r="A572" s="114">
        <v>573</v>
      </c>
      <c r="B572" s="130" t="s">
        <v>5593</v>
      </c>
      <c r="C572" s="130" t="s">
        <v>5183</v>
      </c>
      <c r="D572" s="116" t="s">
        <v>1345</v>
      </c>
      <c r="E572" s="130" t="s">
        <v>160</v>
      </c>
      <c r="F572" s="131">
        <v>42942</v>
      </c>
      <c r="G572" s="119">
        <f ca="1">IF(ISBLANK(I572),TODAY()-F572,I572-F572)</f>
        <v>47</v>
      </c>
      <c r="H572" s="126" t="s">
        <v>65</v>
      </c>
      <c r="I572" s="180">
        <v>42989</v>
      </c>
      <c r="J572" s="183" t="s">
        <v>5160</v>
      </c>
    </row>
    <row r="573" spans="1:10" ht="15" customHeight="1" x14ac:dyDescent="0.45">
      <c r="A573" s="114">
        <v>576</v>
      </c>
      <c r="B573" s="130" t="s">
        <v>5598</v>
      </c>
      <c r="C573" s="130" t="s">
        <v>5314</v>
      </c>
      <c r="D573" s="116" t="s">
        <v>5315</v>
      </c>
      <c r="E573" s="130" t="s">
        <v>160</v>
      </c>
      <c r="F573" s="131">
        <v>42942</v>
      </c>
      <c r="G573" s="119">
        <f ca="1">IF(ISBLANK(I573),TODAY()-F573,I573-F573)</f>
        <v>16</v>
      </c>
      <c r="H573" s="126" t="s">
        <v>2702</v>
      </c>
      <c r="I573" s="121">
        <v>42958</v>
      </c>
      <c r="J573" s="156" t="s">
        <v>5160</v>
      </c>
    </row>
    <row r="574" spans="1:10" ht="15" customHeight="1" x14ac:dyDescent="0.45">
      <c r="A574" s="114">
        <v>577</v>
      </c>
      <c r="B574" s="130" t="s">
        <v>5598</v>
      </c>
      <c r="C574" s="130" t="s">
        <v>5316</v>
      </c>
      <c r="D574" s="116" t="s">
        <v>5317</v>
      </c>
      <c r="E574" s="130" t="s">
        <v>160</v>
      </c>
      <c r="F574" s="131">
        <v>42942</v>
      </c>
      <c r="G574" s="119">
        <f ca="1">IF(ISBLANK(I574),TODAY()-F574,I574-F574)</f>
        <v>16</v>
      </c>
      <c r="H574" s="126" t="s">
        <v>2702</v>
      </c>
      <c r="I574" s="121">
        <v>42958</v>
      </c>
      <c r="J574" s="156" t="s">
        <v>5160</v>
      </c>
    </row>
    <row r="575" spans="1:10" ht="15" customHeight="1" x14ac:dyDescent="0.45">
      <c r="A575" s="114">
        <v>578</v>
      </c>
      <c r="B575" s="130" t="s">
        <v>5598</v>
      </c>
      <c r="C575" s="130" t="s">
        <v>5318</v>
      </c>
      <c r="D575" s="116" t="s">
        <v>5319</v>
      </c>
      <c r="E575" s="130" t="s">
        <v>160</v>
      </c>
      <c r="F575" s="131">
        <v>42942</v>
      </c>
      <c r="G575" s="119">
        <f ca="1">IF(ISBLANK(I575),TODAY()-F575,I575-F575)</f>
        <v>16</v>
      </c>
      <c r="H575" s="126" t="s">
        <v>2702</v>
      </c>
      <c r="I575" s="121">
        <v>42958</v>
      </c>
      <c r="J575" s="156" t="s">
        <v>5160</v>
      </c>
    </row>
    <row r="576" spans="1:10" ht="15" customHeight="1" x14ac:dyDescent="0.45">
      <c r="A576" s="114">
        <v>564</v>
      </c>
      <c r="B576" s="130" t="s">
        <v>5578</v>
      </c>
      <c r="C576" s="130" t="s">
        <v>5579</v>
      </c>
      <c r="D576" s="130" t="s">
        <v>5580</v>
      </c>
      <c r="E576" s="130">
        <v>0</v>
      </c>
      <c r="F576" s="131">
        <v>42943</v>
      </c>
      <c r="G576" s="119">
        <f ca="1">IF(ISBLANK(I576),TODAY()-F576,I576-F576)</f>
        <v>7</v>
      </c>
      <c r="H576" s="126" t="s">
        <v>64</v>
      </c>
      <c r="I576" s="127">
        <v>42950</v>
      </c>
      <c r="J576" s="122" t="s">
        <v>5160</v>
      </c>
    </row>
    <row r="577" spans="1:10" ht="15" customHeight="1" x14ac:dyDescent="0.45">
      <c r="A577" s="114">
        <v>565</v>
      </c>
      <c r="B577" s="130" t="s">
        <v>5578</v>
      </c>
      <c r="C577" s="130" t="s">
        <v>5581</v>
      </c>
      <c r="D577" s="130" t="s">
        <v>5582</v>
      </c>
      <c r="E577" s="130">
        <v>0</v>
      </c>
      <c r="F577" s="131">
        <v>42943</v>
      </c>
      <c r="G577" s="119">
        <f ca="1">IF(ISBLANK(I577),TODAY()-F577,I577-F577)</f>
        <v>7</v>
      </c>
      <c r="H577" s="126" t="s">
        <v>5493</v>
      </c>
      <c r="I577" s="127">
        <v>42950</v>
      </c>
      <c r="J577" s="183" t="s">
        <v>5160</v>
      </c>
    </row>
    <row r="578" spans="1:10" ht="15" customHeight="1" x14ac:dyDescent="0.45">
      <c r="A578" s="114">
        <v>566</v>
      </c>
      <c r="B578" s="130" t="s">
        <v>5578</v>
      </c>
      <c r="C578" s="130" t="s">
        <v>5583</v>
      </c>
      <c r="D578" s="130" t="s">
        <v>5584</v>
      </c>
      <c r="E578" s="130">
        <v>0</v>
      </c>
      <c r="F578" s="131">
        <v>42943</v>
      </c>
      <c r="G578" s="119">
        <f ca="1">IF(ISBLANK(I578),TODAY()-F578,I578-F578)</f>
        <v>7</v>
      </c>
      <c r="H578" s="126" t="s">
        <v>64</v>
      </c>
      <c r="I578" s="127">
        <v>42950</v>
      </c>
      <c r="J578" s="183" t="s">
        <v>5160</v>
      </c>
    </row>
    <row r="579" spans="1:10" ht="15" customHeight="1" x14ac:dyDescent="0.45">
      <c r="A579" s="114">
        <v>567</v>
      </c>
      <c r="B579" s="130" t="s">
        <v>5578</v>
      </c>
      <c r="C579" s="130" t="s">
        <v>5585</v>
      </c>
      <c r="D579" s="130" t="s">
        <v>5586</v>
      </c>
      <c r="E579" s="130">
        <v>0</v>
      </c>
      <c r="F579" s="131">
        <v>42943</v>
      </c>
      <c r="G579" s="119">
        <f ca="1">IF(ISBLANK(I579),TODAY()-F579,I579-F579)</f>
        <v>7</v>
      </c>
      <c r="H579" s="126" t="s">
        <v>64</v>
      </c>
      <c r="I579" s="127">
        <v>42950</v>
      </c>
      <c r="J579" s="122" t="s">
        <v>5160</v>
      </c>
    </row>
    <row r="580" spans="1:10" ht="15" customHeight="1" x14ac:dyDescent="0.45">
      <c r="A580" s="114">
        <v>574</v>
      </c>
      <c r="B580" s="130" t="s">
        <v>5594</v>
      </c>
      <c r="C580" s="130" t="s">
        <v>5595</v>
      </c>
      <c r="D580" s="116" t="s">
        <v>5287</v>
      </c>
      <c r="E580" s="130">
        <v>0</v>
      </c>
      <c r="F580" s="131">
        <v>42943</v>
      </c>
      <c r="G580" s="119">
        <f ca="1">IF(ISBLANK(I580),TODAY()-F580,I580-F580)</f>
        <v>7</v>
      </c>
      <c r="H580" s="126" t="s">
        <v>64</v>
      </c>
      <c r="I580" s="127">
        <v>42950</v>
      </c>
      <c r="J580" s="122" t="s">
        <v>5160</v>
      </c>
    </row>
    <row r="581" spans="1:10" ht="15" customHeight="1" x14ac:dyDescent="0.45">
      <c r="A581" s="114">
        <v>575</v>
      </c>
      <c r="B581" s="130" t="s">
        <v>5596</v>
      </c>
      <c r="C581" s="130" t="s">
        <v>5597</v>
      </c>
      <c r="D581" s="116" t="s">
        <v>1308</v>
      </c>
      <c r="E581" s="130">
        <v>0</v>
      </c>
      <c r="F581" s="131">
        <v>42943</v>
      </c>
      <c r="G581" s="119">
        <f ca="1">IF(ISBLANK(I581),TODAY()-F581,I581-F581)</f>
        <v>7</v>
      </c>
      <c r="H581" s="126" t="s">
        <v>64</v>
      </c>
      <c r="I581" s="127">
        <v>42950</v>
      </c>
      <c r="J581" s="122" t="s">
        <v>5160</v>
      </c>
    </row>
    <row r="582" spans="1:10" ht="15" customHeight="1" x14ac:dyDescent="0.45">
      <c r="A582" s="114">
        <v>579</v>
      </c>
      <c r="B582" s="130" t="s">
        <v>5599</v>
      </c>
      <c r="C582" s="130" t="s">
        <v>5600</v>
      </c>
      <c r="D582" s="116" t="s">
        <v>5601</v>
      </c>
      <c r="E582" s="130" t="s">
        <v>65</v>
      </c>
      <c r="F582" s="131">
        <v>42944</v>
      </c>
      <c r="G582" s="119">
        <f ca="1">IF(ISBLANK(I582),TODAY()-F582,I582-F582)</f>
        <v>45</v>
      </c>
      <c r="H582" s="126" t="s">
        <v>65</v>
      </c>
      <c r="I582" s="127">
        <v>42989</v>
      </c>
      <c r="J582" s="183" t="s">
        <v>5160</v>
      </c>
    </row>
    <row r="583" spans="1:10" ht="15" customHeight="1" x14ac:dyDescent="0.45">
      <c r="A583" s="114">
        <v>580</v>
      </c>
      <c r="B583" s="130" t="s">
        <v>5599</v>
      </c>
      <c r="C583" s="130" t="s">
        <v>5602</v>
      </c>
      <c r="D583" s="116" t="s">
        <v>5603</v>
      </c>
      <c r="E583" s="130" t="s">
        <v>65</v>
      </c>
      <c r="F583" s="131">
        <v>42944</v>
      </c>
      <c r="G583" s="119">
        <f ca="1">IF(ISBLANK(I583),TODAY()-F583,I583-F583)</f>
        <v>45</v>
      </c>
      <c r="H583" s="126" t="s">
        <v>65</v>
      </c>
      <c r="I583" s="127">
        <v>42989</v>
      </c>
      <c r="J583" s="183" t="s">
        <v>5160</v>
      </c>
    </row>
    <row r="584" spans="1:10" ht="15" customHeight="1" x14ac:dyDescent="0.45">
      <c r="A584" s="114">
        <v>581</v>
      </c>
      <c r="B584" s="130" t="s">
        <v>5599</v>
      </c>
      <c r="C584" s="130" t="s">
        <v>5604</v>
      </c>
      <c r="D584" s="116" t="s">
        <v>5605</v>
      </c>
      <c r="E584" s="130" t="s">
        <v>65</v>
      </c>
      <c r="F584" s="131">
        <v>42944</v>
      </c>
      <c r="G584" s="119">
        <f ca="1">IF(ISBLANK(I584),TODAY()-F584,I584-F584)</f>
        <v>24</v>
      </c>
      <c r="H584" s="126" t="s">
        <v>65</v>
      </c>
      <c r="I584" s="199">
        <v>42968</v>
      </c>
      <c r="J584" s="191" t="s">
        <v>5160</v>
      </c>
    </row>
    <row r="585" spans="1:10" ht="15" customHeight="1" x14ac:dyDescent="0.45">
      <c r="A585" s="114">
        <v>582</v>
      </c>
      <c r="B585" s="130" t="s">
        <v>5599</v>
      </c>
      <c r="C585" s="159" t="s">
        <v>766</v>
      </c>
      <c r="D585" s="159" t="s">
        <v>768</v>
      </c>
      <c r="E585" s="130" t="s">
        <v>65</v>
      </c>
      <c r="F585" s="131">
        <v>42944</v>
      </c>
      <c r="G585" s="119">
        <f ca="1">IF(ISBLANK(I585),TODAY()-F585,I585-F585)</f>
        <v>24</v>
      </c>
      <c r="H585" s="126" t="s">
        <v>65</v>
      </c>
      <c r="I585" s="199">
        <v>42968</v>
      </c>
      <c r="J585" s="191" t="s">
        <v>5160</v>
      </c>
    </row>
    <row r="586" spans="1:10" ht="15" customHeight="1" x14ac:dyDescent="0.45">
      <c r="A586" s="114">
        <v>590</v>
      </c>
      <c r="B586" s="130" t="s">
        <v>5616</v>
      </c>
      <c r="C586" s="130" t="s">
        <v>5617</v>
      </c>
      <c r="D586" s="116" t="s">
        <v>5618</v>
      </c>
      <c r="E586" s="130" t="s">
        <v>5003</v>
      </c>
      <c r="F586" s="131">
        <v>42944</v>
      </c>
      <c r="G586" s="119">
        <f ca="1">IF(ISBLANK(I586),TODAY()-F586,I586-F586)</f>
        <v>27</v>
      </c>
      <c r="H586" s="126" t="s">
        <v>2702</v>
      </c>
      <c r="I586" s="127">
        <v>42971</v>
      </c>
      <c r="J586" s="191" t="s">
        <v>5160</v>
      </c>
    </row>
    <row r="587" spans="1:10" ht="15" customHeight="1" x14ac:dyDescent="0.45">
      <c r="A587" s="114">
        <v>591</v>
      </c>
      <c r="B587" s="130" t="s">
        <v>5619</v>
      </c>
      <c r="C587" s="130" t="s">
        <v>5620</v>
      </c>
      <c r="D587" s="116" t="s">
        <v>544</v>
      </c>
      <c r="E587" s="130" t="s">
        <v>160</v>
      </c>
      <c r="F587" s="131">
        <v>42944</v>
      </c>
      <c r="G587" s="119">
        <f ca="1">IF(ISBLANK(I587),TODAY()-F587,I587-F587)</f>
        <v>27</v>
      </c>
      <c r="H587" s="126" t="s">
        <v>160</v>
      </c>
      <c r="I587" s="127">
        <v>42971</v>
      </c>
      <c r="J587" s="183" t="s">
        <v>5113</v>
      </c>
    </row>
    <row r="588" spans="1:10" ht="15" customHeight="1" x14ac:dyDescent="0.45">
      <c r="A588" s="114">
        <v>592</v>
      </c>
      <c r="B588" s="195" t="s">
        <v>5619</v>
      </c>
      <c r="C588" s="195" t="s">
        <v>5621</v>
      </c>
      <c r="D588" s="159" t="s">
        <v>565</v>
      </c>
      <c r="E588" s="195" t="s">
        <v>160</v>
      </c>
      <c r="F588" s="131">
        <v>42944</v>
      </c>
      <c r="G588" s="119">
        <f ca="1">IF(ISBLANK(I588),TODAY()-F588,I588-F588)</f>
        <v>27</v>
      </c>
      <c r="H588" s="126" t="s">
        <v>2702</v>
      </c>
      <c r="I588" s="127">
        <v>42971</v>
      </c>
      <c r="J588" s="183" t="s">
        <v>5113</v>
      </c>
    </row>
    <row r="589" spans="1:10" ht="15" customHeight="1" x14ac:dyDescent="0.45">
      <c r="A589" s="114">
        <v>610</v>
      </c>
      <c r="B589" s="118" t="s">
        <v>5645</v>
      </c>
      <c r="C589" s="116" t="s">
        <v>346</v>
      </c>
      <c r="D589" s="116" t="s">
        <v>5646</v>
      </c>
      <c r="E589" s="115" t="s">
        <v>65</v>
      </c>
      <c r="F589" s="118">
        <v>42944</v>
      </c>
      <c r="G589" s="119">
        <f ca="1">IF(ISBLANK(I589),TODAY()-F589,I589-F589)</f>
        <v>45</v>
      </c>
      <c r="H589" s="126" t="s">
        <v>65</v>
      </c>
      <c r="I589" s="127">
        <v>42989</v>
      </c>
      <c r="J589" s="122" t="s">
        <v>5160</v>
      </c>
    </row>
    <row r="590" spans="1:10" ht="15" customHeight="1" x14ac:dyDescent="0.45">
      <c r="A590" s="114">
        <v>611</v>
      </c>
      <c r="B590" s="118" t="s">
        <v>5645</v>
      </c>
      <c r="C590" s="116" t="s">
        <v>363</v>
      </c>
      <c r="D590" s="116" t="s">
        <v>365</v>
      </c>
      <c r="E590" s="115" t="s">
        <v>65</v>
      </c>
      <c r="F590" s="118">
        <v>42944</v>
      </c>
      <c r="G590" s="119">
        <f ca="1">IF(ISBLANK(I590),TODAY()-F590,I590-F590)</f>
        <v>45</v>
      </c>
      <c r="H590" s="126" t="s">
        <v>65</v>
      </c>
      <c r="I590" s="127">
        <v>42989</v>
      </c>
      <c r="J590" s="122" t="s">
        <v>5160</v>
      </c>
    </row>
    <row r="591" spans="1:10" ht="15" customHeight="1" x14ac:dyDescent="0.45">
      <c r="A591" s="114">
        <v>612</v>
      </c>
      <c r="B591" s="118" t="s">
        <v>5645</v>
      </c>
      <c r="C591" s="116" t="s">
        <v>375</v>
      </c>
      <c r="D591" s="116" t="s">
        <v>377</v>
      </c>
      <c r="E591" s="115" t="s">
        <v>65</v>
      </c>
      <c r="F591" s="118">
        <v>42944</v>
      </c>
      <c r="G591" s="119">
        <f ca="1">IF(ISBLANK(I591),TODAY()-F591,I591-F591)</f>
        <v>45</v>
      </c>
      <c r="H591" s="126" t="s">
        <v>65</v>
      </c>
      <c r="I591" s="127">
        <v>42989</v>
      </c>
      <c r="J591" s="122" t="s">
        <v>5160</v>
      </c>
    </row>
    <row r="592" spans="1:10" ht="15" customHeight="1" x14ac:dyDescent="0.45">
      <c r="A592" s="114">
        <v>583</v>
      </c>
      <c r="B592" s="130" t="s">
        <v>5606</v>
      </c>
      <c r="C592" s="130" t="s">
        <v>5607</v>
      </c>
      <c r="D592" s="116" t="s">
        <v>5167</v>
      </c>
      <c r="E592" s="130">
        <v>0</v>
      </c>
      <c r="F592" s="131">
        <v>42947</v>
      </c>
      <c r="G592" s="119">
        <f ca="1">IF(ISBLANK(I592),TODAY()-F592,I592-F592)</f>
        <v>25</v>
      </c>
      <c r="H592" s="126" t="s">
        <v>64</v>
      </c>
      <c r="I592" s="127">
        <v>42972</v>
      </c>
      <c r="J592" s="122" t="s">
        <v>5160</v>
      </c>
    </row>
    <row r="593" spans="1:10" ht="15" customHeight="1" x14ac:dyDescent="0.45">
      <c r="A593" s="114">
        <v>584</v>
      </c>
      <c r="B593" s="130" t="s">
        <v>5606</v>
      </c>
      <c r="C593" s="130" t="s">
        <v>5608</v>
      </c>
      <c r="D593" s="116" t="s">
        <v>5168</v>
      </c>
      <c r="E593" s="130">
        <v>0</v>
      </c>
      <c r="F593" s="131">
        <v>42947</v>
      </c>
      <c r="G593" s="119">
        <f ca="1">IF(ISBLANK(I593),TODAY()-F593,I593-F593)</f>
        <v>25</v>
      </c>
      <c r="H593" s="126" t="s">
        <v>64</v>
      </c>
      <c r="I593" s="127">
        <v>42972</v>
      </c>
      <c r="J593" s="183" t="s">
        <v>5160</v>
      </c>
    </row>
    <row r="594" spans="1:10" ht="15" customHeight="1" x14ac:dyDescent="0.45">
      <c r="A594" s="114">
        <v>585</v>
      </c>
      <c r="B594" s="130" t="s">
        <v>5606</v>
      </c>
      <c r="C594" s="130" t="s">
        <v>5609</v>
      </c>
      <c r="D594" s="116" t="s">
        <v>5169</v>
      </c>
      <c r="E594" s="130">
        <v>0</v>
      </c>
      <c r="F594" s="131">
        <v>42947</v>
      </c>
      <c r="G594" s="119">
        <f ca="1">IF(ISBLANK(I594),TODAY()-F594,I594-F594)</f>
        <v>25</v>
      </c>
      <c r="H594" s="126" t="s">
        <v>64</v>
      </c>
      <c r="I594" s="127">
        <v>42972</v>
      </c>
      <c r="J594" s="183" t="s">
        <v>5160</v>
      </c>
    </row>
    <row r="595" spans="1:10" ht="15" customHeight="1" x14ac:dyDescent="0.45">
      <c r="A595" s="114">
        <v>586</v>
      </c>
      <c r="B595" s="130" t="s">
        <v>5610</v>
      </c>
      <c r="C595" s="130" t="s">
        <v>5611</v>
      </c>
      <c r="D595" s="116" t="s">
        <v>5612</v>
      </c>
      <c r="E595" s="130">
        <v>0</v>
      </c>
      <c r="F595" s="131">
        <v>42947</v>
      </c>
      <c r="G595" s="119">
        <f ca="1">IF(ISBLANK(I595),TODAY()-F595,I595-F595)</f>
        <v>11</v>
      </c>
      <c r="H595" s="147" t="s">
        <v>64</v>
      </c>
      <c r="I595" s="127">
        <v>42958</v>
      </c>
      <c r="J595" s="183" t="s">
        <v>5160</v>
      </c>
    </row>
    <row r="596" spans="1:10" ht="15" customHeight="1" x14ac:dyDescent="0.45">
      <c r="A596" s="114">
        <v>587</v>
      </c>
      <c r="B596" s="130" t="s">
        <v>5610</v>
      </c>
      <c r="C596" s="130" t="s">
        <v>5613</v>
      </c>
      <c r="D596" s="116" t="s">
        <v>5614</v>
      </c>
      <c r="E596" s="130">
        <v>0</v>
      </c>
      <c r="F596" s="131">
        <v>42947</v>
      </c>
      <c r="G596" s="119">
        <f ca="1">IF(ISBLANK(I596),TODAY()-F596,I596-F596)</f>
        <v>11</v>
      </c>
      <c r="H596" s="147" t="s">
        <v>64</v>
      </c>
      <c r="I596" s="127">
        <v>42958</v>
      </c>
      <c r="J596" s="183" t="s">
        <v>5160</v>
      </c>
    </row>
    <row r="597" spans="1:10" ht="15" customHeight="1" x14ac:dyDescent="0.45">
      <c r="A597" s="114">
        <v>588</v>
      </c>
      <c r="B597" s="130" t="s">
        <v>5610</v>
      </c>
      <c r="C597" s="130" t="s">
        <v>5423</v>
      </c>
      <c r="D597" s="116" t="s">
        <v>5615</v>
      </c>
      <c r="E597" s="130">
        <v>0</v>
      </c>
      <c r="F597" s="131">
        <v>42947</v>
      </c>
      <c r="G597" s="119">
        <f ca="1">IF(ISBLANK(I597),TODAY()-F597,I597-F597)</f>
        <v>11</v>
      </c>
      <c r="H597" s="147" t="s">
        <v>64</v>
      </c>
      <c r="I597" s="127">
        <v>42958</v>
      </c>
      <c r="J597" s="183" t="s">
        <v>5160</v>
      </c>
    </row>
    <row r="598" spans="1:10" ht="15" customHeight="1" x14ac:dyDescent="0.45">
      <c r="A598" s="114">
        <v>589</v>
      </c>
      <c r="B598" s="130" t="s">
        <v>5610</v>
      </c>
      <c r="C598" s="130" t="s">
        <v>5437</v>
      </c>
      <c r="D598" s="116" t="s">
        <v>5438</v>
      </c>
      <c r="E598" s="130">
        <v>0</v>
      </c>
      <c r="F598" s="131">
        <v>42947</v>
      </c>
      <c r="G598" s="119">
        <f ca="1">IF(ISBLANK(I598),TODAY()-F598,I598-F598)</f>
        <v>11</v>
      </c>
      <c r="H598" s="147" t="s">
        <v>64</v>
      </c>
      <c r="I598" s="127">
        <v>42958</v>
      </c>
      <c r="J598" s="183" t="s">
        <v>5160</v>
      </c>
    </row>
    <row r="599" spans="1:10" ht="15" customHeight="1" x14ac:dyDescent="0.45">
      <c r="A599" s="114">
        <v>593</v>
      </c>
      <c r="B599" s="130" t="s">
        <v>5622</v>
      </c>
      <c r="C599" s="130" t="s">
        <v>5301</v>
      </c>
      <c r="D599" s="116" t="s">
        <v>5302</v>
      </c>
      <c r="E599" s="130">
        <v>0</v>
      </c>
      <c r="F599" s="131">
        <v>42947</v>
      </c>
      <c r="G599" s="119">
        <f ca="1">IF(ISBLANK(I599),TODAY()-F599,I599-F599)</f>
        <v>25</v>
      </c>
      <c r="H599" s="126" t="s">
        <v>5493</v>
      </c>
      <c r="I599" s="127">
        <v>42972</v>
      </c>
      <c r="J599" s="183" t="s">
        <v>5160</v>
      </c>
    </row>
    <row r="600" spans="1:10" ht="15" customHeight="1" x14ac:dyDescent="0.45">
      <c r="A600" s="114">
        <v>594</v>
      </c>
      <c r="B600" s="130" t="s">
        <v>5622</v>
      </c>
      <c r="C600" s="130" t="s">
        <v>5623</v>
      </c>
      <c r="D600" s="116" t="s">
        <v>1440</v>
      </c>
      <c r="E600" s="130">
        <v>0</v>
      </c>
      <c r="F600" s="131">
        <v>42947</v>
      </c>
      <c r="G600" s="119">
        <f ca="1">IF(ISBLANK(I600),TODAY()-F600,I600-F600)</f>
        <v>22</v>
      </c>
      <c r="H600" s="126" t="s">
        <v>5493</v>
      </c>
      <c r="I600" s="127">
        <v>42969</v>
      </c>
      <c r="J600" s="183" t="s">
        <v>5160</v>
      </c>
    </row>
    <row r="601" spans="1:10" ht="15" customHeight="1" x14ac:dyDescent="0.45">
      <c r="A601" s="114">
        <v>595</v>
      </c>
      <c r="B601" s="130" t="s">
        <v>5622</v>
      </c>
      <c r="C601" s="130" t="s">
        <v>5305</v>
      </c>
      <c r="D601" s="116" t="s">
        <v>5306</v>
      </c>
      <c r="E601" s="130">
        <v>0</v>
      </c>
      <c r="F601" s="131">
        <v>42947</v>
      </c>
      <c r="G601" s="119">
        <f ca="1">IF(ISBLANK(I601),TODAY()-F601,I601-F601)</f>
        <v>25</v>
      </c>
      <c r="H601" s="126" t="s">
        <v>5493</v>
      </c>
      <c r="I601" s="127">
        <v>42972</v>
      </c>
      <c r="J601" s="183" t="s">
        <v>5160</v>
      </c>
    </row>
    <row r="602" spans="1:10" ht="15" customHeight="1" x14ac:dyDescent="0.45">
      <c r="A602" s="114">
        <v>596</v>
      </c>
      <c r="B602" s="130" t="s">
        <v>5624</v>
      </c>
      <c r="C602" s="130" t="s">
        <v>5625</v>
      </c>
      <c r="D602" s="116" t="s">
        <v>1391</v>
      </c>
      <c r="E602" s="130">
        <v>0</v>
      </c>
      <c r="F602" s="131">
        <v>42947</v>
      </c>
      <c r="G602" s="119">
        <f ca="1">IF(ISBLANK(I602),TODAY()-F602,I602-F602)</f>
        <v>22</v>
      </c>
      <c r="H602" s="147" t="s">
        <v>64</v>
      </c>
      <c r="I602" s="127">
        <v>42969</v>
      </c>
      <c r="J602" s="183" t="s">
        <v>5160</v>
      </c>
    </row>
    <row r="603" spans="1:10" ht="15" customHeight="1" x14ac:dyDescent="0.45">
      <c r="A603" s="114">
        <v>549</v>
      </c>
      <c r="B603" s="130" t="s">
        <v>5544</v>
      </c>
      <c r="C603" s="130" t="s">
        <v>5545</v>
      </c>
      <c r="D603" s="130" t="s">
        <v>5546</v>
      </c>
      <c r="E603" s="130" t="s">
        <v>5002</v>
      </c>
      <c r="F603" s="118">
        <v>42948</v>
      </c>
      <c r="G603" s="119">
        <f ca="1">IF(ISBLANK(I603),TODAY()-F603,I603-F603)</f>
        <v>41</v>
      </c>
      <c r="H603" s="126" t="s">
        <v>65</v>
      </c>
      <c r="I603" s="127">
        <v>42989</v>
      </c>
      <c r="J603" s="183" t="s">
        <v>5160</v>
      </c>
    </row>
    <row r="604" spans="1:10" ht="15" customHeight="1" x14ac:dyDescent="0.45">
      <c r="A604" s="114">
        <v>597</v>
      </c>
      <c r="B604" s="130" t="s">
        <v>5626</v>
      </c>
      <c r="C604" s="130" t="s">
        <v>5627</v>
      </c>
      <c r="D604" s="116" t="s">
        <v>1431</v>
      </c>
      <c r="E604" s="130" t="s">
        <v>160</v>
      </c>
      <c r="F604" s="118">
        <v>42948</v>
      </c>
      <c r="G604" s="119">
        <f ca="1">IF(ISBLANK(I604),TODAY()-F604,I604-F604)</f>
        <v>41</v>
      </c>
      <c r="H604" s="126" t="s">
        <v>65</v>
      </c>
      <c r="I604" s="127">
        <v>42989</v>
      </c>
      <c r="J604" s="183" t="s">
        <v>5160</v>
      </c>
    </row>
    <row r="605" spans="1:10" ht="15" customHeight="1" x14ac:dyDescent="0.45">
      <c r="A605" s="114">
        <v>598</v>
      </c>
      <c r="B605" s="130" t="s">
        <v>5628</v>
      </c>
      <c r="C605" s="130" t="s">
        <v>5629</v>
      </c>
      <c r="D605" s="116" t="s">
        <v>5630</v>
      </c>
      <c r="E605" s="130" t="s">
        <v>65</v>
      </c>
      <c r="F605" s="118">
        <v>42948</v>
      </c>
      <c r="G605" s="119">
        <f ca="1">IF(ISBLANK(I605),TODAY()-F605,I605-F605)</f>
        <v>23</v>
      </c>
      <c r="H605" s="126" t="s">
        <v>2702</v>
      </c>
      <c r="I605" s="127">
        <v>42971</v>
      </c>
      <c r="J605" s="183" t="s">
        <v>5113</v>
      </c>
    </row>
    <row r="606" spans="1:10" ht="15" customHeight="1" x14ac:dyDescent="0.45">
      <c r="A606" s="114">
        <v>599</v>
      </c>
      <c r="B606" s="130" t="s">
        <v>5628</v>
      </c>
      <c r="C606" s="130" t="s">
        <v>5631</v>
      </c>
      <c r="D606" s="116" t="s">
        <v>1147</v>
      </c>
      <c r="E606" s="130" t="s">
        <v>65</v>
      </c>
      <c r="F606" s="118">
        <v>42948</v>
      </c>
      <c r="G606" s="119">
        <f ca="1">IF(ISBLANK(I606),TODAY()-F606,I606-F606)</f>
        <v>23</v>
      </c>
      <c r="H606" s="170" t="s">
        <v>2702</v>
      </c>
      <c r="I606" s="127">
        <v>42971</v>
      </c>
      <c r="J606" s="183" t="s">
        <v>5113</v>
      </c>
    </row>
    <row r="607" spans="1:10" ht="15" customHeight="1" x14ac:dyDescent="0.45">
      <c r="A607" s="114">
        <v>600</v>
      </c>
      <c r="B607" s="130" t="s">
        <v>5628</v>
      </c>
      <c r="C607" s="130" t="s">
        <v>5632</v>
      </c>
      <c r="D607" s="116" t="s">
        <v>1152</v>
      </c>
      <c r="E607" s="130" t="s">
        <v>65</v>
      </c>
      <c r="F607" s="118">
        <v>42948</v>
      </c>
      <c r="G607" s="119">
        <f ca="1">IF(ISBLANK(I607),TODAY()-F607,I607-F607)</f>
        <v>23</v>
      </c>
      <c r="H607" s="126" t="s">
        <v>2702</v>
      </c>
      <c r="I607" s="127">
        <v>42971</v>
      </c>
      <c r="J607" s="183" t="s">
        <v>5113</v>
      </c>
    </row>
    <row r="608" spans="1:10" ht="15" customHeight="1" x14ac:dyDescent="0.45">
      <c r="A608" s="114">
        <v>601</v>
      </c>
      <c r="B608" s="130" t="s">
        <v>5628</v>
      </c>
      <c r="C608" s="130" t="s">
        <v>5633</v>
      </c>
      <c r="D608" s="116" t="s">
        <v>1155</v>
      </c>
      <c r="E608" s="130" t="s">
        <v>65</v>
      </c>
      <c r="F608" s="118">
        <v>42948</v>
      </c>
      <c r="G608" s="119">
        <f ca="1">IF(ISBLANK(I608),TODAY()-F608,I608-F608)</f>
        <v>23</v>
      </c>
      <c r="H608" s="126" t="s">
        <v>2702</v>
      </c>
      <c r="I608" s="127">
        <v>42971</v>
      </c>
      <c r="J608" s="183" t="s">
        <v>5113</v>
      </c>
    </row>
    <row r="609" spans="1:10" ht="15" customHeight="1" x14ac:dyDescent="0.45">
      <c r="A609" s="114">
        <v>602</v>
      </c>
      <c r="B609" s="130" t="s">
        <v>5628</v>
      </c>
      <c r="C609" s="130" t="s">
        <v>5634</v>
      </c>
      <c r="D609" s="116" t="s">
        <v>5635</v>
      </c>
      <c r="E609" s="130" t="s">
        <v>65</v>
      </c>
      <c r="F609" s="118">
        <v>42948</v>
      </c>
      <c r="G609" s="119">
        <f ca="1">IF(ISBLANK(I609),TODAY()-F609,I609-F609)</f>
        <v>23</v>
      </c>
      <c r="H609" s="126" t="s">
        <v>2702</v>
      </c>
      <c r="I609" s="127">
        <v>42971</v>
      </c>
      <c r="J609" s="183" t="s">
        <v>5113</v>
      </c>
    </row>
    <row r="610" spans="1:10" ht="15" customHeight="1" x14ac:dyDescent="0.45">
      <c r="A610" s="114">
        <v>603</v>
      </c>
      <c r="B610" s="130" t="s">
        <v>5636</v>
      </c>
      <c r="C610" s="130" t="s">
        <v>5637</v>
      </c>
      <c r="D610" s="116" t="s">
        <v>1452</v>
      </c>
      <c r="E610" s="130" t="s">
        <v>65</v>
      </c>
      <c r="F610" s="118">
        <v>42948</v>
      </c>
      <c r="G610" s="119">
        <f ca="1">IF(ISBLANK(I610),TODAY()-F610,I610-F610)</f>
        <v>41</v>
      </c>
      <c r="H610" s="126" t="s">
        <v>164</v>
      </c>
      <c r="I610" s="127">
        <v>42989</v>
      </c>
      <c r="J610" s="183" t="s">
        <v>5160</v>
      </c>
    </row>
    <row r="611" spans="1:10" ht="15" customHeight="1" x14ac:dyDescent="0.45">
      <c r="A611" s="114">
        <v>604</v>
      </c>
      <c r="B611" s="130" t="s">
        <v>5638</v>
      </c>
      <c r="C611" s="130" t="s">
        <v>5639</v>
      </c>
      <c r="D611" s="116" t="s">
        <v>1382</v>
      </c>
      <c r="E611" s="130" t="s">
        <v>160</v>
      </c>
      <c r="F611" s="118">
        <v>42948</v>
      </c>
      <c r="G611" s="119">
        <f ca="1">IF(ISBLANK(I611),TODAY()-F611,I611-F611)</f>
        <v>41</v>
      </c>
      <c r="H611" s="126" t="s">
        <v>65</v>
      </c>
      <c r="I611" s="127">
        <v>42989</v>
      </c>
      <c r="J611" s="183" t="s">
        <v>5160</v>
      </c>
    </row>
    <row r="612" spans="1:10" ht="15" customHeight="1" x14ac:dyDescent="0.45">
      <c r="A612" s="114">
        <v>605</v>
      </c>
      <c r="B612" s="130" t="s">
        <v>5638</v>
      </c>
      <c r="C612" s="130" t="s">
        <v>5237</v>
      </c>
      <c r="D612" s="116" t="s">
        <v>1385</v>
      </c>
      <c r="E612" s="130" t="s">
        <v>160</v>
      </c>
      <c r="F612" s="118">
        <v>42948</v>
      </c>
      <c r="G612" s="119">
        <f ca="1">IF(ISBLANK(I612),TODAY()-F612,I612-F612)</f>
        <v>41</v>
      </c>
      <c r="H612" s="126" t="s">
        <v>65</v>
      </c>
      <c r="I612" s="127">
        <v>42989</v>
      </c>
      <c r="J612" s="183" t="s">
        <v>5160</v>
      </c>
    </row>
    <row r="613" spans="1:10" ht="15" customHeight="1" x14ac:dyDescent="0.45">
      <c r="A613" s="114">
        <v>606</v>
      </c>
      <c r="B613" s="130" t="s">
        <v>5638</v>
      </c>
      <c r="C613" s="130" t="s">
        <v>5640</v>
      </c>
      <c r="D613" s="116" t="s">
        <v>1422</v>
      </c>
      <c r="E613" s="130" t="s">
        <v>160</v>
      </c>
      <c r="F613" s="118">
        <v>42948</v>
      </c>
      <c r="G613" s="119">
        <f ca="1">IF(ISBLANK(I613),TODAY()-F613,I613-F613)</f>
        <v>41</v>
      </c>
      <c r="H613" s="126" t="s">
        <v>65</v>
      </c>
      <c r="I613" s="127">
        <v>42989</v>
      </c>
      <c r="J613" s="183" t="s">
        <v>5160</v>
      </c>
    </row>
    <row r="614" spans="1:10" ht="15" customHeight="1" x14ac:dyDescent="0.45">
      <c r="A614" s="114">
        <v>607</v>
      </c>
      <c r="B614" s="130" t="s">
        <v>5638</v>
      </c>
      <c r="C614" s="130" t="s">
        <v>5239</v>
      </c>
      <c r="D614" s="116" t="s">
        <v>1425</v>
      </c>
      <c r="E614" s="130" t="s">
        <v>160</v>
      </c>
      <c r="F614" s="118">
        <v>42948</v>
      </c>
      <c r="G614" s="119">
        <f ca="1">IF(ISBLANK(I614),TODAY()-F614,I614-F614)</f>
        <v>41</v>
      </c>
      <c r="H614" s="126" t="s">
        <v>65</v>
      </c>
      <c r="I614" s="127">
        <v>42989</v>
      </c>
      <c r="J614" s="183" t="s">
        <v>5160</v>
      </c>
    </row>
    <row r="615" spans="1:10" ht="15" customHeight="1" x14ac:dyDescent="0.45">
      <c r="A615" s="114">
        <v>608</v>
      </c>
      <c r="B615" s="130" t="s">
        <v>5641</v>
      </c>
      <c r="C615" s="130" t="s">
        <v>5084</v>
      </c>
      <c r="D615" s="116" t="s">
        <v>5642</v>
      </c>
      <c r="E615" s="130" t="s">
        <v>5062</v>
      </c>
      <c r="F615" s="118">
        <v>42948</v>
      </c>
      <c r="G615" s="119">
        <f ca="1">IF(ISBLANK(I615),TODAY()-F615,I615-F615)</f>
        <v>23</v>
      </c>
      <c r="H615" s="126" t="s">
        <v>65</v>
      </c>
      <c r="I615" s="127">
        <v>42971</v>
      </c>
      <c r="J615" s="183" t="s">
        <v>5113</v>
      </c>
    </row>
    <row r="616" spans="1:10" ht="15" customHeight="1" x14ac:dyDescent="0.45">
      <c r="A616" s="114">
        <v>609</v>
      </c>
      <c r="B616" s="130" t="s">
        <v>5641</v>
      </c>
      <c r="C616" s="130" t="s">
        <v>5643</v>
      </c>
      <c r="D616" s="116" t="s">
        <v>5644</v>
      </c>
      <c r="E616" s="130" t="s">
        <v>5062</v>
      </c>
      <c r="F616" s="118">
        <v>42948</v>
      </c>
      <c r="G616" s="119">
        <f ca="1">IF(ISBLANK(I616),TODAY()-F616,I616-F616)</f>
        <v>23</v>
      </c>
      <c r="H616" s="126" t="s">
        <v>65</v>
      </c>
      <c r="I616" s="127">
        <v>42971</v>
      </c>
      <c r="J616" s="183" t="s">
        <v>5113</v>
      </c>
    </row>
    <row r="617" spans="1:10" ht="15" customHeight="1" x14ac:dyDescent="0.45">
      <c r="A617" s="114">
        <v>613</v>
      </c>
      <c r="B617" s="118" t="s">
        <v>5647</v>
      </c>
      <c r="C617" s="135" t="s">
        <v>5648</v>
      </c>
      <c r="D617" s="135" t="s">
        <v>5649</v>
      </c>
      <c r="E617" s="115" t="s">
        <v>65</v>
      </c>
      <c r="F617" s="118">
        <v>42954</v>
      </c>
      <c r="G617" s="119">
        <f ca="1">IF(ISBLANK(I617),TODAY()-F617,I617-F617)</f>
        <v>17</v>
      </c>
      <c r="H617" s="204" t="s">
        <v>164</v>
      </c>
      <c r="I617" s="180">
        <v>42971</v>
      </c>
      <c r="J617" s="183" t="s">
        <v>5113</v>
      </c>
    </row>
    <row r="618" spans="1:10" ht="15" customHeight="1" x14ac:dyDescent="0.45">
      <c r="A618" s="114">
        <v>614</v>
      </c>
      <c r="B618" s="118" t="s">
        <v>5647</v>
      </c>
      <c r="C618" s="135" t="s">
        <v>5650</v>
      </c>
      <c r="D618" s="135" t="s">
        <v>5651</v>
      </c>
      <c r="E618" s="115" t="s">
        <v>65</v>
      </c>
      <c r="F618" s="118">
        <v>42954</v>
      </c>
      <c r="G618" s="119">
        <f ca="1">IF(ISBLANK(I618),TODAY()-F618,I618-F618)</f>
        <v>14</v>
      </c>
      <c r="H618" s="126" t="s">
        <v>2702</v>
      </c>
      <c r="I618" s="121">
        <v>42968</v>
      </c>
      <c r="J618" s="191" t="s">
        <v>5160</v>
      </c>
    </row>
    <row r="619" spans="1:10" ht="15" customHeight="1" x14ac:dyDescent="0.45">
      <c r="A619" s="114">
        <v>615</v>
      </c>
      <c r="B619" s="118" t="s">
        <v>5647</v>
      </c>
      <c r="C619" s="135" t="s">
        <v>5652</v>
      </c>
      <c r="D619" s="135" t="s">
        <v>5653</v>
      </c>
      <c r="E619" s="115" t="s">
        <v>65</v>
      </c>
      <c r="F619" s="118">
        <v>42954</v>
      </c>
      <c r="G619" s="119">
        <f ca="1">IF(ISBLANK(I619),TODAY()-F619,I619-F619)</f>
        <v>17</v>
      </c>
      <c r="H619" s="204" t="s">
        <v>164</v>
      </c>
      <c r="I619" s="180">
        <v>42971</v>
      </c>
      <c r="J619" s="183" t="s">
        <v>5113</v>
      </c>
    </row>
    <row r="620" spans="1:10" ht="15" customHeight="1" x14ac:dyDescent="0.45">
      <c r="A620" s="114">
        <v>616</v>
      </c>
      <c r="B620" s="118" t="s">
        <v>5647</v>
      </c>
      <c r="C620" s="135" t="s">
        <v>5654</v>
      </c>
      <c r="D620" s="135" t="s">
        <v>5655</v>
      </c>
      <c r="E620" s="115" t="s">
        <v>65</v>
      </c>
      <c r="F620" s="118">
        <v>42954</v>
      </c>
      <c r="G620" s="119">
        <f ca="1">IF(ISBLANK(I620),TODAY()-F620,I620-F620)</f>
        <v>14</v>
      </c>
      <c r="H620" s="204" t="s">
        <v>160</v>
      </c>
      <c r="I620" s="199">
        <v>42968</v>
      </c>
      <c r="J620" s="191" t="s">
        <v>5160</v>
      </c>
    </row>
    <row r="621" spans="1:10" ht="15" customHeight="1" x14ac:dyDescent="0.45">
      <c r="A621" s="114">
        <v>617</v>
      </c>
      <c r="B621" s="118" t="s">
        <v>5647</v>
      </c>
      <c r="C621" s="135" t="s">
        <v>5656</v>
      </c>
      <c r="D621" s="135" t="s">
        <v>5657</v>
      </c>
      <c r="E621" s="115" t="s">
        <v>65</v>
      </c>
      <c r="F621" s="118">
        <v>42954</v>
      </c>
      <c r="G621" s="119">
        <f ca="1">IF(ISBLANK(I621),TODAY()-F621,I621-F621)</f>
        <v>14</v>
      </c>
      <c r="H621" s="126" t="s">
        <v>2702</v>
      </c>
      <c r="I621" s="199">
        <v>42968</v>
      </c>
      <c r="J621" s="191" t="s">
        <v>5160</v>
      </c>
    </row>
    <row r="622" spans="1:10" ht="15" customHeight="1" x14ac:dyDescent="0.45">
      <c r="A622" s="114">
        <v>618</v>
      </c>
      <c r="B622" s="118" t="s">
        <v>5647</v>
      </c>
      <c r="C622" s="135" t="s">
        <v>5658</v>
      </c>
      <c r="D622" s="135" t="s">
        <v>5659</v>
      </c>
      <c r="E622" s="115" t="s">
        <v>65</v>
      </c>
      <c r="F622" s="118">
        <v>42954</v>
      </c>
      <c r="G622" s="119">
        <f ca="1">IF(ISBLANK(I622),TODAY()-F622,I622-F622)</f>
        <v>14</v>
      </c>
      <c r="H622" s="126" t="s">
        <v>2702</v>
      </c>
      <c r="I622" s="121">
        <v>42968</v>
      </c>
      <c r="J622" s="191" t="s">
        <v>5160</v>
      </c>
    </row>
    <row r="623" spans="1:10" ht="15" customHeight="1" x14ac:dyDescent="0.45">
      <c r="A623" s="114">
        <v>619</v>
      </c>
      <c r="B623" s="118" t="s">
        <v>5647</v>
      </c>
      <c r="C623" s="135" t="s">
        <v>5660</v>
      </c>
      <c r="D623" s="135" t="s">
        <v>5661</v>
      </c>
      <c r="E623" s="115" t="s">
        <v>65</v>
      </c>
      <c r="F623" s="118">
        <v>42954</v>
      </c>
      <c r="G623" s="119">
        <f ca="1">IF(ISBLANK(I623),TODAY()-F623,I623-F623)</f>
        <v>35</v>
      </c>
      <c r="H623" s="126" t="s">
        <v>65</v>
      </c>
      <c r="I623" s="127">
        <v>42989</v>
      </c>
      <c r="J623" s="183" t="s">
        <v>5160</v>
      </c>
    </row>
    <row r="624" spans="1:10" ht="15" customHeight="1" x14ac:dyDescent="0.45">
      <c r="A624" s="114">
        <v>620</v>
      </c>
      <c r="B624" s="118" t="s">
        <v>5647</v>
      </c>
      <c r="C624" s="135" t="s">
        <v>5662</v>
      </c>
      <c r="D624" s="135" t="s">
        <v>5663</v>
      </c>
      <c r="E624" s="115" t="s">
        <v>65</v>
      </c>
      <c r="F624" s="118">
        <v>42954</v>
      </c>
      <c r="G624" s="119">
        <f ca="1">IF(ISBLANK(I624),TODAY()-F624,I624-F624)</f>
        <v>17</v>
      </c>
      <c r="H624" s="204" t="s">
        <v>164</v>
      </c>
      <c r="I624" s="180">
        <v>42971</v>
      </c>
      <c r="J624" s="183" t="s">
        <v>5113</v>
      </c>
    </row>
    <row r="625" spans="1:10" ht="15" customHeight="1" x14ac:dyDescent="0.45">
      <c r="A625" s="114">
        <v>621</v>
      </c>
      <c r="B625" s="118" t="s">
        <v>5647</v>
      </c>
      <c r="C625" s="135" t="s">
        <v>5664</v>
      </c>
      <c r="D625" s="135" t="s">
        <v>5665</v>
      </c>
      <c r="E625" s="115" t="s">
        <v>65</v>
      </c>
      <c r="F625" s="118">
        <v>42954</v>
      </c>
      <c r="G625" s="119">
        <f ca="1">IF(ISBLANK(I625),TODAY()-F625,I625-F625)</f>
        <v>14</v>
      </c>
      <c r="H625" s="126" t="s">
        <v>2702</v>
      </c>
      <c r="I625" s="121">
        <v>42968</v>
      </c>
      <c r="J625" s="191" t="s">
        <v>5160</v>
      </c>
    </row>
    <row r="626" spans="1:10" ht="15" customHeight="1" x14ac:dyDescent="0.45">
      <c r="A626" s="114">
        <v>622</v>
      </c>
      <c r="B626" s="118" t="s">
        <v>5647</v>
      </c>
      <c r="C626" s="135" t="s">
        <v>5666</v>
      </c>
      <c r="D626" s="135" t="s">
        <v>5667</v>
      </c>
      <c r="E626" s="115" t="s">
        <v>65</v>
      </c>
      <c r="F626" s="118">
        <v>42954</v>
      </c>
      <c r="G626" s="119">
        <f ca="1">IF(ISBLANK(I626),TODAY()-F626,I626-F626)</f>
        <v>17</v>
      </c>
      <c r="H626" s="204" t="s">
        <v>164</v>
      </c>
      <c r="I626" s="180">
        <v>42971</v>
      </c>
      <c r="J626" s="183" t="s">
        <v>5113</v>
      </c>
    </row>
    <row r="627" spans="1:10" ht="15" customHeight="1" x14ac:dyDescent="0.45">
      <c r="A627" s="114">
        <v>623</v>
      </c>
      <c r="B627" s="118" t="s">
        <v>5647</v>
      </c>
      <c r="C627" s="135" t="s">
        <v>5668</v>
      </c>
      <c r="D627" s="135" t="s">
        <v>5669</v>
      </c>
      <c r="E627" s="115" t="s">
        <v>65</v>
      </c>
      <c r="F627" s="118">
        <v>42954</v>
      </c>
      <c r="G627" s="119">
        <f ca="1">IF(ISBLANK(I627),TODAY()-F627,I627-F627)</f>
        <v>14</v>
      </c>
      <c r="H627" s="204" t="s">
        <v>160</v>
      </c>
      <c r="I627" s="199">
        <v>42968</v>
      </c>
      <c r="J627" s="191" t="s">
        <v>5160</v>
      </c>
    </row>
    <row r="628" spans="1:10" ht="15" customHeight="1" x14ac:dyDescent="0.45">
      <c r="A628" s="114">
        <v>624</v>
      </c>
      <c r="B628" s="118" t="s">
        <v>5647</v>
      </c>
      <c r="C628" s="135" t="s">
        <v>5670</v>
      </c>
      <c r="D628" s="135" t="s">
        <v>5671</v>
      </c>
      <c r="E628" s="115" t="s">
        <v>65</v>
      </c>
      <c r="F628" s="118">
        <v>42954</v>
      </c>
      <c r="G628" s="119">
        <f ca="1">IF(ISBLANK(I628),TODAY()-F628,I628-F628)</f>
        <v>14</v>
      </c>
      <c r="H628" s="126" t="s">
        <v>2702</v>
      </c>
      <c r="I628" s="199">
        <v>42968</v>
      </c>
      <c r="J628" s="191" t="s">
        <v>5160</v>
      </c>
    </row>
    <row r="629" spans="1:10" ht="15" customHeight="1" x14ac:dyDescent="0.45">
      <c r="A629" s="114">
        <v>625</v>
      </c>
      <c r="B629" s="118" t="s">
        <v>5647</v>
      </c>
      <c r="C629" s="135" t="s">
        <v>5672</v>
      </c>
      <c r="D629" s="135" t="s">
        <v>5673</v>
      </c>
      <c r="E629" s="115" t="s">
        <v>65</v>
      </c>
      <c r="F629" s="118">
        <v>42954</v>
      </c>
      <c r="G629" s="119">
        <f ca="1">IF(ISBLANK(I629),TODAY()-F629,I629-F629)</f>
        <v>14</v>
      </c>
      <c r="H629" s="126" t="s">
        <v>2702</v>
      </c>
      <c r="I629" s="121">
        <v>42968</v>
      </c>
      <c r="J629" s="191" t="s">
        <v>5160</v>
      </c>
    </row>
    <row r="630" spans="1:10" ht="15" customHeight="1" x14ac:dyDescent="0.45">
      <c r="A630" s="114">
        <v>626</v>
      </c>
      <c r="B630" s="118" t="s">
        <v>5647</v>
      </c>
      <c r="C630" s="135" t="s">
        <v>5674</v>
      </c>
      <c r="D630" s="135" t="s">
        <v>5675</v>
      </c>
      <c r="E630" s="115" t="s">
        <v>65</v>
      </c>
      <c r="F630" s="118">
        <v>42954</v>
      </c>
      <c r="G630" s="119">
        <f ca="1">IF(ISBLANK(I630),TODAY()-F630,I630-F630)</f>
        <v>35</v>
      </c>
      <c r="H630" s="126" t="s">
        <v>65</v>
      </c>
      <c r="I630" s="180">
        <v>42989</v>
      </c>
      <c r="J630" s="183" t="s">
        <v>5160</v>
      </c>
    </row>
    <row r="631" spans="1:10" ht="15" customHeight="1" x14ac:dyDescent="0.45">
      <c r="A631" s="114">
        <v>627</v>
      </c>
      <c r="B631" s="167" t="s">
        <v>5647</v>
      </c>
      <c r="C631" s="168" t="s">
        <v>5676</v>
      </c>
      <c r="D631" s="168" t="s">
        <v>5677</v>
      </c>
      <c r="E631" s="169" t="s">
        <v>65</v>
      </c>
      <c r="F631" s="167">
        <v>42954</v>
      </c>
      <c r="G631" s="119">
        <f ca="1">IF(ISBLANK(I631),TODAY()-F631,I631-F631)</f>
        <v>14</v>
      </c>
      <c r="H631" s="205" t="s">
        <v>65</v>
      </c>
      <c r="I631" s="199">
        <v>42968</v>
      </c>
      <c r="J631" s="191" t="s">
        <v>5160</v>
      </c>
    </row>
    <row r="632" spans="1:10" ht="15" customHeight="1" x14ac:dyDescent="0.45">
      <c r="A632" s="114">
        <v>628</v>
      </c>
      <c r="B632" s="118" t="s">
        <v>5647</v>
      </c>
      <c r="C632" s="116" t="s">
        <v>5678</v>
      </c>
      <c r="D632" s="116" t="s">
        <v>5679</v>
      </c>
      <c r="E632" s="115" t="s">
        <v>65</v>
      </c>
      <c r="F632" s="118">
        <v>42954</v>
      </c>
      <c r="G632" s="119">
        <f ca="1">IF(ISBLANK(I632),TODAY()-F632,I632-F632)</f>
        <v>14</v>
      </c>
      <c r="H632" s="204" t="s">
        <v>65</v>
      </c>
      <c r="I632" s="121">
        <v>42968</v>
      </c>
      <c r="J632" s="385" t="s">
        <v>5160</v>
      </c>
    </row>
    <row r="633" spans="1:10" ht="15" customHeight="1" x14ac:dyDescent="0.45">
      <c r="A633" s="114">
        <v>629</v>
      </c>
      <c r="B633" s="118" t="s">
        <v>5680</v>
      </c>
      <c r="C633" s="116" t="s">
        <v>5255</v>
      </c>
      <c r="D633" s="116" t="s">
        <v>5256</v>
      </c>
      <c r="E633" s="115" t="s">
        <v>160</v>
      </c>
      <c r="F633" s="118">
        <v>42957</v>
      </c>
      <c r="G633" s="119">
        <f ca="1">IF(ISBLANK(I633),TODAY()-F633,I633-F633)</f>
        <v>14</v>
      </c>
      <c r="H633" s="204" t="s">
        <v>65</v>
      </c>
      <c r="I633" s="127">
        <v>42971</v>
      </c>
      <c r="J633" s="122" t="s">
        <v>5113</v>
      </c>
    </row>
    <row r="634" spans="1:10" ht="15" customHeight="1" x14ac:dyDescent="0.45">
      <c r="A634" s="114">
        <v>630</v>
      </c>
      <c r="B634" s="118" t="s">
        <v>5680</v>
      </c>
      <c r="C634" s="116" t="s">
        <v>5257</v>
      </c>
      <c r="D634" s="116" t="s">
        <v>5258</v>
      </c>
      <c r="E634" s="115" t="s">
        <v>160</v>
      </c>
      <c r="F634" s="118">
        <v>42957</v>
      </c>
      <c r="G634" s="119">
        <f ca="1">IF(ISBLANK(I634),TODAY()-F634,I634-F634)</f>
        <v>14</v>
      </c>
      <c r="H634" s="204" t="s">
        <v>65</v>
      </c>
      <c r="I634" s="127">
        <v>42971</v>
      </c>
      <c r="J634" s="122" t="s">
        <v>5113</v>
      </c>
    </row>
    <row r="635" spans="1:10" ht="15" customHeight="1" x14ac:dyDescent="0.45">
      <c r="A635" s="114">
        <v>631</v>
      </c>
      <c r="B635" s="118" t="s">
        <v>5680</v>
      </c>
      <c r="C635" s="116" t="s">
        <v>5259</v>
      </c>
      <c r="D635" s="116" t="s">
        <v>5260</v>
      </c>
      <c r="E635" s="115" t="s">
        <v>160</v>
      </c>
      <c r="F635" s="118">
        <v>42957</v>
      </c>
      <c r="G635" s="119">
        <f ca="1">IF(ISBLANK(I635),TODAY()-F635,I635-F635)</f>
        <v>14</v>
      </c>
      <c r="H635" s="204" t="s">
        <v>65</v>
      </c>
      <c r="I635" s="127">
        <v>42971</v>
      </c>
      <c r="J635" s="122" t="s">
        <v>5113</v>
      </c>
    </row>
    <row r="636" spans="1:10" ht="15" customHeight="1" x14ac:dyDescent="0.45">
      <c r="A636" s="114">
        <v>632</v>
      </c>
      <c r="B636" s="118" t="s">
        <v>5680</v>
      </c>
      <c r="C636" s="116" t="s">
        <v>5261</v>
      </c>
      <c r="D636" s="116" t="s">
        <v>5262</v>
      </c>
      <c r="E636" s="115" t="s">
        <v>160</v>
      </c>
      <c r="F636" s="118">
        <v>42957</v>
      </c>
      <c r="G636" s="119">
        <f ca="1">IF(ISBLANK(I636),TODAY()-F636,I636-F636)</f>
        <v>14</v>
      </c>
      <c r="H636" s="204" t="s">
        <v>160</v>
      </c>
      <c r="I636" s="127">
        <v>42971</v>
      </c>
      <c r="J636" s="122" t="s">
        <v>5113</v>
      </c>
    </row>
    <row r="637" spans="1:10" ht="15" customHeight="1" x14ac:dyDescent="0.45">
      <c r="A637" s="114">
        <v>633</v>
      </c>
      <c r="B637" s="118" t="s">
        <v>5680</v>
      </c>
      <c r="C637" s="116" t="s">
        <v>5263</v>
      </c>
      <c r="D637" s="116" t="s">
        <v>5264</v>
      </c>
      <c r="E637" s="115" t="s">
        <v>160</v>
      </c>
      <c r="F637" s="118">
        <v>42957</v>
      </c>
      <c r="G637" s="119">
        <f ca="1">IF(ISBLANK(I637),TODAY()-F637,I637-F637)</f>
        <v>14</v>
      </c>
      <c r="H637" s="204" t="s">
        <v>65</v>
      </c>
      <c r="I637" s="127">
        <v>42971</v>
      </c>
      <c r="J637" s="122" t="s">
        <v>5113</v>
      </c>
    </row>
    <row r="638" spans="1:10" ht="15" customHeight="1" x14ac:dyDescent="0.45">
      <c r="A638" s="114">
        <v>634</v>
      </c>
      <c r="B638" s="118" t="s">
        <v>5680</v>
      </c>
      <c r="C638" s="116" t="s">
        <v>5265</v>
      </c>
      <c r="D638" s="116" t="s">
        <v>2133</v>
      </c>
      <c r="E638" s="115" t="s">
        <v>160</v>
      </c>
      <c r="F638" s="118">
        <v>42957</v>
      </c>
      <c r="G638" s="119">
        <f ca="1">IF(ISBLANK(I638),TODAY()-F638,I638-F638)</f>
        <v>14</v>
      </c>
      <c r="H638" s="204" t="s">
        <v>65</v>
      </c>
      <c r="I638" s="127">
        <v>42971</v>
      </c>
      <c r="J638" s="122" t="s">
        <v>5113</v>
      </c>
    </row>
    <row r="639" spans="1:10" ht="15" customHeight="1" x14ac:dyDescent="0.45">
      <c r="A639" s="114">
        <v>635</v>
      </c>
      <c r="B639" s="118" t="s">
        <v>5680</v>
      </c>
      <c r="C639" s="116" t="s">
        <v>5266</v>
      </c>
      <c r="D639" s="116" t="s">
        <v>5267</v>
      </c>
      <c r="E639" s="115" t="s">
        <v>160</v>
      </c>
      <c r="F639" s="118">
        <v>42957</v>
      </c>
      <c r="G639" s="119">
        <f ca="1">IF(ISBLANK(I639),TODAY()-F639,I639-F639)</f>
        <v>14</v>
      </c>
      <c r="H639" s="204" t="s">
        <v>65</v>
      </c>
      <c r="I639" s="127">
        <v>42971</v>
      </c>
      <c r="J639" s="122" t="s">
        <v>5113</v>
      </c>
    </row>
    <row r="640" spans="1:10" ht="15" customHeight="1" x14ac:dyDescent="0.45">
      <c r="A640" s="114">
        <v>636</v>
      </c>
      <c r="B640" s="118" t="s">
        <v>5680</v>
      </c>
      <c r="C640" s="116" t="s">
        <v>5268</v>
      </c>
      <c r="D640" s="116" t="s">
        <v>5269</v>
      </c>
      <c r="E640" s="115" t="s">
        <v>160</v>
      </c>
      <c r="F640" s="118">
        <v>42957</v>
      </c>
      <c r="G640" s="119">
        <f ca="1">IF(ISBLANK(I640),TODAY()-F640,I640-F640)</f>
        <v>14</v>
      </c>
      <c r="H640" s="204" t="s">
        <v>160</v>
      </c>
      <c r="I640" s="127">
        <v>42971</v>
      </c>
      <c r="J640" s="122" t="s">
        <v>5113</v>
      </c>
    </row>
    <row r="641" spans="1:10" ht="15" customHeight="1" x14ac:dyDescent="0.45">
      <c r="A641" s="114">
        <v>637</v>
      </c>
      <c r="B641" s="118" t="s">
        <v>5680</v>
      </c>
      <c r="C641" s="116" t="s">
        <v>5270</v>
      </c>
      <c r="D641" s="116" t="s">
        <v>5271</v>
      </c>
      <c r="E641" s="115" t="s">
        <v>160</v>
      </c>
      <c r="F641" s="118">
        <v>42957</v>
      </c>
      <c r="G641" s="119">
        <f ca="1">IF(ISBLANK(I641),TODAY()-F641,I641-F641)</f>
        <v>14</v>
      </c>
      <c r="H641" s="204" t="s">
        <v>65</v>
      </c>
      <c r="I641" s="127">
        <v>42971</v>
      </c>
      <c r="J641" s="122" t="s">
        <v>5113</v>
      </c>
    </row>
    <row r="642" spans="1:10" ht="15" customHeight="1" x14ac:dyDescent="0.45">
      <c r="A642" s="114">
        <v>638</v>
      </c>
      <c r="B642" s="167" t="s">
        <v>5680</v>
      </c>
      <c r="C642" s="168" t="s">
        <v>5272</v>
      </c>
      <c r="D642" s="168" t="s">
        <v>5273</v>
      </c>
      <c r="E642" s="169" t="s">
        <v>160</v>
      </c>
      <c r="F642" s="118">
        <v>42957</v>
      </c>
      <c r="G642" s="119">
        <f ca="1">IF(ISBLANK(I642),TODAY()-F642,I642-F642)</f>
        <v>14</v>
      </c>
      <c r="H642" s="204" t="s">
        <v>65</v>
      </c>
      <c r="I642" s="127">
        <v>42971</v>
      </c>
      <c r="J642" s="122" t="s">
        <v>5113</v>
      </c>
    </row>
    <row r="643" spans="1:10" ht="15" customHeight="1" x14ac:dyDescent="0.45">
      <c r="A643" s="114">
        <v>639</v>
      </c>
      <c r="B643" s="118" t="s">
        <v>5680</v>
      </c>
      <c r="C643" s="116" t="s">
        <v>5274</v>
      </c>
      <c r="D643" s="116" t="s">
        <v>5275</v>
      </c>
      <c r="E643" s="115" t="s">
        <v>160</v>
      </c>
      <c r="F643" s="118">
        <v>42957</v>
      </c>
      <c r="G643" s="119">
        <f ca="1">IF(ISBLANK(I643),TODAY()-F643,I643-F643)</f>
        <v>14</v>
      </c>
      <c r="H643" s="204" t="s">
        <v>160</v>
      </c>
      <c r="I643" s="127">
        <v>42971</v>
      </c>
      <c r="J643" s="183" t="s">
        <v>5113</v>
      </c>
    </row>
    <row r="644" spans="1:10" ht="15" customHeight="1" x14ac:dyDescent="0.45">
      <c r="A644" s="114">
        <v>640</v>
      </c>
      <c r="B644" s="118" t="s">
        <v>1610</v>
      </c>
      <c r="C644" s="129" t="s">
        <v>5328</v>
      </c>
      <c r="D644" s="129" t="s">
        <v>5329</v>
      </c>
      <c r="E644" s="115">
        <v>0</v>
      </c>
      <c r="F644" s="118">
        <v>42962</v>
      </c>
      <c r="G644" s="119">
        <f ca="1">IF(ISBLANK(I644),TODAY()-F644,I644-F644)</f>
        <v>10</v>
      </c>
      <c r="H644" s="126" t="s">
        <v>64</v>
      </c>
      <c r="I644" s="127">
        <v>42972</v>
      </c>
      <c r="J644" s="183" t="s">
        <v>5160</v>
      </c>
    </row>
    <row r="645" spans="1:10" ht="15" customHeight="1" x14ac:dyDescent="0.45">
      <c r="A645" s="114">
        <v>641</v>
      </c>
      <c r="B645" s="118" t="s">
        <v>1610</v>
      </c>
      <c r="C645" s="129" t="s">
        <v>5314</v>
      </c>
      <c r="D645" s="129" t="s">
        <v>5315</v>
      </c>
      <c r="E645" s="115">
        <v>0</v>
      </c>
      <c r="F645" s="118">
        <v>42962</v>
      </c>
      <c r="G645" s="119">
        <f ca="1">IF(ISBLANK(I645),TODAY()-F645,I645-F645)</f>
        <v>10</v>
      </c>
      <c r="H645" s="126" t="s">
        <v>64</v>
      </c>
      <c r="I645" s="127">
        <v>42972</v>
      </c>
      <c r="J645" s="122" t="s">
        <v>5160</v>
      </c>
    </row>
    <row r="646" spans="1:10" ht="15" customHeight="1" x14ac:dyDescent="0.45">
      <c r="A646" s="114">
        <v>642</v>
      </c>
      <c r="B646" s="118" t="s">
        <v>1610</v>
      </c>
      <c r="C646" s="129" t="s">
        <v>5229</v>
      </c>
      <c r="D646" s="129" t="s">
        <v>5230</v>
      </c>
      <c r="E646" s="115">
        <v>0</v>
      </c>
      <c r="F646" s="118">
        <v>42962</v>
      </c>
      <c r="G646" s="119">
        <f ca="1">IF(ISBLANK(I646),TODAY()-F646,I646-F646)</f>
        <v>10</v>
      </c>
      <c r="H646" s="126" t="s">
        <v>64</v>
      </c>
      <c r="I646" s="127">
        <v>42972</v>
      </c>
      <c r="J646" s="183" t="s">
        <v>5160</v>
      </c>
    </row>
    <row r="647" spans="1:10" ht="15" customHeight="1" x14ac:dyDescent="0.45">
      <c r="A647" s="114">
        <v>643</v>
      </c>
      <c r="B647" s="118" t="s">
        <v>1610</v>
      </c>
      <c r="C647" s="129" t="s">
        <v>5292</v>
      </c>
      <c r="D647" s="129" t="s">
        <v>5293</v>
      </c>
      <c r="E647" s="115">
        <v>0</v>
      </c>
      <c r="F647" s="118">
        <v>42962</v>
      </c>
      <c r="G647" s="119">
        <f ca="1">IF(ISBLANK(I647),TODAY()-F647,I647-F647)</f>
        <v>10</v>
      </c>
      <c r="H647" s="126" t="s">
        <v>64</v>
      </c>
      <c r="I647" s="127">
        <v>42972</v>
      </c>
      <c r="J647" s="183" t="s">
        <v>5160</v>
      </c>
    </row>
    <row r="648" spans="1:10" ht="15" customHeight="1" x14ac:dyDescent="0.45">
      <c r="A648" s="114">
        <v>644</v>
      </c>
      <c r="B648" s="167" t="s">
        <v>1610</v>
      </c>
      <c r="C648" s="168" t="s">
        <v>1607</v>
      </c>
      <c r="D648" s="188" t="s">
        <v>1609</v>
      </c>
      <c r="E648" s="169">
        <v>0</v>
      </c>
      <c r="F648" s="118">
        <v>42962</v>
      </c>
      <c r="G648" s="119">
        <f ca="1">IF(ISBLANK(I648),TODAY()-F648,I648-F648)</f>
        <v>10</v>
      </c>
      <c r="H648" s="126" t="s">
        <v>64</v>
      </c>
      <c r="I648" s="127">
        <v>42972</v>
      </c>
      <c r="J648" s="183" t="s">
        <v>5160</v>
      </c>
    </row>
    <row r="649" spans="1:10" ht="15" customHeight="1" x14ac:dyDescent="0.45">
      <c r="A649" s="114">
        <v>645</v>
      </c>
      <c r="B649" s="118" t="s">
        <v>1610</v>
      </c>
      <c r="C649" s="116" t="s">
        <v>1611</v>
      </c>
      <c r="D649" s="129" t="s">
        <v>5681</v>
      </c>
      <c r="E649" s="115">
        <v>0</v>
      </c>
      <c r="F649" s="118">
        <v>42962</v>
      </c>
      <c r="G649" s="119">
        <f ca="1">IF(ISBLANK(I649),TODAY()-F649,I649-F649)</f>
        <v>10</v>
      </c>
      <c r="H649" s="126" t="s">
        <v>64</v>
      </c>
      <c r="I649" s="127">
        <v>42972</v>
      </c>
      <c r="J649" s="122" t="s">
        <v>5160</v>
      </c>
    </row>
    <row r="650" spans="1:10" ht="15" customHeight="1" x14ac:dyDescent="0.45">
      <c r="A650" s="114">
        <v>646</v>
      </c>
      <c r="B650" s="118" t="s">
        <v>5682</v>
      </c>
      <c r="C650" s="118" t="s">
        <v>161</v>
      </c>
      <c r="D650" s="118" t="s">
        <v>5683</v>
      </c>
      <c r="E650" s="118" t="s">
        <v>5003</v>
      </c>
      <c r="F650" s="118">
        <v>42962</v>
      </c>
      <c r="G650" s="119">
        <f ca="1">IF(ISBLANK(I650),TODAY()-F650,I650-F650)</f>
        <v>9</v>
      </c>
      <c r="H650" s="204" t="s">
        <v>65</v>
      </c>
      <c r="I650" s="127">
        <v>42971</v>
      </c>
      <c r="J650" s="122" t="s">
        <v>5113</v>
      </c>
    </row>
    <row r="651" spans="1:10" ht="15" customHeight="1" x14ac:dyDescent="0.45">
      <c r="A651" s="114">
        <v>647</v>
      </c>
      <c r="B651" s="118" t="s">
        <v>5684</v>
      </c>
      <c r="C651" s="118" t="s">
        <v>5375</v>
      </c>
      <c r="D651" s="118" t="s">
        <v>5685</v>
      </c>
      <c r="E651" s="118" t="s">
        <v>164</v>
      </c>
      <c r="F651" s="118">
        <v>42962</v>
      </c>
      <c r="G651" s="119">
        <f ca="1">IF(ISBLANK(I651),TODAY()-F651,I651-F651)</f>
        <v>9</v>
      </c>
      <c r="H651" s="204" t="s">
        <v>160</v>
      </c>
      <c r="I651" s="127">
        <v>42971</v>
      </c>
      <c r="J651" s="122" t="s">
        <v>5113</v>
      </c>
    </row>
    <row r="652" spans="1:10" ht="15" customHeight="1" x14ac:dyDescent="0.45">
      <c r="A652" s="114">
        <v>648</v>
      </c>
      <c r="B652" s="118" t="s">
        <v>5684</v>
      </c>
      <c r="C652" s="118" t="s">
        <v>168</v>
      </c>
      <c r="D652" s="118" t="s">
        <v>5686</v>
      </c>
      <c r="E652" s="118" t="s">
        <v>164</v>
      </c>
      <c r="F652" s="118">
        <v>42962</v>
      </c>
      <c r="G652" s="119">
        <f ca="1">IF(ISBLANK(I652),TODAY()-F652,I652-F652)</f>
        <v>9</v>
      </c>
      <c r="H652" s="204" t="s">
        <v>65</v>
      </c>
      <c r="I652" s="127">
        <v>42971</v>
      </c>
      <c r="J652" s="122" t="s">
        <v>5113</v>
      </c>
    </row>
    <row r="653" spans="1:10" ht="15" customHeight="1" x14ac:dyDescent="0.45">
      <c r="A653" s="114">
        <v>649</v>
      </c>
      <c r="B653" s="118" t="s">
        <v>5684</v>
      </c>
      <c r="C653" s="118" t="s">
        <v>171</v>
      </c>
      <c r="D653" s="118" t="s">
        <v>5687</v>
      </c>
      <c r="E653" s="118" t="s">
        <v>164</v>
      </c>
      <c r="F653" s="118">
        <v>42962</v>
      </c>
      <c r="G653" s="119">
        <f ca="1">IF(ISBLANK(I653),TODAY()-F653,I653-F653)</f>
        <v>9</v>
      </c>
      <c r="H653" s="204" t="s">
        <v>160</v>
      </c>
      <c r="I653" s="127">
        <v>42971</v>
      </c>
      <c r="J653" s="122" t="s">
        <v>5113</v>
      </c>
    </row>
    <row r="654" spans="1:10" ht="15" customHeight="1" x14ac:dyDescent="0.45">
      <c r="A654" s="114">
        <v>650</v>
      </c>
      <c r="B654" s="118" t="s">
        <v>5684</v>
      </c>
      <c r="C654" s="118" t="s">
        <v>174</v>
      </c>
      <c r="D654" s="118" t="s">
        <v>5688</v>
      </c>
      <c r="E654" s="118" t="s">
        <v>164</v>
      </c>
      <c r="F654" s="118">
        <v>42962</v>
      </c>
      <c r="G654" s="119">
        <f ca="1">IF(ISBLANK(I654),TODAY()-F654,I654-F654)</f>
        <v>9</v>
      </c>
      <c r="H654" s="204" t="s">
        <v>65</v>
      </c>
      <c r="I654" s="127">
        <v>42971</v>
      </c>
      <c r="J654" s="122" t="s">
        <v>5113</v>
      </c>
    </row>
    <row r="655" spans="1:10" ht="15" customHeight="1" x14ac:dyDescent="0.45">
      <c r="A655" s="114">
        <v>651</v>
      </c>
      <c r="B655" s="118" t="s">
        <v>5684</v>
      </c>
      <c r="C655" s="118" t="s">
        <v>177</v>
      </c>
      <c r="D655" s="118" t="s">
        <v>5689</v>
      </c>
      <c r="E655" s="118" t="s">
        <v>164</v>
      </c>
      <c r="F655" s="118">
        <v>42962</v>
      </c>
      <c r="G655" s="119">
        <f ca="1">IF(ISBLANK(I655),TODAY()-F655,I655-F655)</f>
        <v>9</v>
      </c>
      <c r="H655" s="204" t="s">
        <v>65</v>
      </c>
      <c r="I655" s="127">
        <v>42971</v>
      </c>
      <c r="J655" s="122" t="s">
        <v>5113</v>
      </c>
    </row>
    <row r="656" spans="1:10" ht="15" customHeight="1" x14ac:dyDescent="0.45">
      <c r="A656" s="114">
        <v>652</v>
      </c>
      <c r="B656" s="167" t="s">
        <v>5684</v>
      </c>
      <c r="C656" s="167" t="s">
        <v>180</v>
      </c>
      <c r="D656" s="167" t="s">
        <v>182</v>
      </c>
      <c r="E656" s="167" t="s">
        <v>164</v>
      </c>
      <c r="F656" s="118">
        <v>42962</v>
      </c>
      <c r="G656" s="119">
        <f ca="1">IF(ISBLANK(I656),TODAY()-F656,I656-F656)</f>
        <v>9</v>
      </c>
      <c r="H656" s="205" t="s">
        <v>65</v>
      </c>
      <c r="I656" s="127">
        <v>42971</v>
      </c>
      <c r="J656" s="122" t="s">
        <v>5113</v>
      </c>
    </row>
    <row r="657" spans="1:10" ht="15" customHeight="1" x14ac:dyDescent="0.45">
      <c r="A657" s="114">
        <v>653</v>
      </c>
      <c r="B657" s="118" t="s">
        <v>5684</v>
      </c>
      <c r="C657" s="118" t="s">
        <v>183</v>
      </c>
      <c r="D657" s="118" t="s">
        <v>185</v>
      </c>
      <c r="E657" s="118" t="s">
        <v>164</v>
      </c>
      <c r="F657" s="118">
        <v>42962</v>
      </c>
      <c r="G657" s="119">
        <f ca="1">IF(ISBLANK(I657),TODAY()-F657,I657-F657)</f>
        <v>9</v>
      </c>
      <c r="H657" s="204" t="s">
        <v>65</v>
      </c>
      <c r="I657" s="127">
        <v>42971</v>
      </c>
      <c r="J657" s="122" t="s">
        <v>5113</v>
      </c>
    </row>
    <row r="658" spans="1:10" ht="15" customHeight="1" x14ac:dyDescent="0.45">
      <c r="A658" s="114">
        <v>654</v>
      </c>
      <c r="B658" s="130" t="s">
        <v>5690</v>
      </c>
      <c r="C658" s="130" t="s">
        <v>436</v>
      </c>
      <c r="D658" s="130" t="s">
        <v>438</v>
      </c>
      <c r="E658" s="130" t="s">
        <v>65</v>
      </c>
      <c r="F658" s="118">
        <v>42962</v>
      </c>
      <c r="G658" s="119">
        <f ca="1">IF(ISBLANK(I658),TODAY()-F658,I658-F658)</f>
        <v>9</v>
      </c>
      <c r="H658" s="204" t="s">
        <v>160</v>
      </c>
      <c r="I658" s="127">
        <v>42971</v>
      </c>
      <c r="J658" s="122" t="s">
        <v>5113</v>
      </c>
    </row>
    <row r="659" spans="1:10" ht="15" customHeight="1" x14ac:dyDescent="0.45">
      <c r="A659" s="114">
        <v>655</v>
      </c>
      <c r="B659" s="130" t="s">
        <v>5690</v>
      </c>
      <c r="C659" s="130" t="s">
        <v>474</v>
      </c>
      <c r="D659" s="130" t="s">
        <v>476</v>
      </c>
      <c r="E659" s="130" t="s">
        <v>65</v>
      </c>
      <c r="F659" s="118">
        <v>42962</v>
      </c>
      <c r="G659" s="119">
        <f ca="1">IF(ISBLANK(I659),TODAY()-F659,I659-F659)</f>
        <v>9</v>
      </c>
      <c r="H659" s="204" t="s">
        <v>160</v>
      </c>
      <c r="I659" s="127">
        <v>42971</v>
      </c>
      <c r="J659" s="122" t="s">
        <v>5113</v>
      </c>
    </row>
    <row r="660" spans="1:10" ht="15" customHeight="1" x14ac:dyDescent="0.45">
      <c r="A660" s="114">
        <v>656</v>
      </c>
      <c r="B660" s="130" t="s">
        <v>5691</v>
      </c>
      <c r="C660" s="130" t="s">
        <v>5692</v>
      </c>
      <c r="D660" s="130" t="s">
        <v>1070</v>
      </c>
      <c r="E660" s="130" t="s">
        <v>5002</v>
      </c>
      <c r="F660" s="118">
        <v>42962</v>
      </c>
      <c r="G660" s="119">
        <f ca="1">IF(ISBLANK(I660),TODAY()-F660,I660-F660)</f>
        <v>9</v>
      </c>
      <c r="H660" s="126" t="s">
        <v>2702</v>
      </c>
      <c r="I660" s="127">
        <v>42971</v>
      </c>
      <c r="J660" s="183" t="s">
        <v>5113</v>
      </c>
    </row>
    <row r="661" spans="1:10" ht="15" customHeight="1" x14ac:dyDescent="0.45">
      <c r="A661" s="114">
        <v>657</v>
      </c>
      <c r="B661" s="130" t="s">
        <v>5693</v>
      </c>
      <c r="C661" s="130" t="s">
        <v>516</v>
      </c>
      <c r="D661" s="130" t="s">
        <v>518</v>
      </c>
      <c r="E661" s="130">
        <v>0</v>
      </c>
      <c r="F661" s="118">
        <v>42962</v>
      </c>
      <c r="G661" s="119">
        <f ca="1">IF(ISBLANK(I661),TODAY()-F661,I661-F661)</f>
        <v>10</v>
      </c>
      <c r="H661" s="126" t="s">
        <v>5493</v>
      </c>
      <c r="I661" s="127">
        <v>42972</v>
      </c>
      <c r="J661" s="183" t="s">
        <v>5160</v>
      </c>
    </row>
    <row r="662" spans="1:10" ht="15" customHeight="1" x14ac:dyDescent="0.45">
      <c r="A662" s="114">
        <v>658</v>
      </c>
      <c r="B662" s="130" t="s">
        <v>5693</v>
      </c>
      <c r="C662" s="130" t="s">
        <v>520</v>
      </c>
      <c r="D662" s="130" t="s">
        <v>522</v>
      </c>
      <c r="E662" s="130">
        <v>0</v>
      </c>
      <c r="F662" s="118">
        <v>42962</v>
      </c>
      <c r="G662" s="119">
        <f ca="1">IF(ISBLANK(I662),TODAY()-F662,I662-F662)</f>
        <v>10</v>
      </c>
      <c r="H662" s="126" t="s">
        <v>64</v>
      </c>
      <c r="I662" s="127">
        <v>42972</v>
      </c>
      <c r="J662" s="183" t="s">
        <v>5160</v>
      </c>
    </row>
    <row r="663" spans="1:10" ht="15" customHeight="1" x14ac:dyDescent="0.45">
      <c r="A663" s="114">
        <v>659</v>
      </c>
      <c r="B663" s="130" t="s">
        <v>5693</v>
      </c>
      <c r="C663" s="130" t="s">
        <v>523</v>
      </c>
      <c r="D663" s="130" t="s">
        <v>525</v>
      </c>
      <c r="E663" s="130">
        <v>0</v>
      </c>
      <c r="F663" s="118">
        <v>42962</v>
      </c>
      <c r="G663" s="119">
        <f ca="1">IF(ISBLANK(I663),TODAY()-F663,I663-F663)</f>
        <v>10</v>
      </c>
      <c r="H663" s="126" t="s">
        <v>64</v>
      </c>
      <c r="I663" s="127">
        <v>42972</v>
      </c>
      <c r="J663" s="183" t="s">
        <v>5160</v>
      </c>
    </row>
    <row r="664" spans="1:10" ht="15" customHeight="1" x14ac:dyDescent="0.45">
      <c r="A664" s="114">
        <v>660</v>
      </c>
      <c r="B664" s="130" t="s">
        <v>548</v>
      </c>
      <c r="C664" s="130" t="s">
        <v>542</v>
      </c>
      <c r="D664" s="130" t="s">
        <v>544</v>
      </c>
      <c r="E664" s="130">
        <v>0</v>
      </c>
      <c r="F664" s="118">
        <v>42962</v>
      </c>
      <c r="G664" s="119">
        <f ca="1">IF(ISBLANK(I664),TODAY()-F664,I664-F664)</f>
        <v>10</v>
      </c>
      <c r="H664" s="126" t="s">
        <v>5493</v>
      </c>
      <c r="I664" s="127">
        <v>42972</v>
      </c>
      <c r="J664" s="183" t="s">
        <v>5160</v>
      </c>
    </row>
    <row r="665" spans="1:10" ht="15" customHeight="1" x14ac:dyDescent="0.45">
      <c r="A665" s="114">
        <v>661</v>
      </c>
      <c r="B665" s="130" t="s">
        <v>548</v>
      </c>
      <c r="C665" s="130" t="s">
        <v>545</v>
      </c>
      <c r="D665" s="130" t="s">
        <v>547</v>
      </c>
      <c r="E665" s="130">
        <v>0</v>
      </c>
      <c r="F665" s="118">
        <v>42962</v>
      </c>
      <c r="G665" s="119">
        <f ca="1">IF(ISBLANK(I665),TODAY()-F665,I665-F665)</f>
        <v>10</v>
      </c>
      <c r="H665" s="126" t="s">
        <v>5493</v>
      </c>
      <c r="I665" s="127">
        <v>42972</v>
      </c>
      <c r="J665" s="183" t="s">
        <v>5160</v>
      </c>
    </row>
    <row r="666" spans="1:10" ht="15" customHeight="1" x14ac:dyDescent="0.45">
      <c r="A666" s="114">
        <v>662</v>
      </c>
      <c r="B666" s="130" t="s">
        <v>548</v>
      </c>
      <c r="C666" s="130" t="s">
        <v>563</v>
      </c>
      <c r="D666" s="130" t="s">
        <v>565</v>
      </c>
      <c r="E666" s="130">
        <v>0</v>
      </c>
      <c r="F666" s="118">
        <v>42962</v>
      </c>
      <c r="G666" s="119">
        <f ca="1">IF(ISBLANK(I666),TODAY()-F666,I666-F666)</f>
        <v>10</v>
      </c>
      <c r="H666" s="126" t="s">
        <v>64</v>
      </c>
      <c r="I666" s="127">
        <v>42972</v>
      </c>
      <c r="J666" s="183" t="s">
        <v>5160</v>
      </c>
    </row>
    <row r="667" spans="1:10" ht="15" customHeight="1" x14ac:dyDescent="0.45">
      <c r="A667" s="200">
        <v>663</v>
      </c>
      <c r="B667" s="182" t="s">
        <v>676</v>
      </c>
      <c r="C667" s="182" t="s">
        <v>648</v>
      </c>
      <c r="D667" s="182" t="s">
        <v>650</v>
      </c>
      <c r="E667" s="182">
        <v>0</v>
      </c>
      <c r="F667" s="167">
        <v>42962</v>
      </c>
      <c r="G667" s="119">
        <f ca="1">IF(ISBLANK(I667),TODAY()-F667,I667-F667)</f>
        <v>10</v>
      </c>
      <c r="H667" s="126" t="s">
        <v>64</v>
      </c>
      <c r="I667" s="127">
        <v>42972</v>
      </c>
      <c r="J667" s="183" t="s">
        <v>5160</v>
      </c>
    </row>
    <row r="668" spans="1:10" ht="15" customHeight="1" x14ac:dyDescent="0.45">
      <c r="A668" s="114">
        <v>664</v>
      </c>
      <c r="B668" s="130" t="s">
        <v>676</v>
      </c>
      <c r="C668" s="130" t="s">
        <v>653</v>
      </c>
      <c r="D668" s="130" t="s">
        <v>655</v>
      </c>
      <c r="E668" s="130">
        <v>0</v>
      </c>
      <c r="F668" s="118">
        <v>42962</v>
      </c>
      <c r="G668" s="119">
        <f ca="1">IF(ISBLANK(I668),TODAY()-F668,I668-F668)</f>
        <v>10</v>
      </c>
      <c r="H668" s="126" t="s">
        <v>64</v>
      </c>
      <c r="I668" s="127">
        <v>42972</v>
      </c>
      <c r="J668" s="183" t="s">
        <v>5160</v>
      </c>
    </row>
    <row r="669" spans="1:10" ht="15" customHeight="1" x14ac:dyDescent="0.45">
      <c r="A669" s="114">
        <v>665</v>
      </c>
      <c r="B669" s="130" t="s">
        <v>676</v>
      </c>
      <c r="C669" s="130" t="s">
        <v>673</v>
      </c>
      <c r="D669" s="130" t="s">
        <v>675</v>
      </c>
      <c r="E669" s="130">
        <v>0</v>
      </c>
      <c r="F669" s="118">
        <v>42962</v>
      </c>
      <c r="G669" s="119">
        <f ca="1">IF(ISBLANK(I669),TODAY()-F669,I669-F669)</f>
        <v>10</v>
      </c>
      <c r="H669" s="126" t="s">
        <v>64</v>
      </c>
      <c r="I669" s="127">
        <v>42972</v>
      </c>
      <c r="J669" s="183" t="s">
        <v>5160</v>
      </c>
    </row>
    <row r="670" spans="1:10" ht="15" customHeight="1" x14ac:dyDescent="0.45">
      <c r="A670" s="114">
        <v>666</v>
      </c>
      <c r="B670" s="130" t="s">
        <v>661</v>
      </c>
      <c r="C670" s="135" t="s">
        <v>658</v>
      </c>
      <c r="D670" s="135" t="s">
        <v>660</v>
      </c>
      <c r="E670" s="130">
        <v>0</v>
      </c>
      <c r="F670" s="118">
        <v>42968</v>
      </c>
      <c r="G670" s="119">
        <f ca="1">IF(ISBLANK(I670),TODAY()-F670,I670-F670)</f>
        <v>1</v>
      </c>
      <c r="H670" s="147" t="s">
        <v>64</v>
      </c>
      <c r="I670" s="127">
        <v>42969</v>
      </c>
      <c r="J670" s="183" t="s">
        <v>5160</v>
      </c>
    </row>
    <row r="671" spans="1:10" ht="15" customHeight="1" x14ac:dyDescent="0.45">
      <c r="A671" s="114">
        <v>667</v>
      </c>
      <c r="B671" s="130" t="s">
        <v>661</v>
      </c>
      <c r="C671" s="135" t="s">
        <v>666</v>
      </c>
      <c r="D671" s="135" t="s">
        <v>668</v>
      </c>
      <c r="E671" s="130">
        <v>0</v>
      </c>
      <c r="F671" s="118">
        <v>42968</v>
      </c>
      <c r="G671" s="119">
        <f ca="1">IF(ISBLANK(I671),TODAY()-F671,I671-F671)</f>
        <v>1</v>
      </c>
      <c r="H671" s="147" t="s">
        <v>64</v>
      </c>
      <c r="I671" s="127">
        <v>42969</v>
      </c>
      <c r="J671" s="183" t="s">
        <v>5160</v>
      </c>
    </row>
    <row r="672" spans="1:10" ht="15" customHeight="1" x14ac:dyDescent="0.45">
      <c r="A672" s="114">
        <v>668</v>
      </c>
      <c r="B672" s="130" t="s">
        <v>5694</v>
      </c>
      <c r="C672" s="135" t="s">
        <v>1207</v>
      </c>
      <c r="D672" s="135" t="s">
        <v>1209</v>
      </c>
      <c r="E672" s="130">
        <v>0</v>
      </c>
      <c r="F672" s="118">
        <v>42968</v>
      </c>
      <c r="G672" s="119">
        <f ca="1">IF(ISBLANK(I672),TODAY()-F672,I672-F672)</f>
        <v>1</v>
      </c>
      <c r="H672" s="147" t="s">
        <v>64</v>
      </c>
      <c r="I672" s="127">
        <v>42969</v>
      </c>
      <c r="J672" s="183" t="s">
        <v>5160</v>
      </c>
    </row>
    <row r="673" spans="1:10" ht="15" customHeight="1" x14ac:dyDescent="0.45">
      <c r="A673" s="114">
        <v>669</v>
      </c>
      <c r="B673" s="130" t="s">
        <v>5694</v>
      </c>
      <c r="C673" s="135" t="s">
        <v>1215</v>
      </c>
      <c r="D673" s="135" t="s">
        <v>1217</v>
      </c>
      <c r="E673" s="130">
        <v>0</v>
      </c>
      <c r="F673" s="118">
        <v>42968</v>
      </c>
      <c r="G673" s="119">
        <f ca="1">IF(ISBLANK(I673),TODAY()-F673,I673-F673)</f>
        <v>1</v>
      </c>
      <c r="H673" s="147" t="s">
        <v>64</v>
      </c>
      <c r="I673" s="127">
        <v>42969</v>
      </c>
      <c r="J673" s="183" t="s">
        <v>5160</v>
      </c>
    </row>
    <row r="674" spans="1:10" ht="15" customHeight="1" x14ac:dyDescent="0.45">
      <c r="A674" s="114">
        <v>670</v>
      </c>
      <c r="B674" s="130" t="s">
        <v>220</v>
      </c>
      <c r="C674" s="135" t="s">
        <v>217</v>
      </c>
      <c r="D674" s="135" t="s">
        <v>219</v>
      </c>
      <c r="E674" s="130">
        <v>0</v>
      </c>
      <c r="F674" s="131">
        <v>42968</v>
      </c>
      <c r="G674" s="119">
        <f ca="1">IF(ISBLANK(I674),TODAY()-F674,I674-F674)</f>
        <v>1</v>
      </c>
      <c r="H674" s="126" t="s">
        <v>5493</v>
      </c>
      <c r="I674" s="127">
        <v>42969</v>
      </c>
      <c r="J674" s="183" t="s">
        <v>5160</v>
      </c>
    </row>
    <row r="675" spans="1:10" ht="15" customHeight="1" x14ac:dyDescent="0.45">
      <c r="A675" s="114">
        <v>671</v>
      </c>
      <c r="B675" s="130" t="s">
        <v>220</v>
      </c>
      <c r="C675" s="135" t="s">
        <v>288</v>
      </c>
      <c r="D675" s="135" t="s">
        <v>290</v>
      </c>
      <c r="E675" s="130">
        <v>0</v>
      </c>
      <c r="F675" s="131">
        <v>42968</v>
      </c>
      <c r="G675" s="119">
        <f ca="1">IF(ISBLANK(I675),TODAY()-F675,I675-F675)</f>
        <v>1</v>
      </c>
      <c r="H675" s="126" t="s">
        <v>5493</v>
      </c>
      <c r="I675" s="127">
        <v>42969</v>
      </c>
      <c r="J675" s="183" t="s">
        <v>5160</v>
      </c>
    </row>
    <row r="676" spans="1:10" ht="15" customHeight="1" x14ac:dyDescent="0.45">
      <c r="A676" s="114">
        <v>672</v>
      </c>
      <c r="B676" s="130" t="s">
        <v>220</v>
      </c>
      <c r="C676" s="135" t="s">
        <v>441</v>
      </c>
      <c r="D676" s="135" t="s">
        <v>443</v>
      </c>
      <c r="E676" s="130">
        <v>0</v>
      </c>
      <c r="F676" s="131">
        <v>42968</v>
      </c>
      <c r="G676" s="119">
        <f ca="1">IF(ISBLANK(I676),TODAY()-F676,I676-F676)</f>
        <v>1</v>
      </c>
      <c r="H676" s="126" t="s">
        <v>5493</v>
      </c>
      <c r="I676" s="127">
        <v>42969</v>
      </c>
      <c r="J676" s="122" t="s">
        <v>5160</v>
      </c>
    </row>
    <row r="677" spans="1:10" ht="15" customHeight="1" x14ac:dyDescent="0.45">
      <c r="A677" s="114">
        <v>673</v>
      </c>
      <c r="B677" s="130" t="s">
        <v>5695</v>
      </c>
      <c r="C677" s="135" t="s">
        <v>776</v>
      </c>
      <c r="D677" s="135" t="s">
        <v>778</v>
      </c>
      <c r="E677" s="130" t="s">
        <v>65</v>
      </c>
      <c r="F677" s="118">
        <v>42968</v>
      </c>
      <c r="G677" s="119">
        <f ca="1">IF(ISBLANK(I677),TODAY()-F677,I677-F677)</f>
        <v>30</v>
      </c>
      <c r="H677" s="152" t="s">
        <v>5296</v>
      </c>
      <c r="I677" s="153">
        <v>42998</v>
      </c>
      <c r="J677" s="155" t="s">
        <v>5113</v>
      </c>
    </row>
    <row r="678" spans="1:10" ht="15" customHeight="1" x14ac:dyDescent="0.45">
      <c r="A678" s="114">
        <v>674</v>
      </c>
      <c r="B678" s="182" t="s">
        <v>5695</v>
      </c>
      <c r="C678" s="190" t="s">
        <v>781</v>
      </c>
      <c r="D678" s="190" t="s">
        <v>783</v>
      </c>
      <c r="E678" s="182" t="s">
        <v>65</v>
      </c>
      <c r="F678" s="118">
        <v>42968</v>
      </c>
      <c r="G678" s="119">
        <f ca="1">IF(ISBLANK(I678),TODAY()-F678,I678-F678)</f>
        <v>30</v>
      </c>
      <c r="H678" s="189" t="s">
        <v>5296</v>
      </c>
      <c r="I678" s="198">
        <v>42998</v>
      </c>
      <c r="J678" s="187" t="s">
        <v>5113</v>
      </c>
    </row>
    <row r="679" spans="1:10" ht="15" customHeight="1" x14ac:dyDescent="0.45">
      <c r="A679" s="114">
        <v>675</v>
      </c>
      <c r="B679" s="130" t="s">
        <v>5696</v>
      </c>
      <c r="C679" s="135" t="s">
        <v>643</v>
      </c>
      <c r="D679" s="135" t="s">
        <v>645</v>
      </c>
      <c r="E679" s="130" t="s">
        <v>5062</v>
      </c>
      <c r="F679" s="118">
        <v>42968</v>
      </c>
      <c r="G679" s="119">
        <f ca="1">IF(ISBLANK(I679),TODAY()-F679,I679-F679)</f>
        <v>21</v>
      </c>
      <c r="H679" s="126" t="s">
        <v>160</v>
      </c>
      <c r="I679" s="127">
        <v>42989</v>
      </c>
      <c r="J679" s="183" t="s">
        <v>5160</v>
      </c>
    </row>
    <row r="680" spans="1:10" ht="15" customHeight="1" x14ac:dyDescent="0.45">
      <c r="A680" s="114">
        <v>676</v>
      </c>
      <c r="B680" s="182" t="s">
        <v>489</v>
      </c>
      <c r="C680" s="190" t="s">
        <v>486</v>
      </c>
      <c r="D680" s="190" t="s">
        <v>488</v>
      </c>
      <c r="E680" s="182">
        <v>0</v>
      </c>
      <c r="F680" s="118">
        <v>42968</v>
      </c>
      <c r="G680" s="119">
        <f ca="1">IF(ISBLANK(I680),TODAY()-F680,I680-F680)</f>
        <v>1</v>
      </c>
      <c r="H680" s="126" t="s">
        <v>5493</v>
      </c>
      <c r="I680" s="127">
        <v>42969</v>
      </c>
      <c r="J680" s="122" t="s">
        <v>5160</v>
      </c>
    </row>
    <row r="681" spans="1:10" ht="15" customHeight="1" x14ac:dyDescent="0.45">
      <c r="A681" s="114">
        <v>677</v>
      </c>
      <c r="B681" s="130" t="s">
        <v>5697</v>
      </c>
      <c r="C681" s="135" t="s">
        <v>490</v>
      </c>
      <c r="D681" s="135" t="s">
        <v>492</v>
      </c>
      <c r="E681" s="130" t="s">
        <v>5003</v>
      </c>
      <c r="F681" s="118">
        <v>42968</v>
      </c>
      <c r="G681" s="119">
        <f ca="1">IF(ISBLANK(I681),TODAY()-F681,I681-F681)</f>
        <v>53</v>
      </c>
      <c r="H681" s="152" t="s">
        <v>5296</v>
      </c>
      <c r="I681" s="161">
        <v>43021</v>
      </c>
      <c r="J681" s="206" t="s">
        <v>5113</v>
      </c>
    </row>
    <row r="682" spans="1:10" ht="15" customHeight="1" x14ac:dyDescent="0.45">
      <c r="A682" s="114">
        <v>679</v>
      </c>
      <c r="B682" s="211" t="s">
        <v>5699</v>
      </c>
      <c r="C682" s="212" t="s">
        <v>2188</v>
      </c>
      <c r="D682" s="212" t="s">
        <v>2190</v>
      </c>
      <c r="E682" s="211" t="s">
        <v>65</v>
      </c>
      <c r="F682" s="118">
        <v>42968</v>
      </c>
      <c r="G682" s="119">
        <f ca="1">IF(ISBLANK(I682),TODAY()-F682,I682-F682)</f>
        <v>21</v>
      </c>
      <c r="H682" s="179" t="s">
        <v>2702</v>
      </c>
      <c r="I682" s="180">
        <v>42989</v>
      </c>
      <c r="J682" s="183" t="s">
        <v>5160</v>
      </c>
    </row>
    <row r="683" spans="1:10" ht="15" customHeight="1" x14ac:dyDescent="0.45">
      <c r="A683" s="114">
        <v>680</v>
      </c>
      <c r="B683" s="130" t="s">
        <v>5699</v>
      </c>
      <c r="C683" s="208" t="s">
        <v>2193</v>
      </c>
      <c r="D683" s="208" t="s">
        <v>2195</v>
      </c>
      <c r="E683" s="130" t="s">
        <v>65</v>
      </c>
      <c r="F683" s="118">
        <v>42968</v>
      </c>
      <c r="G683" s="119">
        <f ca="1">IF(ISBLANK(I683),TODAY()-F683,I683-F683)</f>
        <v>21</v>
      </c>
      <c r="H683" s="179" t="s">
        <v>160</v>
      </c>
      <c r="I683" s="180">
        <v>42989</v>
      </c>
      <c r="J683" s="183" t="s">
        <v>5160</v>
      </c>
    </row>
    <row r="684" spans="1:10" ht="15" customHeight="1" x14ac:dyDescent="0.45">
      <c r="A684" s="114">
        <v>681</v>
      </c>
      <c r="B684" s="130" t="s">
        <v>5699</v>
      </c>
      <c r="C684" s="208" t="s">
        <v>2222</v>
      </c>
      <c r="D684" s="208" t="s">
        <v>2224</v>
      </c>
      <c r="E684" s="130" t="s">
        <v>65</v>
      </c>
      <c r="F684" s="118">
        <v>42968</v>
      </c>
      <c r="G684" s="119">
        <f ca="1">IF(ISBLANK(I684),TODAY()-F684,I684-F684)</f>
        <v>39</v>
      </c>
      <c r="H684" s="152" t="s">
        <v>5296</v>
      </c>
      <c r="I684" s="213">
        <v>43007</v>
      </c>
      <c r="J684" s="206" t="s">
        <v>5051</v>
      </c>
    </row>
    <row r="685" spans="1:10" ht="15" customHeight="1" x14ac:dyDescent="0.45">
      <c r="A685" s="114">
        <v>682</v>
      </c>
      <c r="B685" s="130" t="s">
        <v>5699</v>
      </c>
      <c r="C685" s="208" t="s">
        <v>2251</v>
      </c>
      <c r="D685" s="208" t="s">
        <v>2253</v>
      </c>
      <c r="E685" s="130" t="s">
        <v>65</v>
      </c>
      <c r="F685" s="118">
        <v>42968</v>
      </c>
      <c r="G685" s="119">
        <f ca="1">IF(ISBLANK(I685),TODAY()-F685,I685-F685)</f>
        <v>39</v>
      </c>
      <c r="H685" s="152" t="s">
        <v>5296</v>
      </c>
      <c r="I685" s="213">
        <v>43007</v>
      </c>
      <c r="J685" s="206" t="s">
        <v>5113</v>
      </c>
    </row>
    <row r="686" spans="1:10" ht="15" customHeight="1" x14ac:dyDescent="0.45">
      <c r="A686" s="114">
        <v>683</v>
      </c>
      <c r="B686" s="130" t="s">
        <v>5699</v>
      </c>
      <c r="C686" s="208" t="s">
        <v>2289</v>
      </c>
      <c r="D686" s="208" t="s">
        <v>2291</v>
      </c>
      <c r="E686" s="130" t="s">
        <v>65</v>
      </c>
      <c r="F686" s="118">
        <v>42968</v>
      </c>
      <c r="G686" s="119">
        <f ca="1">IF(ISBLANK(I686),TODAY()-F686,I686-F686)</f>
        <v>21</v>
      </c>
      <c r="H686" s="179" t="s">
        <v>2702</v>
      </c>
      <c r="I686" s="180">
        <v>42989</v>
      </c>
      <c r="J686" s="183" t="s">
        <v>5160</v>
      </c>
    </row>
    <row r="687" spans="1:10" ht="15" customHeight="1" x14ac:dyDescent="0.45">
      <c r="A687" s="114">
        <v>684</v>
      </c>
      <c r="B687" s="130" t="s">
        <v>5699</v>
      </c>
      <c r="C687" s="208" t="s">
        <v>2293</v>
      </c>
      <c r="D687" s="208" t="s">
        <v>2295</v>
      </c>
      <c r="E687" s="130" t="s">
        <v>65</v>
      </c>
      <c r="F687" s="118">
        <v>42968</v>
      </c>
      <c r="G687" s="119">
        <f ca="1">IF(ISBLANK(I687),TODAY()-F687,I687-F687)</f>
        <v>21</v>
      </c>
      <c r="H687" s="179" t="s">
        <v>160</v>
      </c>
      <c r="I687" s="180">
        <v>42989</v>
      </c>
      <c r="J687" s="183" t="s">
        <v>5160</v>
      </c>
    </row>
    <row r="688" spans="1:10" ht="15" customHeight="1" x14ac:dyDescent="0.45">
      <c r="A688" s="114">
        <v>685</v>
      </c>
      <c r="B688" s="130" t="s">
        <v>5699</v>
      </c>
      <c r="C688" s="208" t="s">
        <v>2310</v>
      </c>
      <c r="D688" s="208" t="s">
        <v>2312</v>
      </c>
      <c r="E688" s="130" t="s">
        <v>65</v>
      </c>
      <c r="F688" s="118">
        <v>42968</v>
      </c>
      <c r="G688" s="119">
        <f ca="1">IF(ISBLANK(I688),TODAY()-F688,I688-F688)</f>
        <v>39</v>
      </c>
      <c r="H688" s="152" t="s">
        <v>5296</v>
      </c>
      <c r="I688" s="153">
        <v>43007</v>
      </c>
      <c r="J688" s="206" t="s">
        <v>5113</v>
      </c>
    </row>
    <row r="689" spans="1:10" ht="15" customHeight="1" x14ac:dyDescent="0.45">
      <c r="A689" s="114">
        <v>686</v>
      </c>
      <c r="B689" s="182" t="s">
        <v>5699</v>
      </c>
      <c r="C689" s="214" t="s">
        <v>2335</v>
      </c>
      <c r="D689" s="214" t="s">
        <v>2337</v>
      </c>
      <c r="E689" s="182" t="s">
        <v>65</v>
      </c>
      <c r="F689" s="118">
        <v>42968</v>
      </c>
      <c r="G689" s="119">
        <f ca="1">IF(ISBLANK(I689),TODAY()-F689,I689-F689)</f>
        <v>39</v>
      </c>
      <c r="H689" s="152" t="s">
        <v>5296</v>
      </c>
      <c r="I689" s="215">
        <v>43007</v>
      </c>
      <c r="J689" s="216" t="s">
        <v>5113</v>
      </c>
    </row>
    <row r="690" spans="1:10" ht="15" customHeight="1" x14ac:dyDescent="0.45">
      <c r="A690" s="114">
        <v>687</v>
      </c>
      <c r="B690" s="118" t="s">
        <v>5700</v>
      </c>
      <c r="C690" s="116" t="s">
        <v>1857</v>
      </c>
      <c r="D690" s="116" t="s">
        <v>1859</v>
      </c>
      <c r="E690" s="115" t="s">
        <v>65</v>
      </c>
      <c r="F690" s="118">
        <v>42968</v>
      </c>
      <c r="G690" s="119">
        <f ca="1">IF(ISBLANK(I690),TODAY()-F690,I690-F690)</f>
        <v>73</v>
      </c>
      <c r="H690" s="152" t="s">
        <v>5296</v>
      </c>
      <c r="I690" s="213">
        <v>43041</v>
      </c>
      <c r="J690" s="206" t="s">
        <v>5113</v>
      </c>
    </row>
    <row r="691" spans="1:10" ht="15" customHeight="1" x14ac:dyDescent="0.45">
      <c r="A691" s="114">
        <v>688</v>
      </c>
      <c r="B691" s="118" t="s">
        <v>5700</v>
      </c>
      <c r="C691" s="116" t="s">
        <v>1885</v>
      </c>
      <c r="D691" s="116" t="s">
        <v>1887</v>
      </c>
      <c r="E691" s="115" t="s">
        <v>65</v>
      </c>
      <c r="F691" s="118">
        <v>42968</v>
      </c>
      <c r="G691" s="119">
        <f ca="1">IF(ISBLANK(I691),TODAY()-F691,I691-F691)</f>
        <v>70</v>
      </c>
      <c r="H691" s="152" t="s">
        <v>5296</v>
      </c>
      <c r="I691" s="213">
        <v>43038</v>
      </c>
      <c r="J691" s="206" t="s">
        <v>5113</v>
      </c>
    </row>
    <row r="692" spans="1:10" ht="15" customHeight="1" x14ac:dyDescent="0.45">
      <c r="A692" s="114">
        <v>689</v>
      </c>
      <c r="B692" s="167" t="s">
        <v>5700</v>
      </c>
      <c r="C692" s="168" t="s">
        <v>1943</v>
      </c>
      <c r="D692" s="168" t="s">
        <v>5701</v>
      </c>
      <c r="E692" s="169" t="s">
        <v>65</v>
      </c>
      <c r="F692" s="118">
        <v>42968</v>
      </c>
      <c r="G692" s="119">
        <f ca="1">IF(ISBLANK(I692),TODAY()-F692,I692-F692)</f>
        <v>73</v>
      </c>
      <c r="H692" s="152" t="s">
        <v>5296</v>
      </c>
      <c r="I692" s="213">
        <v>43041</v>
      </c>
      <c r="J692" s="216" t="s">
        <v>5113</v>
      </c>
    </row>
    <row r="693" spans="1:10" ht="15" customHeight="1" x14ac:dyDescent="0.45">
      <c r="A693" s="114">
        <v>690</v>
      </c>
      <c r="B693" s="182" t="s">
        <v>5702</v>
      </c>
      <c r="C693" s="190" t="s">
        <v>5703</v>
      </c>
      <c r="D693" s="190" t="s">
        <v>330</v>
      </c>
      <c r="E693" s="182" t="s">
        <v>65</v>
      </c>
      <c r="F693" s="118">
        <v>42968</v>
      </c>
      <c r="G693" s="119">
        <f ca="1">IF(ISBLANK(I693),TODAY()-F693,I693-F693)</f>
        <v>98</v>
      </c>
      <c r="H693" s="152" t="s">
        <v>5296</v>
      </c>
      <c r="I693" s="213">
        <v>43066</v>
      </c>
      <c r="J693" s="206" t="s">
        <v>5113</v>
      </c>
    </row>
    <row r="694" spans="1:10" ht="15" customHeight="1" x14ac:dyDescent="0.45">
      <c r="A694" s="114">
        <v>678</v>
      </c>
      <c r="B694" s="207" t="s">
        <v>5698</v>
      </c>
      <c r="C694" s="208" t="s">
        <v>662</v>
      </c>
      <c r="D694" s="208" t="s">
        <v>664</v>
      </c>
      <c r="E694" s="130">
        <v>0</v>
      </c>
      <c r="F694" s="131">
        <v>42970</v>
      </c>
      <c r="G694" s="119">
        <f ca="1">IF(ISBLANK(I694),TODAY()-F694,I694-F694)</f>
        <v>0</v>
      </c>
      <c r="H694" s="204" t="s">
        <v>5344</v>
      </c>
      <c r="I694" s="209">
        <v>42970</v>
      </c>
      <c r="J694" s="217" t="s">
        <v>5113</v>
      </c>
    </row>
    <row r="695" spans="1:10" ht="15" customHeight="1" x14ac:dyDescent="0.45">
      <c r="A695" s="114">
        <v>691</v>
      </c>
      <c r="B695" s="207" t="s">
        <v>5704</v>
      </c>
      <c r="C695" s="208" t="s">
        <v>1566</v>
      </c>
      <c r="D695" s="208" t="s">
        <v>1568</v>
      </c>
      <c r="E695" s="207" t="s">
        <v>160</v>
      </c>
      <c r="F695" s="131">
        <v>42970</v>
      </c>
      <c r="G695" s="119">
        <f ca="1">IF(ISBLANK(I695),TODAY()-F695,I695-F695)</f>
        <v>19</v>
      </c>
      <c r="H695" s="204" t="s">
        <v>65</v>
      </c>
      <c r="I695" s="209">
        <v>42989</v>
      </c>
      <c r="J695" s="217" t="s">
        <v>5160</v>
      </c>
    </row>
    <row r="696" spans="1:10" ht="15" customHeight="1" x14ac:dyDescent="0.45">
      <c r="A696" s="114">
        <v>692</v>
      </c>
      <c r="B696" s="207" t="s">
        <v>5704</v>
      </c>
      <c r="C696" s="208" t="s">
        <v>1569</v>
      </c>
      <c r="D696" s="208" t="s">
        <v>1571</v>
      </c>
      <c r="E696" s="207" t="s">
        <v>160</v>
      </c>
      <c r="F696" s="131">
        <v>42970</v>
      </c>
      <c r="G696" s="119">
        <f ca="1">IF(ISBLANK(I696),TODAY()-F696,I696-F696)</f>
        <v>19</v>
      </c>
      <c r="H696" s="204" t="s">
        <v>65</v>
      </c>
      <c r="I696" s="209">
        <v>42989</v>
      </c>
      <c r="J696" s="217" t="s">
        <v>5160</v>
      </c>
    </row>
    <row r="697" spans="1:10" ht="15" customHeight="1" x14ac:dyDescent="0.45">
      <c r="A697" s="114">
        <v>693</v>
      </c>
      <c r="B697" s="207" t="s">
        <v>5704</v>
      </c>
      <c r="C697" s="208" t="s">
        <v>1572</v>
      </c>
      <c r="D697" s="208" t="s">
        <v>1574</v>
      </c>
      <c r="E697" s="207" t="s">
        <v>160</v>
      </c>
      <c r="F697" s="131">
        <v>42970</v>
      </c>
      <c r="G697" s="119">
        <f ca="1">IF(ISBLANK(I697),TODAY()-F697,I697-F697)</f>
        <v>19</v>
      </c>
      <c r="H697" s="204" t="s">
        <v>65</v>
      </c>
      <c r="I697" s="209">
        <v>42989</v>
      </c>
      <c r="J697" s="217" t="s">
        <v>5160</v>
      </c>
    </row>
    <row r="698" spans="1:10" ht="15" customHeight="1" x14ac:dyDescent="0.45">
      <c r="A698" s="114">
        <v>694</v>
      </c>
      <c r="B698" s="207" t="s">
        <v>5704</v>
      </c>
      <c r="C698" s="208" t="s">
        <v>1575</v>
      </c>
      <c r="D698" s="208" t="s">
        <v>1577</v>
      </c>
      <c r="E698" s="207" t="s">
        <v>160</v>
      </c>
      <c r="F698" s="131">
        <v>42970</v>
      </c>
      <c r="G698" s="119">
        <f ca="1">IF(ISBLANK(I698),TODAY()-F698,I698-F698)</f>
        <v>19</v>
      </c>
      <c r="H698" s="204" t="s">
        <v>65</v>
      </c>
      <c r="I698" s="209">
        <v>42989</v>
      </c>
      <c r="J698" s="217" t="s">
        <v>5160</v>
      </c>
    </row>
    <row r="699" spans="1:10" ht="15" customHeight="1" x14ac:dyDescent="0.45">
      <c r="A699" s="114">
        <v>695</v>
      </c>
      <c r="B699" s="207" t="s">
        <v>5704</v>
      </c>
      <c r="C699" s="208" t="s">
        <v>1578</v>
      </c>
      <c r="D699" s="208" t="s">
        <v>1580</v>
      </c>
      <c r="E699" s="207" t="s">
        <v>160</v>
      </c>
      <c r="F699" s="131">
        <v>42970</v>
      </c>
      <c r="G699" s="119">
        <f ca="1">IF(ISBLANK(I699),TODAY()-F699,I699-F699)</f>
        <v>19</v>
      </c>
      <c r="H699" s="204" t="s">
        <v>65</v>
      </c>
      <c r="I699" s="209">
        <v>42989</v>
      </c>
      <c r="J699" s="217" t="s">
        <v>5160</v>
      </c>
    </row>
    <row r="700" spans="1:10" ht="15" customHeight="1" x14ac:dyDescent="0.45">
      <c r="A700" s="114">
        <v>696</v>
      </c>
      <c r="B700" s="207" t="s">
        <v>5704</v>
      </c>
      <c r="C700" s="208" t="s">
        <v>1581</v>
      </c>
      <c r="D700" s="208" t="s">
        <v>1583</v>
      </c>
      <c r="E700" s="207" t="s">
        <v>160</v>
      </c>
      <c r="F700" s="131">
        <v>42970</v>
      </c>
      <c r="G700" s="119">
        <f ca="1">IF(ISBLANK(I700),TODAY()-F700,I700-F700)</f>
        <v>19</v>
      </c>
      <c r="H700" s="204" t="s">
        <v>65</v>
      </c>
      <c r="I700" s="209">
        <v>42989</v>
      </c>
      <c r="J700" s="217" t="s">
        <v>5160</v>
      </c>
    </row>
    <row r="701" spans="1:10" ht="15" customHeight="1" x14ac:dyDescent="0.45">
      <c r="A701" s="114">
        <v>697</v>
      </c>
      <c r="B701" s="207" t="s">
        <v>5704</v>
      </c>
      <c r="C701" s="208" t="s">
        <v>1584</v>
      </c>
      <c r="D701" s="208" t="s">
        <v>1586</v>
      </c>
      <c r="E701" s="207" t="s">
        <v>160</v>
      </c>
      <c r="F701" s="131">
        <v>42970</v>
      </c>
      <c r="G701" s="119">
        <f ca="1">IF(ISBLANK(I701),TODAY()-F701,I701-F701)</f>
        <v>19</v>
      </c>
      <c r="H701" s="204" t="s">
        <v>65</v>
      </c>
      <c r="I701" s="209">
        <v>42989</v>
      </c>
      <c r="J701" s="217" t="s">
        <v>5160</v>
      </c>
    </row>
    <row r="702" spans="1:10" ht="15" customHeight="1" x14ac:dyDescent="0.45">
      <c r="A702" s="114">
        <v>698</v>
      </c>
      <c r="B702" s="207" t="s">
        <v>5704</v>
      </c>
      <c r="C702" s="208" t="s">
        <v>1587</v>
      </c>
      <c r="D702" s="208" t="s">
        <v>1589</v>
      </c>
      <c r="E702" s="207" t="s">
        <v>160</v>
      </c>
      <c r="F702" s="131">
        <v>42970</v>
      </c>
      <c r="G702" s="119">
        <f ca="1">IF(ISBLANK(I702),TODAY()-F702,I702-F702)</f>
        <v>19</v>
      </c>
      <c r="H702" s="204" t="s">
        <v>65</v>
      </c>
      <c r="I702" s="209">
        <v>42989</v>
      </c>
      <c r="J702" s="217" t="s">
        <v>5160</v>
      </c>
    </row>
    <row r="703" spans="1:10" ht="15" customHeight="1" x14ac:dyDescent="0.45">
      <c r="A703" s="114">
        <v>699</v>
      </c>
      <c r="B703" s="207" t="s">
        <v>5704</v>
      </c>
      <c r="C703" s="208" t="s">
        <v>1590</v>
      </c>
      <c r="D703" s="208" t="s">
        <v>1592</v>
      </c>
      <c r="E703" s="207" t="s">
        <v>160</v>
      </c>
      <c r="F703" s="131">
        <v>42970</v>
      </c>
      <c r="G703" s="119">
        <f ca="1">IF(ISBLANK(I703),TODAY()-F703,I703-F703)</f>
        <v>19</v>
      </c>
      <c r="H703" s="204" t="s">
        <v>65</v>
      </c>
      <c r="I703" s="209">
        <v>42989</v>
      </c>
      <c r="J703" s="217" t="s">
        <v>5160</v>
      </c>
    </row>
    <row r="704" spans="1:10" ht="15" customHeight="1" x14ac:dyDescent="0.45">
      <c r="A704" s="114">
        <v>700</v>
      </c>
      <c r="B704" s="207" t="s">
        <v>5704</v>
      </c>
      <c r="C704" s="208" t="s">
        <v>1593</v>
      </c>
      <c r="D704" s="208" t="s">
        <v>1595</v>
      </c>
      <c r="E704" s="207" t="s">
        <v>160</v>
      </c>
      <c r="F704" s="131">
        <v>42970</v>
      </c>
      <c r="G704" s="119">
        <f ca="1">IF(ISBLANK(I704),TODAY()-F704,I704-F704)</f>
        <v>19</v>
      </c>
      <c r="H704" s="204" t="s">
        <v>65</v>
      </c>
      <c r="I704" s="209">
        <v>42989</v>
      </c>
      <c r="J704" s="217" t="s">
        <v>5160</v>
      </c>
    </row>
    <row r="705" spans="1:10" ht="15" customHeight="1" x14ac:dyDescent="0.45">
      <c r="A705" s="114">
        <v>701</v>
      </c>
      <c r="B705" s="207" t="s">
        <v>5704</v>
      </c>
      <c r="C705" s="208" t="s">
        <v>1599</v>
      </c>
      <c r="D705" s="208" t="s">
        <v>1601</v>
      </c>
      <c r="E705" s="207" t="s">
        <v>160</v>
      </c>
      <c r="F705" s="131">
        <v>42970</v>
      </c>
      <c r="G705" s="119">
        <f ca="1">IF(ISBLANK(I705),TODAY()-F705,I705-F705)</f>
        <v>19</v>
      </c>
      <c r="H705" s="204" t="s">
        <v>65</v>
      </c>
      <c r="I705" s="209">
        <v>42989</v>
      </c>
      <c r="J705" s="217" t="s">
        <v>5160</v>
      </c>
    </row>
    <row r="706" spans="1:10" ht="15" customHeight="1" x14ac:dyDescent="0.45">
      <c r="A706" s="114">
        <v>702</v>
      </c>
      <c r="B706" s="207" t="s">
        <v>5705</v>
      </c>
      <c r="C706" s="208" t="s">
        <v>222</v>
      </c>
      <c r="D706" s="208" t="s">
        <v>224</v>
      </c>
      <c r="E706" s="207" t="s">
        <v>3979</v>
      </c>
      <c r="F706" s="131">
        <v>42970</v>
      </c>
      <c r="G706" s="119">
        <f ca="1">IF(ISBLANK(I706),TODAY()-F706,I706-F706)</f>
        <v>14</v>
      </c>
      <c r="H706" s="152" t="s">
        <v>5296</v>
      </c>
      <c r="I706" s="213">
        <v>42984</v>
      </c>
      <c r="J706" s="216" t="s">
        <v>5113</v>
      </c>
    </row>
    <row r="707" spans="1:10" ht="15" customHeight="1" x14ac:dyDescent="0.45">
      <c r="A707" s="200">
        <v>703</v>
      </c>
      <c r="B707" s="218" t="s">
        <v>5705</v>
      </c>
      <c r="C707" s="214" t="s">
        <v>478</v>
      </c>
      <c r="D707" s="214" t="s">
        <v>480</v>
      </c>
      <c r="E707" s="218" t="s">
        <v>3979</v>
      </c>
      <c r="F707" s="131">
        <v>42970</v>
      </c>
      <c r="G707" s="119">
        <f ca="1">IF(ISBLANK(I707),TODAY()-F707,I707-F707)</f>
        <v>14</v>
      </c>
      <c r="H707" s="189" t="s">
        <v>5296</v>
      </c>
      <c r="I707" s="372">
        <v>42984</v>
      </c>
      <c r="J707" s="216" t="s">
        <v>5113</v>
      </c>
    </row>
    <row r="708" spans="1:10" ht="15" customHeight="1" x14ac:dyDescent="0.45">
      <c r="A708" s="200">
        <v>704</v>
      </c>
      <c r="B708" s="207" t="s">
        <v>1295</v>
      </c>
      <c r="C708" s="208" t="s">
        <v>1292</v>
      </c>
      <c r="D708" s="208" t="s">
        <v>1294</v>
      </c>
      <c r="E708" s="207">
        <v>0</v>
      </c>
      <c r="F708" s="131">
        <v>42970</v>
      </c>
      <c r="G708" s="119">
        <f ca="1">IF(ISBLANK(I708),TODAY()-F708,I708-F708)</f>
        <v>0</v>
      </c>
      <c r="H708" s="204" t="s">
        <v>5706</v>
      </c>
      <c r="I708" s="219">
        <v>42970</v>
      </c>
      <c r="J708" s="217" t="s">
        <v>5113</v>
      </c>
    </row>
    <row r="709" spans="1:10" ht="15" customHeight="1" x14ac:dyDescent="0.45">
      <c r="A709" s="200">
        <v>706</v>
      </c>
      <c r="B709" s="211" t="s">
        <v>5709</v>
      </c>
      <c r="C709" s="220" t="s">
        <v>916</v>
      </c>
      <c r="D709" s="220" t="s">
        <v>918</v>
      </c>
      <c r="E709" s="211" t="s">
        <v>65</v>
      </c>
      <c r="F709" s="131">
        <v>42970</v>
      </c>
      <c r="G709" s="119">
        <f ca="1">IF(ISBLANK(I709),TODAY()-F709,I709-F709)</f>
        <v>68</v>
      </c>
      <c r="H709" s="152" t="s">
        <v>5296</v>
      </c>
      <c r="I709" s="213">
        <v>43038</v>
      </c>
      <c r="J709" s="216" t="s">
        <v>5160</v>
      </c>
    </row>
    <row r="710" spans="1:10" ht="15" customHeight="1" x14ac:dyDescent="0.45">
      <c r="A710" s="200">
        <v>707</v>
      </c>
      <c r="B710" s="130" t="s">
        <v>5709</v>
      </c>
      <c r="C710" s="135" t="s">
        <v>920</v>
      </c>
      <c r="D710" s="135" t="s">
        <v>922</v>
      </c>
      <c r="E710" s="130" t="s">
        <v>65</v>
      </c>
      <c r="F710" s="131">
        <v>42970</v>
      </c>
      <c r="G710" s="119">
        <f ca="1">IF(ISBLANK(I710),TODAY()-F710,I710-F710)</f>
        <v>19</v>
      </c>
      <c r="H710" s="204" t="s">
        <v>65</v>
      </c>
      <c r="I710" s="209">
        <v>42989</v>
      </c>
      <c r="J710" s="217" t="s">
        <v>5160</v>
      </c>
    </row>
    <row r="711" spans="1:10" ht="15" customHeight="1" x14ac:dyDescent="0.45">
      <c r="A711" s="200">
        <v>708</v>
      </c>
      <c r="B711" s="130" t="s">
        <v>5710</v>
      </c>
      <c r="C711" s="135" t="s">
        <v>837</v>
      </c>
      <c r="D711" s="135" t="s">
        <v>839</v>
      </c>
      <c r="E711" s="130" t="s">
        <v>65</v>
      </c>
      <c r="F711" s="131">
        <v>42970</v>
      </c>
      <c r="G711" s="119">
        <f ca="1">IF(ISBLANK(I711),TODAY()-F711,I711-F711)</f>
        <v>82</v>
      </c>
      <c r="H711" s="152" t="s">
        <v>5296</v>
      </c>
      <c r="I711" s="153">
        <v>43052</v>
      </c>
      <c r="J711" s="221" t="s">
        <v>5113</v>
      </c>
    </row>
    <row r="712" spans="1:10" ht="15" customHeight="1" x14ac:dyDescent="0.45">
      <c r="A712" s="200">
        <v>709</v>
      </c>
      <c r="B712" s="130" t="s">
        <v>5710</v>
      </c>
      <c r="C712" s="135" t="s">
        <v>846</v>
      </c>
      <c r="D712" s="135" t="s">
        <v>848</v>
      </c>
      <c r="E712" s="130" t="s">
        <v>65</v>
      </c>
      <c r="F712" s="131">
        <v>42970</v>
      </c>
      <c r="G712" s="119">
        <f ca="1">IF(ISBLANK(I712),TODAY()-F712,I712-F712)</f>
        <v>19</v>
      </c>
      <c r="H712" s="204" t="s">
        <v>65</v>
      </c>
      <c r="I712" s="209">
        <v>42989</v>
      </c>
      <c r="J712" s="217" t="s">
        <v>5160</v>
      </c>
    </row>
    <row r="713" spans="1:10" ht="15" customHeight="1" x14ac:dyDescent="0.45">
      <c r="A713" s="200">
        <v>710</v>
      </c>
      <c r="B713" s="130" t="s">
        <v>5710</v>
      </c>
      <c r="C713" s="135" t="s">
        <v>850</v>
      </c>
      <c r="D713" s="135" t="s">
        <v>852</v>
      </c>
      <c r="E713" s="130" t="s">
        <v>65</v>
      </c>
      <c r="F713" s="131">
        <v>42970</v>
      </c>
      <c r="G713" s="119">
        <f ca="1">IF(ISBLANK(I713),TODAY()-F713,I713-F713)</f>
        <v>14</v>
      </c>
      <c r="H713" s="152" t="s">
        <v>5296</v>
      </c>
      <c r="I713" s="213">
        <v>42984</v>
      </c>
      <c r="J713" s="216" t="s">
        <v>5160</v>
      </c>
    </row>
    <row r="714" spans="1:10" ht="15" customHeight="1" x14ac:dyDescent="0.45">
      <c r="A714" s="200">
        <v>711</v>
      </c>
      <c r="B714" s="130" t="s">
        <v>5710</v>
      </c>
      <c r="C714" s="135" t="s">
        <v>855</v>
      </c>
      <c r="D714" s="135" t="s">
        <v>857</v>
      </c>
      <c r="E714" s="130" t="s">
        <v>65</v>
      </c>
      <c r="F714" s="131">
        <v>42970</v>
      </c>
      <c r="G714" s="119">
        <f ca="1">IF(ISBLANK(I714),TODAY()-F714,I714-F714)</f>
        <v>14</v>
      </c>
      <c r="H714" s="152" t="s">
        <v>5296</v>
      </c>
      <c r="I714" s="213">
        <v>42984</v>
      </c>
      <c r="J714" s="216" t="s">
        <v>5160</v>
      </c>
    </row>
    <row r="715" spans="1:10" ht="15" customHeight="1" x14ac:dyDescent="0.45">
      <c r="A715" s="200">
        <v>712</v>
      </c>
      <c r="B715" s="182" t="s">
        <v>5710</v>
      </c>
      <c r="C715" s="190" t="s">
        <v>859</v>
      </c>
      <c r="D715" s="190" t="s">
        <v>861</v>
      </c>
      <c r="E715" s="182" t="s">
        <v>65</v>
      </c>
      <c r="F715" s="131">
        <v>42970</v>
      </c>
      <c r="G715" s="119">
        <f ca="1">IF(ISBLANK(I715),TODAY()-F715,I715-F715)</f>
        <v>19</v>
      </c>
      <c r="H715" s="204" t="s">
        <v>5002</v>
      </c>
      <c r="I715" s="209">
        <v>42989</v>
      </c>
      <c r="J715" s="217" t="s">
        <v>5160</v>
      </c>
    </row>
    <row r="716" spans="1:10" ht="15" customHeight="1" x14ac:dyDescent="0.45">
      <c r="A716" s="114">
        <v>736</v>
      </c>
      <c r="B716" s="118" t="s">
        <v>1829</v>
      </c>
      <c r="C716" s="116" t="s">
        <v>1826</v>
      </c>
      <c r="D716" s="116" t="s">
        <v>1828</v>
      </c>
      <c r="E716" s="115">
        <v>0</v>
      </c>
      <c r="F716" s="222">
        <v>42971</v>
      </c>
      <c r="G716" s="119">
        <f ca="1">IF(ISBLANK(I716),TODAY()-F716,I716-F716)</f>
        <v>1</v>
      </c>
      <c r="H716" s="126" t="s">
        <v>64</v>
      </c>
      <c r="I716" s="127">
        <v>42972</v>
      </c>
      <c r="J716" s="183" t="s">
        <v>5160</v>
      </c>
    </row>
    <row r="717" spans="1:10" ht="15" customHeight="1" x14ac:dyDescent="0.45">
      <c r="A717" s="114">
        <v>740</v>
      </c>
      <c r="B717" s="118" t="s">
        <v>1812</v>
      </c>
      <c r="C717" s="116" t="s">
        <v>2682</v>
      </c>
      <c r="D717" s="116" t="s">
        <v>1811</v>
      </c>
      <c r="E717" s="115">
        <v>0</v>
      </c>
      <c r="F717" s="222">
        <v>42971</v>
      </c>
      <c r="G717" s="119">
        <f ca="1">IF(ISBLANK(I717),TODAY()-F717,I717-F717)</f>
        <v>1</v>
      </c>
      <c r="H717" s="126" t="s">
        <v>64</v>
      </c>
      <c r="I717" s="127">
        <v>42972</v>
      </c>
      <c r="J717" s="183" t="s">
        <v>5160</v>
      </c>
    </row>
    <row r="718" spans="1:10" ht="15" customHeight="1" x14ac:dyDescent="0.45">
      <c r="A718" s="114">
        <v>741</v>
      </c>
      <c r="B718" s="118" t="s">
        <v>1812</v>
      </c>
      <c r="C718" s="116" t="s">
        <v>1865</v>
      </c>
      <c r="D718" s="116" t="s">
        <v>1867</v>
      </c>
      <c r="E718" s="115">
        <v>0</v>
      </c>
      <c r="F718" s="222">
        <v>42971</v>
      </c>
      <c r="G718" s="119">
        <f ca="1">IF(ISBLANK(I718),TODAY()-F718,I718-F718)</f>
        <v>1</v>
      </c>
      <c r="H718" s="126" t="s">
        <v>5493</v>
      </c>
      <c r="I718" s="127">
        <v>42972</v>
      </c>
      <c r="J718" s="183" t="s">
        <v>5160</v>
      </c>
    </row>
    <row r="719" spans="1:10" ht="15" customHeight="1" x14ac:dyDescent="0.45">
      <c r="A719" s="114">
        <v>742</v>
      </c>
      <c r="B719" s="118" t="s">
        <v>1812</v>
      </c>
      <c r="C719" s="116" t="s">
        <v>1868</v>
      </c>
      <c r="D719" s="116" t="s">
        <v>5278</v>
      </c>
      <c r="E719" s="115">
        <v>0</v>
      </c>
      <c r="F719" s="222">
        <v>42971</v>
      </c>
      <c r="G719" s="119">
        <f ca="1">IF(ISBLANK(I719),TODAY()-F719,I719-F719)</f>
        <v>1</v>
      </c>
      <c r="H719" s="126" t="s">
        <v>64</v>
      </c>
      <c r="I719" s="127">
        <v>42972</v>
      </c>
      <c r="J719" s="183" t="s">
        <v>5160</v>
      </c>
    </row>
    <row r="720" spans="1:10" ht="15" customHeight="1" x14ac:dyDescent="0.45">
      <c r="A720" s="114">
        <v>743</v>
      </c>
      <c r="B720" s="118" t="s">
        <v>1812</v>
      </c>
      <c r="C720" s="116" t="s">
        <v>1890</v>
      </c>
      <c r="D720" s="116" t="s">
        <v>1892</v>
      </c>
      <c r="E720" s="115">
        <v>0</v>
      </c>
      <c r="F720" s="222">
        <v>42971</v>
      </c>
      <c r="G720" s="119">
        <f ca="1">IF(ISBLANK(I720),TODAY()-F720,I720-F720)</f>
        <v>1</v>
      </c>
      <c r="H720" s="126" t="s">
        <v>64</v>
      </c>
      <c r="I720" s="127">
        <v>42972</v>
      </c>
      <c r="J720" s="183" t="s">
        <v>5160</v>
      </c>
    </row>
    <row r="721" spans="1:10" ht="15" customHeight="1" x14ac:dyDescent="0.45">
      <c r="A721" s="114">
        <v>705</v>
      </c>
      <c r="B721" s="130" t="s">
        <v>5707</v>
      </c>
      <c r="C721" s="135" t="s">
        <v>5708</v>
      </c>
      <c r="D721" s="135" t="s">
        <v>236</v>
      </c>
      <c r="E721" s="130" t="s">
        <v>5002</v>
      </c>
      <c r="F721" s="222">
        <v>42972</v>
      </c>
      <c r="G721" s="119">
        <f ca="1">IF(ISBLANK(I721),TODAY()-F721,I721-F721)</f>
        <v>126</v>
      </c>
      <c r="H721" s="152" t="s">
        <v>5296</v>
      </c>
      <c r="I721" s="213">
        <v>43098</v>
      </c>
      <c r="J721" s="216" t="s">
        <v>5113</v>
      </c>
    </row>
    <row r="722" spans="1:10" ht="15" customHeight="1" x14ac:dyDescent="0.45">
      <c r="A722" s="114">
        <v>713</v>
      </c>
      <c r="B722" s="130" t="s">
        <v>5711</v>
      </c>
      <c r="C722" s="135" t="s">
        <v>2102</v>
      </c>
      <c r="D722" s="135" t="s">
        <v>2104</v>
      </c>
      <c r="E722" s="130" t="s">
        <v>65</v>
      </c>
      <c r="F722" s="222">
        <v>42972</v>
      </c>
      <c r="G722" s="119">
        <f ca="1">IF(ISBLANK(I722),TODAY()-F722,I722-F722)</f>
        <v>17</v>
      </c>
      <c r="H722" s="204" t="s">
        <v>65</v>
      </c>
      <c r="I722" s="209">
        <v>42989</v>
      </c>
      <c r="J722" s="217" t="s">
        <v>5160</v>
      </c>
    </row>
    <row r="723" spans="1:10" ht="15" customHeight="1" x14ac:dyDescent="0.45">
      <c r="A723" s="114">
        <v>714</v>
      </c>
      <c r="B723" s="130" t="s">
        <v>5711</v>
      </c>
      <c r="C723" s="135" t="s">
        <v>2107</v>
      </c>
      <c r="D723" s="135" t="s">
        <v>2109</v>
      </c>
      <c r="E723" s="130" t="s">
        <v>65</v>
      </c>
      <c r="F723" s="222">
        <v>42972</v>
      </c>
      <c r="G723" s="119">
        <f ca="1">IF(ISBLANK(I723),TODAY()-F723,I723-F723)</f>
        <v>17</v>
      </c>
      <c r="H723" s="204" t="s">
        <v>65</v>
      </c>
      <c r="I723" s="209">
        <v>42989</v>
      </c>
      <c r="J723" s="217" t="s">
        <v>5160</v>
      </c>
    </row>
    <row r="724" spans="1:10" ht="15" customHeight="1" x14ac:dyDescent="0.45">
      <c r="A724" s="114">
        <v>715</v>
      </c>
      <c r="B724" s="130" t="s">
        <v>5711</v>
      </c>
      <c r="C724" s="135" t="s">
        <v>2112</v>
      </c>
      <c r="D724" s="135" t="s">
        <v>2114</v>
      </c>
      <c r="E724" s="130" t="s">
        <v>65</v>
      </c>
      <c r="F724" s="131">
        <v>42972</v>
      </c>
      <c r="G724" s="119">
        <f ca="1">IF(ISBLANK(I724),TODAY()-F724,I724-F724)</f>
        <v>17</v>
      </c>
      <c r="H724" s="204" t="s">
        <v>65</v>
      </c>
      <c r="I724" s="209">
        <v>42989</v>
      </c>
      <c r="J724" s="210" t="s">
        <v>5160</v>
      </c>
    </row>
    <row r="725" spans="1:10" ht="15" customHeight="1" x14ac:dyDescent="0.45">
      <c r="A725" s="114">
        <v>716</v>
      </c>
      <c r="B725" s="130" t="s">
        <v>5711</v>
      </c>
      <c r="C725" s="135" t="s">
        <v>2116</v>
      </c>
      <c r="D725" s="135" t="s">
        <v>2118</v>
      </c>
      <c r="E725" s="130" t="s">
        <v>65</v>
      </c>
      <c r="F725" s="131">
        <v>42972</v>
      </c>
      <c r="G725" s="119">
        <f ca="1">IF(ISBLANK(I725),TODAY()-F725,I725-F725)</f>
        <v>17</v>
      </c>
      <c r="H725" s="204" t="s">
        <v>65</v>
      </c>
      <c r="I725" s="209">
        <v>42989</v>
      </c>
      <c r="J725" s="210" t="s">
        <v>5160</v>
      </c>
    </row>
    <row r="726" spans="1:10" ht="15" customHeight="1" x14ac:dyDescent="0.45">
      <c r="A726" s="114">
        <v>717</v>
      </c>
      <c r="B726" s="130" t="s">
        <v>5712</v>
      </c>
      <c r="C726" s="135" t="s">
        <v>2139</v>
      </c>
      <c r="D726" s="135" t="s">
        <v>2141</v>
      </c>
      <c r="E726" s="130" t="s">
        <v>65</v>
      </c>
      <c r="F726" s="131">
        <v>42972</v>
      </c>
      <c r="G726" s="119">
        <f ca="1">IF(ISBLANK(I726),TODAY()-F726,I726-F726)</f>
        <v>17</v>
      </c>
      <c r="H726" s="126" t="s">
        <v>2702</v>
      </c>
      <c r="I726" s="127">
        <v>42989</v>
      </c>
      <c r="J726" s="122" t="s">
        <v>5160</v>
      </c>
    </row>
    <row r="727" spans="1:10" ht="15" customHeight="1" x14ac:dyDescent="0.45">
      <c r="A727" s="114">
        <v>718</v>
      </c>
      <c r="B727" s="130" t="s">
        <v>5712</v>
      </c>
      <c r="C727" s="135" t="s">
        <v>2144</v>
      </c>
      <c r="D727" s="135" t="s">
        <v>2146</v>
      </c>
      <c r="E727" s="130" t="s">
        <v>65</v>
      </c>
      <c r="F727" s="131">
        <v>42972</v>
      </c>
      <c r="G727" s="119">
        <f ca="1">IF(ISBLANK(I727),TODAY()-F727,I727-F727)</f>
        <v>17</v>
      </c>
      <c r="H727" s="204" t="s">
        <v>65</v>
      </c>
      <c r="I727" s="209">
        <v>42989</v>
      </c>
      <c r="J727" s="210" t="s">
        <v>5160</v>
      </c>
    </row>
    <row r="728" spans="1:10" ht="15" customHeight="1" x14ac:dyDescent="0.45">
      <c r="A728" s="114">
        <v>719</v>
      </c>
      <c r="B728" s="130" t="s">
        <v>5712</v>
      </c>
      <c r="C728" s="135" t="s">
        <v>2148</v>
      </c>
      <c r="D728" s="135" t="s">
        <v>2150</v>
      </c>
      <c r="E728" s="130" t="s">
        <v>65</v>
      </c>
      <c r="F728" s="131">
        <v>42972</v>
      </c>
      <c r="G728" s="119">
        <f ca="1">IF(ISBLANK(I728),TODAY()-F728,I728-F728)</f>
        <v>17</v>
      </c>
      <c r="H728" s="204" t="s">
        <v>65</v>
      </c>
      <c r="I728" s="209">
        <v>42989</v>
      </c>
      <c r="J728" s="210" t="s">
        <v>5160</v>
      </c>
    </row>
    <row r="729" spans="1:10" ht="15" customHeight="1" x14ac:dyDescent="0.45">
      <c r="A729" s="114">
        <v>720</v>
      </c>
      <c r="B729" s="130" t="s">
        <v>5712</v>
      </c>
      <c r="C729" s="135" t="s">
        <v>2152</v>
      </c>
      <c r="D729" s="135" t="s">
        <v>2154</v>
      </c>
      <c r="E729" s="130" t="s">
        <v>65</v>
      </c>
      <c r="F729" s="131">
        <v>42972</v>
      </c>
      <c r="G729" s="119">
        <f ca="1">IF(ISBLANK(I729),TODAY()-F729,I729-F729)</f>
        <v>17</v>
      </c>
      <c r="H729" s="204" t="s">
        <v>65</v>
      </c>
      <c r="I729" s="209">
        <v>42989</v>
      </c>
      <c r="J729" s="210" t="s">
        <v>5160</v>
      </c>
    </row>
    <row r="730" spans="1:10" ht="15" customHeight="1" x14ac:dyDescent="0.45">
      <c r="A730" s="114">
        <v>721</v>
      </c>
      <c r="B730" s="130" t="s">
        <v>5713</v>
      </c>
      <c r="C730" s="208" t="s">
        <v>2178</v>
      </c>
      <c r="D730" s="208" t="s">
        <v>2180</v>
      </c>
      <c r="E730" s="130" t="s">
        <v>160</v>
      </c>
      <c r="F730" s="131">
        <v>42977</v>
      </c>
      <c r="G730" s="119">
        <f ca="1">IF(ISBLANK(I730),TODAY()-F730,I730-F730)</f>
        <v>19</v>
      </c>
      <c r="H730" s="126" t="s">
        <v>65</v>
      </c>
      <c r="I730" s="127">
        <v>42996</v>
      </c>
      <c r="J730" s="122" t="s">
        <v>5160</v>
      </c>
    </row>
    <row r="731" spans="1:10" ht="15" customHeight="1" x14ac:dyDescent="0.45">
      <c r="A731" s="114">
        <v>722</v>
      </c>
      <c r="B731" s="130" t="s">
        <v>5713</v>
      </c>
      <c r="C731" s="208" t="s">
        <v>2183</v>
      </c>
      <c r="D731" s="208" t="s">
        <v>2185</v>
      </c>
      <c r="E731" s="130" t="s">
        <v>160</v>
      </c>
      <c r="F731" s="131">
        <v>42977</v>
      </c>
      <c r="G731" s="119">
        <f ca="1">IF(ISBLANK(I731),TODAY()-F731,I731-F731)</f>
        <v>19</v>
      </c>
      <c r="H731" s="126" t="s">
        <v>160</v>
      </c>
      <c r="I731" s="127">
        <v>42996</v>
      </c>
      <c r="J731" s="122" t="s">
        <v>5160</v>
      </c>
    </row>
    <row r="732" spans="1:10" ht="15" customHeight="1" x14ac:dyDescent="0.45">
      <c r="A732" s="114">
        <v>723</v>
      </c>
      <c r="B732" s="130" t="s">
        <v>5713</v>
      </c>
      <c r="C732" s="208" t="s">
        <v>2197</v>
      </c>
      <c r="D732" s="208" t="s">
        <v>5714</v>
      </c>
      <c r="E732" s="130" t="s">
        <v>160</v>
      </c>
      <c r="F732" s="131">
        <v>42977</v>
      </c>
      <c r="G732" s="119">
        <f ca="1">IF(ISBLANK(I732),TODAY()-F732,I732-F732)</f>
        <v>19</v>
      </c>
      <c r="H732" s="126" t="s">
        <v>65</v>
      </c>
      <c r="I732" s="127">
        <v>42996</v>
      </c>
      <c r="J732" s="122" t="s">
        <v>5160</v>
      </c>
    </row>
    <row r="733" spans="1:10" ht="15" customHeight="1" x14ac:dyDescent="0.45">
      <c r="A733" s="114">
        <v>724</v>
      </c>
      <c r="B733" s="130" t="s">
        <v>5713</v>
      </c>
      <c r="C733" s="208" t="s">
        <v>2210</v>
      </c>
      <c r="D733" s="208" t="s">
        <v>2212</v>
      </c>
      <c r="E733" s="130" t="s">
        <v>65</v>
      </c>
      <c r="F733" s="131">
        <v>42977</v>
      </c>
      <c r="G733" s="119">
        <f ca="1">IF(ISBLANK(I733),TODAY()-F733,I733-F733)</f>
        <v>19</v>
      </c>
      <c r="H733" s="126" t="s">
        <v>65</v>
      </c>
      <c r="I733" s="127">
        <v>42996</v>
      </c>
      <c r="J733" s="122" t="s">
        <v>5160</v>
      </c>
    </row>
    <row r="734" spans="1:10" ht="15" customHeight="1" x14ac:dyDescent="0.45">
      <c r="A734" s="200">
        <v>725</v>
      </c>
      <c r="B734" s="182" t="s">
        <v>5713</v>
      </c>
      <c r="C734" s="214" t="s">
        <v>2227</v>
      </c>
      <c r="D734" s="214" t="s">
        <v>2229</v>
      </c>
      <c r="E734" s="182" t="s">
        <v>160</v>
      </c>
      <c r="F734" s="131">
        <v>42977</v>
      </c>
      <c r="G734" s="119">
        <f ca="1">IF(ISBLANK(I734),TODAY()-F734,I734-F734)</f>
        <v>19</v>
      </c>
      <c r="H734" s="179" t="s">
        <v>65</v>
      </c>
      <c r="I734" s="127">
        <v>42996</v>
      </c>
      <c r="J734" s="122" t="s">
        <v>5160</v>
      </c>
    </row>
    <row r="735" spans="1:10" ht="15" customHeight="1" x14ac:dyDescent="0.45">
      <c r="A735" s="114">
        <v>726</v>
      </c>
      <c r="B735" s="130" t="s">
        <v>5713</v>
      </c>
      <c r="C735" s="208" t="s">
        <v>2255</v>
      </c>
      <c r="D735" s="208" t="s">
        <v>2257</v>
      </c>
      <c r="E735" s="130" t="s">
        <v>65</v>
      </c>
      <c r="F735" s="131">
        <v>42977</v>
      </c>
      <c r="G735" s="119">
        <f ca="1">IF(ISBLANK(I735),TODAY()-F735,I735-F735)</f>
        <v>19</v>
      </c>
      <c r="H735" s="126" t="s">
        <v>2702</v>
      </c>
      <c r="I735" s="127">
        <v>42996</v>
      </c>
      <c r="J735" s="122" t="s">
        <v>5160</v>
      </c>
    </row>
    <row r="736" spans="1:10" ht="15" customHeight="1" x14ac:dyDescent="0.45">
      <c r="A736" s="114">
        <v>727</v>
      </c>
      <c r="B736" s="130" t="s">
        <v>5713</v>
      </c>
      <c r="C736" s="208" t="s">
        <v>2281</v>
      </c>
      <c r="D736" s="208" t="s">
        <v>2283</v>
      </c>
      <c r="E736" s="130" t="s">
        <v>160</v>
      </c>
      <c r="F736" s="131">
        <v>42977</v>
      </c>
      <c r="G736" s="119">
        <f ca="1">IF(ISBLANK(I736),TODAY()-F736,I736-F736)</f>
        <v>19</v>
      </c>
      <c r="H736" s="126" t="s">
        <v>65</v>
      </c>
      <c r="I736" s="127">
        <v>42996</v>
      </c>
      <c r="J736" s="122" t="s">
        <v>5160</v>
      </c>
    </row>
    <row r="737" spans="1:10" ht="15" customHeight="1" x14ac:dyDescent="0.45">
      <c r="A737" s="114">
        <v>728</v>
      </c>
      <c r="B737" s="130" t="s">
        <v>5713</v>
      </c>
      <c r="C737" s="208" t="s">
        <v>2285</v>
      </c>
      <c r="D737" s="208" t="s">
        <v>2287</v>
      </c>
      <c r="E737" s="130" t="s">
        <v>160</v>
      </c>
      <c r="F737" s="131">
        <v>42977</v>
      </c>
      <c r="G737" s="119">
        <f ca="1">IF(ISBLANK(I737),TODAY()-F737,I737-F737)</f>
        <v>19</v>
      </c>
      <c r="H737" s="126" t="s">
        <v>160</v>
      </c>
      <c r="I737" s="127">
        <v>42996</v>
      </c>
      <c r="J737" s="122" t="s">
        <v>5160</v>
      </c>
    </row>
    <row r="738" spans="1:10" ht="15" customHeight="1" x14ac:dyDescent="0.45">
      <c r="A738" s="114">
        <v>729</v>
      </c>
      <c r="B738" s="130" t="s">
        <v>5713</v>
      </c>
      <c r="C738" s="208" t="s">
        <v>2306</v>
      </c>
      <c r="D738" s="208" t="s">
        <v>2308</v>
      </c>
      <c r="E738" s="130" t="s">
        <v>65</v>
      </c>
      <c r="F738" s="131">
        <v>42977</v>
      </c>
      <c r="G738" s="119">
        <f ca="1">IF(ISBLANK(I738),TODAY()-F738,I738-F738)</f>
        <v>19</v>
      </c>
      <c r="H738" s="126" t="s">
        <v>65</v>
      </c>
      <c r="I738" s="127">
        <v>42996</v>
      </c>
      <c r="J738" s="122" t="s">
        <v>5160</v>
      </c>
    </row>
    <row r="739" spans="1:10" ht="15" customHeight="1" x14ac:dyDescent="0.45">
      <c r="A739" s="114">
        <v>730</v>
      </c>
      <c r="B739" s="130" t="s">
        <v>5713</v>
      </c>
      <c r="C739" s="208" t="s">
        <v>2314</v>
      </c>
      <c r="D739" s="208" t="s">
        <v>2316</v>
      </c>
      <c r="E739" s="130" t="s">
        <v>160</v>
      </c>
      <c r="F739" s="131">
        <v>42977</v>
      </c>
      <c r="G739" s="119">
        <f ca="1">IF(ISBLANK(I739),TODAY()-F739,I739-F739)</f>
        <v>19</v>
      </c>
      <c r="H739" s="126" t="s">
        <v>65</v>
      </c>
      <c r="I739" s="127">
        <v>42996</v>
      </c>
      <c r="J739" s="183" t="s">
        <v>5160</v>
      </c>
    </row>
    <row r="740" spans="1:10" ht="15" customHeight="1" x14ac:dyDescent="0.45">
      <c r="A740" s="114">
        <v>731</v>
      </c>
      <c r="B740" s="130" t="s">
        <v>5713</v>
      </c>
      <c r="C740" s="208" t="s">
        <v>2339</v>
      </c>
      <c r="D740" s="208" t="s">
        <v>2341</v>
      </c>
      <c r="E740" s="130" t="s">
        <v>65</v>
      </c>
      <c r="F740" s="131">
        <v>42977</v>
      </c>
      <c r="G740" s="119">
        <f ca="1">IF(ISBLANK(I740),TODAY()-F740,I740-F740)</f>
        <v>19</v>
      </c>
      <c r="H740" s="126" t="s">
        <v>2702</v>
      </c>
      <c r="I740" s="127">
        <v>42996</v>
      </c>
      <c r="J740" s="122" t="s">
        <v>5160</v>
      </c>
    </row>
    <row r="741" spans="1:10" ht="15" customHeight="1" x14ac:dyDescent="0.45">
      <c r="A741" s="114">
        <v>732</v>
      </c>
      <c r="B741" s="118" t="s">
        <v>5715</v>
      </c>
      <c r="C741" s="116" t="s">
        <v>1798</v>
      </c>
      <c r="D741" s="116" t="s">
        <v>1800</v>
      </c>
      <c r="E741" s="115" t="s">
        <v>164</v>
      </c>
      <c r="F741" s="131">
        <v>42977</v>
      </c>
      <c r="G741" s="119">
        <f ca="1">IF(ISBLANK(I741),TODAY()-F741,I741-F741)</f>
        <v>19</v>
      </c>
      <c r="H741" s="126" t="s">
        <v>2702</v>
      </c>
      <c r="I741" s="127">
        <v>42996</v>
      </c>
      <c r="J741" s="122" t="s">
        <v>5160</v>
      </c>
    </row>
    <row r="742" spans="1:10" ht="15" customHeight="1" x14ac:dyDescent="0.45">
      <c r="A742" s="114">
        <v>733</v>
      </c>
      <c r="B742" s="118" t="s">
        <v>5715</v>
      </c>
      <c r="C742" s="116" t="s">
        <v>1813</v>
      </c>
      <c r="D742" s="116" t="s">
        <v>1815</v>
      </c>
      <c r="E742" s="115" t="s">
        <v>164</v>
      </c>
      <c r="F742" s="131">
        <v>42977</v>
      </c>
      <c r="G742" s="119">
        <f ca="1">IF(ISBLANK(I742),TODAY()-F742,I742-F742)</f>
        <v>19</v>
      </c>
      <c r="H742" s="126" t="s">
        <v>2702</v>
      </c>
      <c r="I742" s="127">
        <v>42996</v>
      </c>
      <c r="J742" s="122" t="s">
        <v>5160</v>
      </c>
    </row>
    <row r="743" spans="1:10" ht="15" customHeight="1" x14ac:dyDescent="0.45">
      <c r="A743" s="114">
        <v>734</v>
      </c>
      <c r="B743" s="118" t="s">
        <v>5715</v>
      </c>
      <c r="C743" s="116" t="s">
        <v>1818</v>
      </c>
      <c r="D743" s="116" t="s">
        <v>1820</v>
      </c>
      <c r="E743" s="115" t="s">
        <v>164</v>
      </c>
      <c r="F743" s="131">
        <v>42977</v>
      </c>
      <c r="G743" s="119">
        <f ca="1">IF(ISBLANK(I743),TODAY()-F743,I743-F743)</f>
        <v>19</v>
      </c>
      <c r="H743" s="126" t="s">
        <v>2702</v>
      </c>
      <c r="I743" s="127">
        <v>42996</v>
      </c>
      <c r="J743" s="183" t="s">
        <v>5160</v>
      </c>
    </row>
    <row r="744" spans="1:10" ht="15" customHeight="1" x14ac:dyDescent="0.45">
      <c r="A744" s="114">
        <v>735</v>
      </c>
      <c r="B744" s="118" t="s">
        <v>5715</v>
      </c>
      <c r="C744" s="116" t="s">
        <v>1830</v>
      </c>
      <c r="D744" s="116" t="s">
        <v>1832</v>
      </c>
      <c r="E744" s="115" t="s">
        <v>164</v>
      </c>
      <c r="F744" s="131">
        <v>42977</v>
      </c>
      <c r="G744" s="119">
        <f ca="1">IF(ISBLANK(I744),TODAY()-F744,I744-F744)</f>
        <v>19</v>
      </c>
      <c r="H744" s="126" t="s">
        <v>2702</v>
      </c>
      <c r="I744" s="127">
        <v>42996</v>
      </c>
      <c r="J744" s="183" t="s">
        <v>5160</v>
      </c>
    </row>
    <row r="745" spans="1:10" ht="15" customHeight="1" x14ac:dyDescent="0.45">
      <c r="A745" s="114">
        <v>737</v>
      </c>
      <c r="B745" s="118" t="s">
        <v>5716</v>
      </c>
      <c r="C745" s="116" t="s">
        <v>1848</v>
      </c>
      <c r="D745" s="116" t="s">
        <v>1850</v>
      </c>
      <c r="E745" s="115" t="s">
        <v>3979</v>
      </c>
      <c r="F745" s="131">
        <v>42977</v>
      </c>
      <c r="G745" s="119">
        <f ca="1">IF(ISBLANK(I745),TODAY()-F745,I745-F745)</f>
        <v>19</v>
      </c>
      <c r="H745" s="126" t="s">
        <v>65</v>
      </c>
      <c r="I745" s="127">
        <v>42996</v>
      </c>
      <c r="J745" s="183" t="s">
        <v>5160</v>
      </c>
    </row>
    <row r="746" spans="1:10" ht="15" customHeight="1" x14ac:dyDescent="0.45">
      <c r="A746" s="200">
        <v>738</v>
      </c>
      <c r="B746" s="167" t="s">
        <v>5716</v>
      </c>
      <c r="C746" s="168" t="s">
        <v>1881</v>
      </c>
      <c r="D746" s="168" t="s">
        <v>5162</v>
      </c>
      <c r="E746" s="169" t="s">
        <v>3979</v>
      </c>
      <c r="F746" s="178">
        <v>42977</v>
      </c>
      <c r="G746" s="119">
        <f ca="1">IF(ISBLANK(I746),TODAY()-F746,I746-F746)</f>
        <v>19</v>
      </c>
      <c r="H746" s="126" t="s">
        <v>2702</v>
      </c>
      <c r="I746" s="127">
        <v>42996</v>
      </c>
      <c r="J746" s="183" t="s">
        <v>5160</v>
      </c>
    </row>
    <row r="747" spans="1:10" ht="15" customHeight="1" x14ac:dyDescent="0.45">
      <c r="A747" s="114">
        <v>739</v>
      </c>
      <c r="B747" s="118" t="s">
        <v>5716</v>
      </c>
      <c r="C747" s="116" t="s">
        <v>1922</v>
      </c>
      <c r="D747" s="116" t="s">
        <v>1924</v>
      </c>
      <c r="E747" s="115" t="s">
        <v>160</v>
      </c>
      <c r="F747" s="131">
        <v>42977</v>
      </c>
      <c r="G747" s="119">
        <f ca="1">IF(ISBLANK(I747),TODAY()-F747,I747-F747)</f>
        <v>23</v>
      </c>
      <c r="H747" s="126" t="s">
        <v>5004</v>
      </c>
      <c r="I747" s="127">
        <v>43000</v>
      </c>
      <c r="J747" s="122" t="s">
        <v>5160</v>
      </c>
    </row>
    <row r="748" spans="1:10" ht="15" customHeight="1" x14ac:dyDescent="0.45">
      <c r="A748" s="114">
        <v>744</v>
      </c>
      <c r="B748" s="130" t="s">
        <v>5717</v>
      </c>
      <c r="C748" s="135" t="s">
        <v>350</v>
      </c>
      <c r="D748" s="135" t="s">
        <v>352</v>
      </c>
      <c r="E748" s="130" t="s">
        <v>65</v>
      </c>
      <c r="F748" s="131">
        <v>42977</v>
      </c>
      <c r="G748" s="119">
        <f ca="1">IF(ISBLANK(I748),TODAY()-F748,I748-F748)</f>
        <v>19</v>
      </c>
      <c r="H748" s="126" t="s">
        <v>2702</v>
      </c>
      <c r="I748" s="127">
        <v>42996</v>
      </c>
      <c r="J748" s="122" t="s">
        <v>5160</v>
      </c>
    </row>
    <row r="749" spans="1:10" ht="15" customHeight="1" x14ac:dyDescent="0.45">
      <c r="A749" s="114">
        <v>745</v>
      </c>
      <c r="B749" s="130" t="s">
        <v>5717</v>
      </c>
      <c r="C749" s="135" t="s">
        <v>354</v>
      </c>
      <c r="D749" s="135" t="s">
        <v>356</v>
      </c>
      <c r="E749" s="130" t="s">
        <v>65</v>
      </c>
      <c r="F749" s="131">
        <v>42977</v>
      </c>
      <c r="G749" s="119">
        <f ca="1">IF(ISBLANK(I749),TODAY()-F749,I749-F749)</f>
        <v>19</v>
      </c>
      <c r="H749" s="126" t="s">
        <v>2702</v>
      </c>
      <c r="I749" s="127">
        <v>42996</v>
      </c>
      <c r="J749" s="122" t="s">
        <v>5160</v>
      </c>
    </row>
    <row r="750" spans="1:10" ht="15" customHeight="1" x14ac:dyDescent="0.45">
      <c r="A750" s="200">
        <v>746</v>
      </c>
      <c r="B750" s="182" t="s">
        <v>5718</v>
      </c>
      <c r="C750" s="190" t="s">
        <v>1539</v>
      </c>
      <c r="D750" s="190" t="s">
        <v>1541</v>
      </c>
      <c r="E750" s="182" t="s">
        <v>65</v>
      </c>
      <c r="F750" s="131">
        <v>42977</v>
      </c>
      <c r="G750" s="119">
        <f ca="1">IF(ISBLANK(I750),TODAY()-F750,I750-F750)</f>
        <v>19</v>
      </c>
      <c r="H750" s="179" t="s">
        <v>65</v>
      </c>
      <c r="I750" s="127">
        <v>42996</v>
      </c>
      <c r="J750" s="122" t="s">
        <v>5160</v>
      </c>
    </row>
    <row r="751" spans="1:10" ht="15" customHeight="1" x14ac:dyDescent="0.45">
      <c r="A751" s="114">
        <v>747</v>
      </c>
      <c r="B751" s="130" t="s">
        <v>5718</v>
      </c>
      <c r="C751" s="135" t="s">
        <v>1542</v>
      </c>
      <c r="D751" s="135" t="s">
        <v>1544</v>
      </c>
      <c r="E751" s="130" t="s">
        <v>65</v>
      </c>
      <c r="F751" s="131">
        <v>42977</v>
      </c>
      <c r="G751" s="119">
        <f ca="1">IF(ISBLANK(I751),TODAY()-F751,I751-F751)</f>
        <v>19</v>
      </c>
      <c r="H751" s="126" t="s">
        <v>65</v>
      </c>
      <c r="I751" s="127">
        <v>42996</v>
      </c>
      <c r="J751" s="122" t="s">
        <v>5160</v>
      </c>
    </row>
    <row r="752" spans="1:10" ht="15" customHeight="1" x14ac:dyDescent="0.45">
      <c r="A752" s="114">
        <v>748</v>
      </c>
      <c r="B752" s="130" t="s">
        <v>416</v>
      </c>
      <c r="C752" s="135" t="s">
        <v>413</v>
      </c>
      <c r="D752" s="135" t="s">
        <v>415</v>
      </c>
      <c r="E752" s="130">
        <v>0</v>
      </c>
      <c r="F752" s="131">
        <v>42977</v>
      </c>
      <c r="G752" s="119">
        <f ca="1">IF(ISBLANK(I752),TODAY()-F752,I752-F752)</f>
        <v>9</v>
      </c>
      <c r="H752" s="126" t="s">
        <v>64</v>
      </c>
      <c r="I752" s="223">
        <v>42986</v>
      </c>
      <c r="J752" s="210" t="s">
        <v>5160</v>
      </c>
    </row>
    <row r="753" spans="1:10" ht="15" customHeight="1" x14ac:dyDescent="0.45">
      <c r="A753" s="114">
        <v>749</v>
      </c>
      <c r="B753" s="130" t="s">
        <v>416</v>
      </c>
      <c r="C753" s="135" t="s">
        <v>453</v>
      </c>
      <c r="D753" s="135" t="s">
        <v>455</v>
      </c>
      <c r="E753" s="130">
        <v>0</v>
      </c>
      <c r="F753" s="131">
        <v>42977</v>
      </c>
      <c r="G753" s="119">
        <f ca="1">IF(ISBLANK(I753),TODAY()-F753,I753-F753)</f>
        <v>9</v>
      </c>
      <c r="H753" s="126" t="s">
        <v>64</v>
      </c>
      <c r="I753" s="223">
        <v>42986</v>
      </c>
      <c r="J753" s="210" t="s">
        <v>5160</v>
      </c>
    </row>
    <row r="754" spans="1:10" ht="15" customHeight="1" x14ac:dyDescent="0.45">
      <c r="A754" s="114">
        <v>750</v>
      </c>
      <c r="B754" s="130" t="s">
        <v>412</v>
      </c>
      <c r="C754" s="135" t="s">
        <v>409</v>
      </c>
      <c r="D754" s="135" t="s">
        <v>411</v>
      </c>
      <c r="E754" s="130">
        <v>0</v>
      </c>
      <c r="F754" s="131">
        <v>42977</v>
      </c>
      <c r="G754" s="119">
        <f ca="1">IF(ISBLANK(I754),TODAY()-F754,I754-F754)</f>
        <v>9</v>
      </c>
      <c r="H754" s="126" t="s">
        <v>5344</v>
      </c>
      <c r="I754" s="223">
        <v>42986</v>
      </c>
      <c r="J754" s="210" t="s">
        <v>5160</v>
      </c>
    </row>
    <row r="755" spans="1:10" ht="15" customHeight="1" x14ac:dyDescent="0.45">
      <c r="A755" s="114">
        <v>751</v>
      </c>
      <c r="B755" s="130" t="s">
        <v>412</v>
      </c>
      <c r="C755" s="135" t="s">
        <v>418</v>
      </c>
      <c r="D755" s="135" t="s">
        <v>420</v>
      </c>
      <c r="E755" s="130">
        <v>0</v>
      </c>
      <c r="F755" s="131">
        <v>42977</v>
      </c>
      <c r="G755" s="119">
        <f ca="1">IF(ISBLANK(I755),TODAY()-F755,I755-F755)</f>
        <v>9</v>
      </c>
      <c r="H755" s="126" t="s">
        <v>5344</v>
      </c>
      <c r="I755" s="223">
        <v>42986</v>
      </c>
      <c r="J755" s="210" t="s">
        <v>5160</v>
      </c>
    </row>
    <row r="756" spans="1:10" ht="15" customHeight="1" x14ac:dyDescent="0.45">
      <c r="A756" s="114">
        <v>752</v>
      </c>
      <c r="B756" s="130" t="s">
        <v>412</v>
      </c>
      <c r="C756" s="135" t="s">
        <v>422</v>
      </c>
      <c r="D756" s="135" t="s">
        <v>424</v>
      </c>
      <c r="E756" s="130">
        <v>0</v>
      </c>
      <c r="F756" s="131">
        <v>42977</v>
      </c>
      <c r="G756" s="119">
        <f ca="1">IF(ISBLANK(I756),TODAY()-F756,I756-F756)</f>
        <v>9</v>
      </c>
      <c r="H756" s="126" t="s">
        <v>5344</v>
      </c>
      <c r="I756" s="223">
        <v>42986</v>
      </c>
      <c r="J756" s="210" t="s">
        <v>5160</v>
      </c>
    </row>
    <row r="757" spans="1:10" ht="15" customHeight="1" x14ac:dyDescent="0.45">
      <c r="A757" s="114">
        <v>753</v>
      </c>
      <c r="B757" s="130" t="s">
        <v>412</v>
      </c>
      <c r="C757" s="135" t="s">
        <v>457</v>
      </c>
      <c r="D757" s="135" t="s">
        <v>459</v>
      </c>
      <c r="E757" s="130">
        <v>0</v>
      </c>
      <c r="F757" s="131">
        <v>42977</v>
      </c>
      <c r="G757" s="119">
        <f ca="1">IF(ISBLANK(I757),TODAY()-F757,I757-F757)</f>
        <v>9</v>
      </c>
      <c r="H757" s="126" t="s">
        <v>5344</v>
      </c>
      <c r="I757" s="223">
        <v>42986</v>
      </c>
      <c r="J757" s="210" t="s">
        <v>5160</v>
      </c>
    </row>
    <row r="758" spans="1:10" ht="15" customHeight="1" x14ac:dyDescent="0.45">
      <c r="A758" s="114">
        <v>754</v>
      </c>
      <c r="B758" s="130" t="s">
        <v>412</v>
      </c>
      <c r="C758" s="135" t="s">
        <v>461</v>
      </c>
      <c r="D758" s="135" t="s">
        <v>463</v>
      </c>
      <c r="E758" s="130">
        <v>0</v>
      </c>
      <c r="F758" s="131">
        <v>42977</v>
      </c>
      <c r="G758" s="119">
        <f ca="1">IF(ISBLANK(I758),TODAY()-F758,I758-F758)</f>
        <v>9</v>
      </c>
      <c r="H758" s="126" t="s">
        <v>5344</v>
      </c>
      <c r="I758" s="223">
        <v>42986</v>
      </c>
      <c r="J758" s="210" t="s">
        <v>5160</v>
      </c>
    </row>
    <row r="759" spans="1:10" ht="15" customHeight="1" x14ac:dyDescent="0.45">
      <c r="A759" s="114">
        <v>755</v>
      </c>
      <c r="B759" s="130" t="s">
        <v>5719</v>
      </c>
      <c r="C759" s="135" t="s">
        <v>404</v>
      </c>
      <c r="D759" s="135" t="s">
        <v>406</v>
      </c>
      <c r="E759" s="130" t="s">
        <v>160</v>
      </c>
      <c r="F759" s="131">
        <v>42977</v>
      </c>
      <c r="G759" s="119">
        <f ca="1">IF(ISBLANK(I759),TODAY()-F759,I759-F759)</f>
        <v>19</v>
      </c>
      <c r="H759" s="126" t="s">
        <v>65</v>
      </c>
      <c r="I759" s="127">
        <v>42996</v>
      </c>
      <c r="J759" s="122" t="s">
        <v>5160</v>
      </c>
    </row>
    <row r="760" spans="1:10" ht="15" customHeight="1" x14ac:dyDescent="0.45">
      <c r="A760" s="200">
        <v>756</v>
      </c>
      <c r="B760" s="182" t="s">
        <v>5719</v>
      </c>
      <c r="C760" s="190" t="s">
        <v>447</v>
      </c>
      <c r="D760" s="190" t="s">
        <v>449</v>
      </c>
      <c r="E760" s="182" t="s">
        <v>160</v>
      </c>
      <c r="F760" s="131">
        <v>42977</v>
      </c>
      <c r="G760" s="119">
        <f ca="1">IF(ISBLANK(I760),TODAY()-F760,I760-F760)</f>
        <v>19</v>
      </c>
      <c r="H760" s="179" t="s">
        <v>160</v>
      </c>
      <c r="I760" s="127">
        <v>42996</v>
      </c>
      <c r="J760" s="122" t="s">
        <v>5160</v>
      </c>
    </row>
    <row r="761" spans="1:10" ht="15" customHeight="1" x14ac:dyDescent="0.45">
      <c r="A761" s="114">
        <v>757</v>
      </c>
      <c r="B761" s="130" t="s">
        <v>5719</v>
      </c>
      <c r="C761" s="135" t="s">
        <v>450</v>
      </c>
      <c r="D761" s="135" t="s">
        <v>452</v>
      </c>
      <c r="E761" s="130" t="s">
        <v>164</v>
      </c>
      <c r="F761" s="131">
        <v>42977</v>
      </c>
      <c r="G761" s="119">
        <f ca="1">IF(ISBLANK(I761),TODAY()-F761,I761-F761)</f>
        <v>19</v>
      </c>
      <c r="H761" s="126" t="s">
        <v>65</v>
      </c>
      <c r="I761" s="127">
        <v>42996</v>
      </c>
      <c r="J761" s="183" t="s">
        <v>5160</v>
      </c>
    </row>
    <row r="762" spans="1:10" ht="15" customHeight="1" x14ac:dyDescent="0.45">
      <c r="A762" s="114">
        <v>758</v>
      </c>
      <c r="B762" s="130" t="s">
        <v>5720</v>
      </c>
      <c r="C762" s="130" t="s">
        <v>1630</v>
      </c>
      <c r="D762" s="130" t="s">
        <v>1632</v>
      </c>
      <c r="E762" s="130" t="s">
        <v>160</v>
      </c>
      <c r="F762" s="131">
        <v>42977</v>
      </c>
      <c r="G762" s="119">
        <f ca="1">IF(ISBLANK(I762),TODAY()-F762,I762-F762)</f>
        <v>23</v>
      </c>
      <c r="H762" s="126" t="s">
        <v>5004</v>
      </c>
      <c r="I762" s="127">
        <v>43000</v>
      </c>
      <c r="J762" s="183" t="s">
        <v>5113</v>
      </c>
    </row>
    <row r="763" spans="1:10" ht="15" customHeight="1" x14ac:dyDescent="0.45">
      <c r="A763" s="114">
        <v>759</v>
      </c>
      <c r="B763" s="130" t="s">
        <v>5720</v>
      </c>
      <c r="C763" s="130" t="s">
        <v>1659</v>
      </c>
      <c r="D763" s="130" t="s">
        <v>1661</v>
      </c>
      <c r="E763" s="130" t="s">
        <v>160</v>
      </c>
      <c r="F763" s="131">
        <v>42977</v>
      </c>
      <c r="G763" s="119">
        <f ca="1">IF(ISBLANK(I763),TODAY()-F763,I763-F763)</f>
        <v>23</v>
      </c>
      <c r="H763" s="126" t="s">
        <v>5004</v>
      </c>
      <c r="I763" s="127">
        <v>43000</v>
      </c>
      <c r="J763" s="183" t="s">
        <v>5113</v>
      </c>
    </row>
    <row r="764" spans="1:10" ht="15" customHeight="1" x14ac:dyDescent="0.45">
      <c r="A764" s="114">
        <v>760</v>
      </c>
      <c r="B764" s="130" t="s">
        <v>5720</v>
      </c>
      <c r="C764" s="130" t="s">
        <v>1622</v>
      </c>
      <c r="D764" s="130" t="s">
        <v>1624</v>
      </c>
      <c r="E764" s="130" t="s">
        <v>164</v>
      </c>
      <c r="F764" s="131">
        <v>42977</v>
      </c>
      <c r="G764" s="119">
        <f ca="1">IF(ISBLANK(I764),TODAY()-F764,I764-F764)</f>
        <v>23</v>
      </c>
      <c r="H764" s="126" t="s">
        <v>5004</v>
      </c>
      <c r="I764" s="127">
        <v>43000</v>
      </c>
      <c r="J764" s="122" t="s">
        <v>5113</v>
      </c>
    </row>
    <row r="765" spans="1:10" ht="15" customHeight="1" x14ac:dyDescent="0.45">
      <c r="A765" s="172">
        <v>779</v>
      </c>
      <c r="B765" s="115" t="s">
        <v>245</v>
      </c>
      <c r="C765" s="116" t="s">
        <v>242</v>
      </c>
      <c r="D765" s="116" t="s">
        <v>244</v>
      </c>
      <c r="E765" s="115">
        <v>0</v>
      </c>
      <c r="F765" s="118">
        <v>42977</v>
      </c>
      <c r="G765" s="119">
        <f ca="1">IF(ISBLANK(I765),TODAY()-F765,I765-F765)</f>
        <v>9</v>
      </c>
      <c r="H765" s="126" t="s">
        <v>64</v>
      </c>
      <c r="I765" s="223">
        <v>42986</v>
      </c>
      <c r="J765" s="210" t="s">
        <v>5160</v>
      </c>
    </row>
    <row r="766" spans="1:10" ht="15" customHeight="1" x14ac:dyDescent="0.45">
      <c r="A766" s="114">
        <v>761</v>
      </c>
      <c r="B766" s="130" t="s">
        <v>5721</v>
      </c>
      <c r="C766" s="130" t="s">
        <v>1731</v>
      </c>
      <c r="D766" s="130" t="s">
        <v>1733</v>
      </c>
      <c r="E766" s="130" t="s">
        <v>160</v>
      </c>
      <c r="F766" s="224">
        <v>42984</v>
      </c>
      <c r="G766" s="119">
        <f ca="1">IF(ISBLANK(I766),TODAY()-F766,I766-F766)</f>
        <v>12</v>
      </c>
      <c r="H766" s="126" t="s">
        <v>65</v>
      </c>
      <c r="I766" s="127">
        <v>42996</v>
      </c>
      <c r="J766" s="122" t="s">
        <v>5160</v>
      </c>
    </row>
    <row r="767" spans="1:10" ht="15" customHeight="1" x14ac:dyDescent="0.45">
      <c r="A767" s="114">
        <v>762</v>
      </c>
      <c r="B767" s="130" t="s">
        <v>5721</v>
      </c>
      <c r="C767" s="130" t="s">
        <v>1734</v>
      </c>
      <c r="D767" s="130" t="s">
        <v>1736</v>
      </c>
      <c r="E767" s="130" t="s">
        <v>160</v>
      </c>
      <c r="F767" s="224">
        <v>42984</v>
      </c>
      <c r="G767" s="119">
        <f ca="1">IF(ISBLANK(I767),TODAY()-F767,I767-F767)</f>
        <v>12</v>
      </c>
      <c r="H767" s="126" t="s">
        <v>160</v>
      </c>
      <c r="I767" s="127">
        <v>42996</v>
      </c>
      <c r="J767" s="122" t="s">
        <v>5160</v>
      </c>
    </row>
    <row r="768" spans="1:10" ht="15" customHeight="1" x14ac:dyDescent="0.45">
      <c r="A768" s="114">
        <v>763</v>
      </c>
      <c r="B768" s="130" t="s">
        <v>5721</v>
      </c>
      <c r="C768" s="130" t="s">
        <v>1741</v>
      </c>
      <c r="D768" s="130" t="s">
        <v>1743</v>
      </c>
      <c r="E768" s="130" t="s">
        <v>65</v>
      </c>
      <c r="F768" s="224">
        <v>42984</v>
      </c>
      <c r="G768" s="119">
        <f ca="1">IF(ISBLANK(I768),TODAY()-F768,I768-F768)</f>
        <v>12</v>
      </c>
      <c r="H768" s="126" t="s">
        <v>160</v>
      </c>
      <c r="I768" s="127">
        <v>42996</v>
      </c>
      <c r="J768" s="122" t="s">
        <v>5160</v>
      </c>
    </row>
    <row r="769" spans="1:10" ht="15" customHeight="1" x14ac:dyDescent="0.45">
      <c r="A769" s="114">
        <v>764</v>
      </c>
      <c r="B769" s="130" t="s">
        <v>5721</v>
      </c>
      <c r="C769" s="130" t="s">
        <v>1749</v>
      </c>
      <c r="D769" s="130" t="s">
        <v>1751</v>
      </c>
      <c r="E769" s="130" t="s">
        <v>65</v>
      </c>
      <c r="F769" s="224">
        <v>42984</v>
      </c>
      <c r="G769" s="119">
        <f ca="1">IF(ISBLANK(I769),TODAY()-F769,I769-F769)</f>
        <v>12</v>
      </c>
      <c r="H769" s="126" t="s">
        <v>160</v>
      </c>
      <c r="I769" s="127">
        <v>42996</v>
      </c>
      <c r="J769" s="122" t="s">
        <v>5160</v>
      </c>
    </row>
    <row r="770" spans="1:10" ht="15" customHeight="1" x14ac:dyDescent="0.45">
      <c r="A770" s="114">
        <v>765</v>
      </c>
      <c r="B770" s="130" t="s">
        <v>5721</v>
      </c>
      <c r="C770" s="130" t="s">
        <v>1753</v>
      </c>
      <c r="D770" s="130" t="s">
        <v>1755</v>
      </c>
      <c r="E770" s="130" t="s">
        <v>65</v>
      </c>
      <c r="F770" s="224">
        <v>42984</v>
      </c>
      <c r="G770" s="119">
        <f ca="1">IF(ISBLANK(I770),TODAY()-F770,I770-F770)</f>
        <v>12</v>
      </c>
      <c r="H770" s="126" t="s">
        <v>160</v>
      </c>
      <c r="I770" s="127">
        <v>42996</v>
      </c>
      <c r="J770" s="122" t="s">
        <v>5160</v>
      </c>
    </row>
    <row r="771" spans="1:10" ht="15" customHeight="1" x14ac:dyDescent="0.45">
      <c r="A771" s="114">
        <v>766</v>
      </c>
      <c r="B771" s="182" t="s">
        <v>5722</v>
      </c>
      <c r="C771" s="190" t="s">
        <v>827</v>
      </c>
      <c r="D771" s="190" t="s">
        <v>829</v>
      </c>
      <c r="E771" s="182" t="s">
        <v>65</v>
      </c>
      <c r="F771" s="224">
        <v>42984</v>
      </c>
      <c r="G771" s="119">
        <f ca="1">IF(ISBLANK(I771),TODAY()-F771,I771-F771)</f>
        <v>12</v>
      </c>
      <c r="H771" s="179" t="s">
        <v>2702</v>
      </c>
      <c r="I771" s="127">
        <v>42996</v>
      </c>
      <c r="J771" s="122" t="s">
        <v>5160</v>
      </c>
    </row>
    <row r="772" spans="1:10" ht="15" customHeight="1" x14ac:dyDescent="0.45">
      <c r="A772" s="114">
        <v>767</v>
      </c>
      <c r="B772" s="130" t="s">
        <v>5722</v>
      </c>
      <c r="C772" s="135" t="s">
        <v>832</v>
      </c>
      <c r="D772" s="135" t="s">
        <v>834</v>
      </c>
      <c r="E772" s="130" t="s">
        <v>65</v>
      </c>
      <c r="F772" s="224">
        <v>42984</v>
      </c>
      <c r="G772" s="119">
        <f ca="1">IF(ISBLANK(I772),TODAY()-F772,I772-F772)</f>
        <v>12</v>
      </c>
      <c r="H772" s="126" t="s">
        <v>2702</v>
      </c>
      <c r="I772" s="127">
        <v>42996</v>
      </c>
      <c r="J772" s="122" t="s">
        <v>5160</v>
      </c>
    </row>
    <row r="773" spans="1:10" ht="15" customHeight="1" x14ac:dyDescent="0.45">
      <c r="A773" s="114">
        <v>768</v>
      </c>
      <c r="B773" s="130" t="s">
        <v>5722</v>
      </c>
      <c r="C773" s="135" t="s">
        <v>841</v>
      </c>
      <c r="D773" s="135" t="s">
        <v>843</v>
      </c>
      <c r="E773" s="130" t="s">
        <v>65</v>
      </c>
      <c r="F773" s="224">
        <v>42984</v>
      </c>
      <c r="G773" s="119">
        <f ca="1">IF(ISBLANK(I773),TODAY()-F773,I773-F773)</f>
        <v>12</v>
      </c>
      <c r="H773" s="126" t="s">
        <v>65</v>
      </c>
      <c r="I773" s="127">
        <v>42996</v>
      </c>
      <c r="J773" s="122" t="s">
        <v>5160</v>
      </c>
    </row>
    <row r="774" spans="1:10" ht="15" customHeight="1" x14ac:dyDescent="0.45">
      <c r="A774" s="114">
        <v>769</v>
      </c>
      <c r="B774" s="130" t="s">
        <v>5723</v>
      </c>
      <c r="C774" s="208" t="s">
        <v>5724</v>
      </c>
      <c r="D774" s="208" t="s">
        <v>100</v>
      </c>
      <c r="E774" s="130" t="s">
        <v>65</v>
      </c>
      <c r="F774" s="224">
        <v>42984</v>
      </c>
      <c r="G774" s="119">
        <f ca="1">IF(ISBLANK(I774),TODAY()-F774,I774-F774)</f>
        <v>16</v>
      </c>
      <c r="H774" s="126" t="s">
        <v>5004</v>
      </c>
      <c r="I774" s="127">
        <v>43000</v>
      </c>
      <c r="J774" s="122" t="s">
        <v>5113</v>
      </c>
    </row>
    <row r="775" spans="1:10" ht="15" customHeight="1" x14ac:dyDescent="0.45">
      <c r="A775" s="114">
        <v>770</v>
      </c>
      <c r="B775" s="130" t="s">
        <v>5723</v>
      </c>
      <c r="C775" s="208" t="s">
        <v>103</v>
      </c>
      <c r="D775" s="208" t="s">
        <v>105</v>
      </c>
      <c r="E775" s="130" t="s">
        <v>65</v>
      </c>
      <c r="F775" s="224">
        <v>42984</v>
      </c>
      <c r="G775" s="119">
        <f ca="1">IF(ISBLANK(I775),TODAY()-F775,I775-F775)</f>
        <v>16</v>
      </c>
      <c r="H775" s="126" t="s">
        <v>5004</v>
      </c>
      <c r="I775" s="127">
        <v>43000</v>
      </c>
      <c r="J775" s="122" t="s">
        <v>5113</v>
      </c>
    </row>
    <row r="776" spans="1:10" ht="15" customHeight="1" x14ac:dyDescent="0.45">
      <c r="A776" s="114">
        <v>771</v>
      </c>
      <c r="B776" s="130" t="s">
        <v>5723</v>
      </c>
      <c r="C776" s="208" t="s">
        <v>107</v>
      </c>
      <c r="D776" s="208" t="s">
        <v>109</v>
      </c>
      <c r="E776" s="130" t="s">
        <v>65</v>
      </c>
      <c r="F776" s="224">
        <v>42984</v>
      </c>
      <c r="G776" s="119">
        <f ca="1">IF(ISBLANK(I776),TODAY()-F776,I776-F776)</f>
        <v>16</v>
      </c>
      <c r="H776" s="126" t="s">
        <v>5004</v>
      </c>
      <c r="I776" s="127">
        <v>43000</v>
      </c>
      <c r="J776" s="122" t="s">
        <v>5113</v>
      </c>
    </row>
    <row r="777" spans="1:10" ht="15" customHeight="1" x14ac:dyDescent="0.45">
      <c r="A777" s="114">
        <v>772</v>
      </c>
      <c r="B777" s="130" t="s">
        <v>5723</v>
      </c>
      <c r="C777" s="208" t="s">
        <v>111</v>
      </c>
      <c r="D777" s="208" t="s">
        <v>113</v>
      </c>
      <c r="E777" s="130" t="s">
        <v>65</v>
      </c>
      <c r="F777" s="224">
        <v>42984</v>
      </c>
      <c r="G777" s="119">
        <f ca="1">IF(ISBLANK(I777),TODAY()-F777,I777-F777)</f>
        <v>16</v>
      </c>
      <c r="H777" s="126" t="s">
        <v>5004</v>
      </c>
      <c r="I777" s="127">
        <v>43000</v>
      </c>
      <c r="J777" s="122" t="s">
        <v>5113</v>
      </c>
    </row>
    <row r="778" spans="1:10" ht="15" customHeight="1" x14ac:dyDescent="0.45">
      <c r="A778" s="114">
        <v>773</v>
      </c>
      <c r="B778" s="130" t="s">
        <v>5723</v>
      </c>
      <c r="C778" s="208" t="s">
        <v>115</v>
      </c>
      <c r="D778" s="208" t="s">
        <v>117</v>
      </c>
      <c r="E778" s="130" t="s">
        <v>65</v>
      </c>
      <c r="F778" s="224">
        <v>42984</v>
      </c>
      <c r="G778" s="119">
        <f ca="1">IF(ISBLANK(I778),TODAY()-F778,I778-F778)</f>
        <v>16</v>
      </c>
      <c r="H778" s="126" t="s">
        <v>5004</v>
      </c>
      <c r="I778" s="127">
        <v>43000</v>
      </c>
      <c r="J778" s="122" t="s">
        <v>5113</v>
      </c>
    </row>
    <row r="779" spans="1:10" ht="15" customHeight="1" x14ac:dyDescent="0.45">
      <c r="A779" s="114">
        <v>774</v>
      </c>
      <c r="B779" s="130" t="s">
        <v>5723</v>
      </c>
      <c r="C779" s="208" t="s">
        <v>119</v>
      </c>
      <c r="D779" s="208" t="s">
        <v>121</v>
      </c>
      <c r="E779" s="130" t="s">
        <v>65</v>
      </c>
      <c r="F779" s="224">
        <v>42984</v>
      </c>
      <c r="G779" s="119">
        <f ca="1">IF(ISBLANK(I779),TODAY()-F779,I779-F779)</f>
        <v>16</v>
      </c>
      <c r="H779" s="126" t="s">
        <v>5004</v>
      </c>
      <c r="I779" s="127">
        <v>43000</v>
      </c>
      <c r="J779" s="122" t="s">
        <v>5113</v>
      </c>
    </row>
    <row r="780" spans="1:10" ht="15" customHeight="1" x14ac:dyDescent="0.45">
      <c r="A780" s="114">
        <v>775</v>
      </c>
      <c r="B780" s="130" t="s">
        <v>5723</v>
      </c>
      <c r="C780" s="208" t="s">
        <v>123</v>
      </c>
      <c r="D780" s="208" t="s">
        <v>125</v>
      </c>
      <c r="E780" s="130" t="s">
        <v>65</v>
      </c>
      <c r="F780" s="224">
        <v>42984</v>
      </c>
      <c r="G780" s="119">
        <f ca="1">IF(ISBLANK(I780),TODAY()-F780,I780-F780)</f>
        <v>16</v>
      </c>
      <c r="H780" s="126" t="s">
        <v>5004</v>
      </c>
      <c r="I780" s="127">
        <v>43000</v>
      </c>
      <c r="J780" s="122" t="s">
        <v>5113</v>
      </c>
    </row>
    <row r="781" spans="1:10" ht="15" customHeight="1" x14ac:dyDescent="0.45">
      <c r="A781" s="114">
        <v>776</v>
      </c>
      <c r="B781" s="182" t="s">
        <v>5723</v>
      </c>
      <c r="C781" s="214" t="s">
        <v>127</v>
      </c>
      <c r="D781" s="214" t="s">
        <v>129</v>
      </c>
      <c r="E781" s="182" t="s">
        <v>65</v>
      </c>
      <c r="F781" s="224">
        <v>42984</v>
      </c>
      <c r="G781" s="119">
        <f ca="1">IF(ISBLANK(I781),TODAY()-F781,I781-F781)</f>
        <v>16</v>
      </c>
      <c r="H781" s="126" t="s">
        <v>5004</v>
      </c>
      <c r="I781" s="127">
        <v>43000</v>
      </c>
      <c r="J781" s="122" t="s">
        <v>5113</v>
      </c>
    </row>
    <row r="782" spans="1:10" ht="15" customHeight="1" x14ac:dyDescent="0.45">
      <c r="A782" s="114">
        <v>777</v>
      </c>
      <c r="B782" s="130" t="s">
        <v>5723</v>
      </c>
      <c r="C782" s="208" t="s">
        <v>131</v>
      </c>
      <c r="D782" s="208" t="s">
        <v>133</v>
      </c>
      <c r="E782" s="130" t="s">
        <v>65</v>
      </c>
      <c r="F782" s="224">
        <v>42984</v>
      </c>
      <c r="G782" s="119">
        <f ca="1">IF(ISBLANK(I782),TODAY()-F782,I782-F782)</f>
        <v>16</v>
      </c>
      <c r="H782" s="126" t="s">
        <v>5004</v>
      </c>
      <c r="I782" s="127">
        <v>43000</v>
      </c>
      <c r="J782" s="122" t="s">
        <v>5113</v>
      </c>
    </row>
    <row r="783" spans="1:10" ht="15" customHeight="1" x14ac:dyDescent="0.45">
      <c r="A783" s="114">
        <v>778</v>
      </c>
      <c r="B783" s="130" t="s">
        <v>5723</v>
      </c>
      <c r="C783" s="208" t="s">
        <v>135</v>
      </c>
      <c r="D783" s="208" t="s">
        <v>137</v>
      </c>
      <c r="E783" s="130" t="s">
        <v>65</v>
      </c>
      <c r="F783" s="224">
        <v>42984</v>
      </c>
      <c r="G783" s="119">
        <f ca="1">IF(ISBLANK(I783),TODAY()-F783,I783-F783)</f>
        <v>16</v>
      </c>
      <c r="H783" s="179" t="s">
        <v>5004</v>
      </c>
      <c r="I783" s="127">
        <v>43000</v>
      </c>
      <c r="J783" s="183" t="s">
        <v>5113</v>
      </c>
    </row>
    <row r="784" spans="1:10" ht="15" customHeight="1" x14ac:dyDescent="0.45">
      <c r="A784" s="172">
        <v>784</v>
      </c>
      <c r="B784" s="130" t="s">
        <v>5726</v>
      </c>
      <c r="C784" s="135" t="s">
        <v>5727</v>
      </c>
      <c r="D784" s="135" t="s">
        <v>5728</v>
      </c>
      <c r="E784" s="130" t="s">
        <v>65</v>
      </c>
      <c r="F784" s="224">
        <v>42984</v>
      </c>
      <c r="G784" s="119">
        <f ca="1">IF(ISBLANK(I784),TODAY()-F784,I784-F784)</f>
        <v>53</v>
      </c>
      <c r="H784" s="189" t="s">
        <v>164</v>
      </c>
      <c r="I784" s="153">
        <v>43037</v>
      </c>
      <c r="J784" s="216" t="s">
        <v>5113</v>
      </c>
    </row>
    <row r="785" spans="1:10" ht="15" customHeight="1" x14ac:dyDescent="0.45">
      <c r="A785" s="172">
        <v>785</v>
      </c>
      <c r="B785" s="130" t="s">
        <v>5726</v>
      </c>
      <c r="C785" s="135" t="s">
        <v>4992</v>
      </c>
      <c r="D785" s="135" t="s">
        <v>5729</v>
      </c>
      <c r="E785" s="130" t="s">
        <v>65</v>
      </c>
      <c r="F785" s="224">
        <v>42984</v>
      </c>
      <c r="G785" s="119">
        <f ca="1">IF(ISBLANK(I785),TODAY()-F785,I785-F785)</f>
        <v>53</v>
      </c>
      <c r="H785" s="189" t="s">
        <v>164</v>
      </c>
      <c r="I785" s="153">
        <v>43037</v>
      </c>
      <c r="J785" s="216" t="s">
        <v>5113</v>
      </c>
    </row>
    <row r="786" spans="1:10" ht="15" customHeight="1" x14ac:dyDescent="0.45">
      <c r="A786" s="172">
        <v>786</v>
      </c>
      <c r="B786" s="130" t="s">
        <v>5726</v>
      </c>
      <c r="C786" s="135" t="s">
        <v>5730</v>
      </c>
      <c r="D786" s="135" t="s">
        <v>5731</v>
      </c>
      <c r="E786" s="130" t="s">
        <v>65</v>
      </c>
      <c r="F786" s="224">
        <v>42984</v>
      </c>
      <c r="G786" s="119">
        <f ca="1">IF(ISBLANK(I786),TODAY()-F786,I786-F786)</f>
        <v>53</v>
      </c>
      <c r="H786" s="189" t="s">
        <v>164</v>
      </c>
      <c r="I786" s="153">
        <v>43037</v>
      </c>
      <c r="J786" s="216" t="s">
        <v>5113</v>
      </c>
    </row>
    <row r="787" spans="1:10" ht="15" customHeight="1" x14ac:dyDescent="0.45">
      <c r="A787" s="172">
        <v>787</v>
      </c>
      <c r="B787" s="207" t="s">
        <v>5732</v>
      </c>
      <c r="C787" s="208" t="s">
        <v>395</v>
      </c>
      <c r="D787" s="208" t="s">
        <v>397</v>
      </c>
      <c r="E787" s="207" t="s">
        <v>65</v>
      </c>
      <c r="F787" s="224">
        <v>42984</v>
      </c>
      <c r="G787" s="119">
        <f ca="1">IF(ISBLANK(I787),TODAY()-F787,I787-F787)</f>
        <v>16</v>
      </c>
      <c r="H787" s="204" t="s">
        <v>5003</v>
      </c>
      <c r="I787" s="209">
        <v>43000</v>
      </c>
      <c r="J787" s="210" t="s">
        <v>5113</v>
      </c>
    </row>
    <row r="788" spans="1:10" ht="15" customHeight="1" x14ac:dyDescent="0.45">
      <c r="A788" s="172">
        <v>788</v>
      </c>
      <c r="B788" s="207" t="s">
        <v>5732</v>
      </c>
      <c r="C788" s="208" t="s">
        <v>400</v>
      </c>
      <c r="D788" s="208" t="s">
        <v>402</v>
      </c>
      <c r="E788" s="207" t="s">
        <v>65</v>
      </c>
      <c r="F788" s="224">
        <v>42984</v>
      </c>
      <c r="G788" s="119">
        <f ca="1">IF(ISBLANK(I788),TODAY()-F788,I788-F788)</f>
        <v>16</v>
      </c>
      <c r="H788" s="204" t="s">
        <v>5003</v>
      </c>
      <c r="I788" s="209">
        <v>43000</v>
      </c>
      <c r="J788" s="217" t="s">
        <v>5113</v>
      </c>
    </row>
    <row r="789" spans="1:10" ht="15" customHeight="1" x14ac:dyDescent="0.45">
      <c r="A789" s="177">
        <v>789</v>
      </c>
      <c r="B789" s="218" t="s">
        <v>2266</v>
      </c>
      <c r="C789" s="214" t="s">
        <v>2263</v>
      </c>
      <c r="D789" s="214" t="s">
        <v>2265</v>
      </c>
      <c r="E789" s="218">
        <v>0</v>
      </c>
      <c r="F789" s="224">
        <v>42984</v>
      </c>
      <c r="G789" s="119">
        <f ca="1">IF(ISBLANK(I789),TODAY()-F789,I789-F789)</f>
        <v>2</v>
      </c>
      <c r="H789" s="126" t="s">
        <v>64</v>
      </c>
      <c r="I789" s="223">
        <v>42986</v>
      </c>
      <c r="J789" s="210" t="s">
        <v>5160</v>
      </c>
    </row>
    <row r="790" spans="1:10" ht="15" customHeight="1" x14ac:dyDescent="0.45">
      <c r="A790" s="172">
        <v>790</v>
      </c>
      <c r="B790" s="207" t="s">
        <v>2266</v>
      </c>
      <c r="C790" s="208" t="s">
        <v>2272</v>
      </c>
      <c r="D790" s="208" t="s">
        <v>2274</v>
      </c>
      <c r="E790" s="207">
        <v>0</v>
      </c>
      <c r="F790" s="224">
        <v>42984</v>
      </c>
      <c r="G790" s="119">
        <f ca="1">IF(ISBLANK(I790),TODAY()-F790,I790-F790)</f>
        <v>2</v>
      </c>
      <c r="H790" s="126" t="s">
        <v>64</v>
      </c>
      <c r="I790" s="223">
        <v>42986</v>
      </c>
      <c r="J790" s="210" t="s">
        <v>5160</v>
      </c>
    </row>
    <row r="791" spans="1:10" ht="15" customHeight="1" x14ac:dyDescent="0.45">
      <c r="A791" s="172">
        <v>791</v>
      </c>
      <c r="B791" s="207" t="s">
        <v>2266</v>
      </c>
      <c r="C791" s="208" t="s">
        <v>2347</v>
      </c>
      <c r="D791" s="208" t="s">
        <v>2349</v>
      </c>
      <c r="E791" s="207">
        <v>0</v>
      </c>
      <c r="F791" s="224">
        <v>42984</v>
      </c>
      <c r="G791" s="119">
        <f ca="1">IF(ISBLANK(I791),TODAY()-F791,I791-F791)</f>
        <v>2</v>
      </c>
      <c r="H791" s="126" t="s">
        <v>64</v>
      </c>
      <c r="I791" s="223">
        <v>42986</v>
      </c>
      <c r="J791" s="210" t="s">
        <v>5160</v>
      </c>
    </row>
    <row r="792" spans="1:10" ht="15" customHeight="1" x14ac:dyDescent="0.45">
      <c r="A792" s="172">
        <v>792</v>
      </c>
      <c r="B792" s="207" t="s">
        <v>2266</v>
      </c>
      <c r="C792" s="208" t="s">
        <v>2355</v>
      </c>
      <c r="D792" s="208" t="s">
        <v>2357</v>
      </c>
      <c r="E792" s="207">
        <v>0</v>
      </c>
      <c r="F792" s="224">
        <v>42984</v>
      </c>
      <c r="G792" s="119">
        <f ca="1">IF(ISBLANK(I792),TODAY()-F792,I792-F792)</f>
        <v>2</v>
      </c>
      <c r="H792" s="126" t="s">
        <v>64</v>
      </c>
      <c r="I792" s="223">
        <v>42986</v>
      </c>
      <c r="J792" s="210" t="s">
        <v>5160</v>
      </c>
    </row>
    <row r="793" spans="1:10" ht="15" customHeight="1" x14ac:dyDescent="0.45">
      <c r="A793" s="172">
        <v>793</v>
      </c>
      <c r="B793" s="207" t="s">
        <v>2266</v>
      </c>
      <c r="C793" s="208" t="s">
        <v>2268</v>
      </c>
      <c r="D793" s="208" t="s">
        <v>2270</v>
      </c>
      <c r="E793" s="207">
        <v>0</v>
      </c>
      <c r="F793" s="224">
        <v>42984</v>
      </c>
      <c r="G793" s="119">
        <f ca="1">IF(ISBLANK(I793),TODAY()-F793,I793-F793)</f>
        <v>2</v>
      </c>
      <c r="H793" s="126" t="s">
        <v>64</v>
      </c>
      <c r="I793" s="223">
        <v>42986</v>
      </c>
      <c r="J793" s="210" t="s">
        <v>5160</v>
      </c>
    </row>
    <row r="794" spans="1:10" ht="15" customHeight="1" x14ac:dyDescent="0.45">
      <c r="A794" s="172">
        <v>794</v>
      </c>
      <c r="B794" s="207" t="s">
        <v>2266</v>
      </c>
      <c r="C794" s="208" t="s">
        <v>2351</v>
      </c>
      <c r="D794" s="208" t="s">
        <v>2353</v>
      </c>
      <c r="E794" s="207">
        <v>0</v>
      </c>
      <c r="F794" s="224">
        <v>42984</v>
      </c>
      <c r="G794" s="119">
        <f ca="1">IF(ISBLANK(I794),TODAY()-F794,I794-F794)</f>
        <v>2</v>
      </c>
      <c r="H794" s="126" t="s">
        <v>64</v>
      </c>
      <c r="I794" s="223">
        <v>42986</v>
      </c>
      <c r="J794" s="210" t="s">
        <v>5160</v>
      </c>
    </row>
    <row r="795" spans="1:10" ht="15" customHeight="1" x14ac:dyDescent="0.45">
      <c r="A795" s="172">
        <v>795</v>
      </c>
      <c r="B795" s="130" t="s">
        <v>5733</v>
      </c>
      <c r="C795" s="135" t="s">
        <v>1008</v>
      </c>
      <c r="D795" s="135" t="s">
        <v>1010</v>
      </c>
      <c r="E795" s="130" t="s">
        <v>65</v>
      </c>
      <c r="F795" s="224">
        <v>42984</v>
      </c>
      <c r="G795" s="119">
        <f ca="1">IF(ISBLANK(I795),TODAY()-F795,I795-F795)</f>
        <v>16</v>
      </c>
      <c r="H795" s="126" t="s">
        <v>5004</v>
      </c>
      <c r="I795" s="127">
        <v>43000</v>
      </c>
      <c r="J795" s="122" t="s">
        <v>5113</v>
      </c>
    </row>
    <row r="796" spans="1:10" ht="15" customHeight="1" x14ac:dyDescent="0.45">
      <c r="A796" s="172">
        <v>796</v>
      </c>
      <c r="B796" s="130" t="s">
        <v>5733</v>
      </c>
      <c r="C796" s="135" t="s">
        <v>1023</v>
      </c>
      <c r="D796" s="135" t="s">
        <v>1025</v>
      </c>
      <c r="E796" s="130" t="s">
        <v>65</v>
      </c>
      <c r="F796" s="224">
        <v>42984</v>
      </c>
      <c r="G796" s="119">
        <f ca="1">IF(ISBLANK(I796),TODAY()-F796,I796-F796)</f>
        <v>12</v>
      </c>
      <c r="H796" s="126" t="s">
        <v>2702</v>
      </c>
      <c r="I796" s="127">
        <v>42996</v>
      </c>
      <c r="J796" s="122" t="s">
        <v>5160</v>
      </c>
    </row>
    <row r="797" spans="1:10" ht="15" customHeight="1" x14ac:dyDescent="0.45">
      <c r="A797" s="177">
        <v>797</v>
      </c>
      <c r="B797" s="182" t="s">
        <v>5734</v>
      </c>
      <c r="C797" s="190" t="s">
        <v>85</v>
      </c>
      <c r="D797" s="190" t="s">
        <v>87</v>
      </c>
      <c r="E797" s="182">
        <v>0</v>
      </c>
      <c r="F797" s="224">
        <v>42984</v>
      </c>
      <c r="G797" s="119">
        <f ca="1">IF(ISBLANK(I797),TODAY()-F797,I797-F797)</f>
        <v>2</v>
      </c>
      <c r="H797" s="126" t="s">
        <v>64</v>
      </c>
      <c r="I797" s="223">
        <v>42986</v>
      </c>
      <c r="J797" s="210" t="s">
        <v>5160</v>
      </c>
    </row>
    <row r="798" spans="1:10" ht="15" customHeight="1" x14ac:dyDescent="0.45">
      <c r="A798" s="225">
        <v>798</v>
      </c>
      <c r="B798" s="226" t="s">
        <v>481</v>
      </c>
      <c r="C798" s="226" t="s">
        <v>222</v>
      </c>
      <c r="D798" s="226" t="s">
        <v>224</v>
      </c>
      <c r="E798" s="226">
        <v>0</v>
      </c>
      <c r="F798" s="224">
        <v>42984</v>
      </c>
      <c r="G798" s="119">
        <f ca="1">IF(ISBLANK(I798),TODAY()-F798,I798-F798)</f>
        <v>2</v>
      </c>
      <c r="H798" s="227" t="s">
        <v>5493</v>
      </c>
      <c r="I798" s="223">
        <v>42986</v>
      </c>
      <c r="J798" s="210" t="s">
        <v>5160</v>
      </c>
    </row>
    <row r="799" spans="1:10" ht="15" customHeight="1" x14ac:dyDescent="0.45">
      <c r="A799" s="225">
        <v>799</v>
      </c>
      <c r="B799" s="226" t="s">
        <v>481</v>
      </c>
      <c r="C799" s="226" t="s">
        <v>478</v>
      </c>
      <c r="D799" s="226" t="s">
        <v>480</v>
      </c>
      <c r="E799" s="226">
        <v>0</v>
      </c>
      <c r="F799" s="224">
        <v>42984</v>
      </c>
      <c r="G799" s="119">
        <f ca="1">IF(ISBLANK(I799),TODAY()-F799,I799-F799)</f>
        <v>2</v>
      </c>
      <c r="H799" s="227" t="s">
        <v>5493</v>
      </c>
      <c r="I799" s="223">
        <v>42986</v>
      </c>
      <c r="J799" s="210" t="s">
        <v>5160</v>
      </c>
    </row>
    <row r="800" spans="1:10" ht="15" customHeight="1" x14ac:dyDescent="0.45">
      <c r="A800" s="225">
        <v>800</v>
      </c>
      <c r="B800" s="226" t="s">
        <v>1313</v>
      </c>
      <c r="C800" s="226" t="s">
        <v>1310</v>
      </c>
      <c r="D800" s="226" t="s">
        <v>1312</v>
      </c>
      <c r="E800" s="226">
        <v>0</v>
      </c>
      <c r="F800" s="224">
        <v>42984</v>
      </c>
      <c r="G800" s="119">
        <f ca="1">IF(ISBLANK(I800),TODAY()-F800,I800-F800)</f>
        <v>2</v>
      </c>
      <c r="H800" s="126" t="s">
        <v>64</v>
      </c>
      <c r="I800" s="223">
        <v>42986</v>
      </c>
      <c r="J800" s="210" t="s">
        <v>5160</v>
      </c>
    </row>
    <row r="801" spans="1:10" ht="15" customHeight="1" x14ac:dyDescent="0.45">
      <c r="A801" s="225">
        <v>807</v>
      </c>
      <c r="B801" s="226" t="s">
        <v>1670</v>
      </c>
      <c r="C801" s="226" t="s">
        <v>1667</v>
      </c>
      <c r="D801" s="226" t="s">
        <v>1669</v>
      </c>
      <c r="E801" s="226">
        <v>0</v>
      </c>
      <c r="F801" s="224">
        <v>42984</v>
      </c>
      <c r="G801" s="119">
        <f ca="1">IF(ISBLANK(I801),TODAY()-F801,I801-F801)</f>
        <v>2</v>
      </c>
      <c r="H801" s="126" t="s">
        <v>64</v>
      </c>
      <c r="I801" s="223">
        <v>42986</v>
      </c>
      <c r="J801" s="210" t="s">
        <v>5160</v>
      </c>
    </row>
    <row r="802" spans="1:10" ht="15" customHeight="1" x14ac:dyDescent="0.45">
      <c r="A802" s="225">
        <v>811</v>
      </c>
      <c r="B802" s="226" t="s">
        <v>1401</v>
      </c>
      <c r="C802" s="226" t="s">
        <v>1398</v>
      </c>
      <c r="D802" s="226" t="s">
        <v>1400</v>
      </c>
      <c r="E802" s="226">
        <v>0</v>
      </c>
      <c r="F802" s="224">
        <v>42984</v>
      </c>
      <c r="G802" s="119">
        <f ca="1">IF(ISBLANK(I802),TODAY()-F802,I802-F802)</f>
        <v>5</v>
      </c>
      <c r="H802" s="227" t="s">
        <v>5493</v>
      </c>
      <c r="I802" s="223">
        <v>42989</v>
      </c>
      <c r="J802" s="210" t="s">
        <v>5160</v>
      </c>
    </row>
    <row r="803" spans="1:10" ht="15" customHeight="1" x14ac:dyDescent="0.45">
      <c r="A803" s="225">
        <v>812</v>
      </c>
      <c r="B803" s="226" t="s">
        <v>1535</v>
      </c>
      <c r="C803" s="226" t="s">
        <v>5501</v>
      </c>
      <c r="D803" s="226" t="s">
        <v>1534</v>
      </c>
      <c r="E803" s="226">
        <v>0</v>
      </c>
      <c r="F803" s="224">
        <v>42984</v>
      </c>
      <c r="G803" s="119">
        <f ca="1">IF(ISBLANK(I803),TODAY()-F803,I803-F803)</f>
        <v>5</v>
      </c>
      <c r="H803" s="227" t="s">
        <v>5493</v>
      </c>
      <c r="I803" s="223">
        <v>42989</v>
      </c>
      <c r="J803" s="210" t="s">
        <v>5160</v>
      </c>
    </row>
    <row r="804" spans="1:10" ht="15" customHeight="1" x14ac:dyDescent="0.45">
      <c r="A804" s="225">
        <v>801</v>
      </c>
      <c r="B804" s="226" t="s">
        <v>5735</v>
      </c>
      <c r="C804" s="226" t="s">
        <v>1392</v>
      </c>
      <c r="D804" s="226" t="s">
        <v>1394</v>
      </c>
      <c r="E804" s="226" t="s">
        <v>160</v>
      </c>
      <c r="F804" s="118">
        <v>42989</v>
      </c>
      <c r="G804" s="119">
        <f ca="1">IF(ISBLANK(I804),TODAY()-F804,I804-F804)</f>
        <v>15</v>
      </c>
      <c r="H804" s="126" t="s">
        <v>5002</v>
      </c>
      <c r="I804" s="228">
        <v>43004</v>
      </c>
      <c r="J804" s="229" t="s">
        <v>5113</v>
      </c>
    </row>
    <row r="805" spans="1:10" ht="15" customHeight="1" x14ac:dyDescent="0.45">
      <c r="A805" s="225">
        <v>802</v>
      </c>
      <c r="B805" s="226" t="s">
        <v>5735</v>
      </c>
      <c r="C805" s="226" t="s">
        <v>1395</v>
      </c>
      <c r="D805" s="226" t="s">
        <v>1397</v>
      </c>
      <c r="E805" s="226" t="s">
        <v>160</v>
      </c>
      <c r="F805" s="118">
        <v>42989</v>
      </c>
      <c r="G805" s="119">
        <f ca="1">IF(ISBLANK(I805),TODAY()-F805,I805-F805)</f>
        <v>15</v>
      </c>
      <c r="H805" s="126" t="s">
        <v>5002</v>
      </c>
      <c r="I805" s="228">
        <v>43004</v>
      </c>
      <c r="J805" s="229" t="s">
        <v>5113</v>
      </c>
    </row>
    <row r="806" spans="1:10" ht="15" customHeight="1" x14ac:dyDescent="0.45">
      <c r="A806" s="225">
        <v>803</v>
      </c>
      <c r="B806" s="226" t="s">
        <v>5735</v>
      </c>
      <c r="C806" s="226" t="s">
        <v>1404</v>
      </c>
      <c r="D806" s="226" t="s">
        <v>1406</v>
      </c>
      <c r="E806" s="226" t="s">
        <v>160</v>
      </c>
      <c r="F806" s="118">
        <v>42989</v>
      </c>
      <c r="G806" s="119">
        <f ca="1">IF(ISBLANK(I806),TODAY()-F806,I806-F806)</f>
        <v>15</v>
      </c>
      <c r="H806" s="126" t="s">
        <v>5002</v>
      </c>
      <c r="I806" s="228">
        <v>43004</v>
      </c>
      <c r="J806" s="229" t="s">
        <v>5113</v>
      </c>
    </row>
    <row r="807" spans="1:10" ht="15" customHeight="1" x14ac:dyDescent="0.45">
      <c r="A807" s="225">
        <v>804</v>
      </c>
      <c r="B807" s="226" t="s">
        <v>5735</v>
      </c>
      <c r="C807" s="226" t="s">
        <v>1432</v>
      </c>
      <c r="D807" s="226" t="s">
        <v>1434</v>
      </c>
      <c r="E807" s="226" t="s">
        <v>160</v>
      </c>
      <c r="F807" s="118">
        <v>42989</v>
      </c>
      <c r="G807" s="119">
        <f ca="1">IF(ISBLANK(I807),TODAY()-F807,I807-F807)</f>
        <v>15</v>
      </c>
      <c r="H807" s="126" t="s">
        <v>5002</v>
      </c>
      <c r="I807" s="228">
        <v>43004</v>
      </c>
      <c r="J807" s="229" t="s">
        <v>5113</v>
      </c>
    </row>
    <row r="808" spans="1:10" ht="15" customHeight="1" x14ac:dyDescent="0.45">
      <c r="A808" s="225">
        <v>805</v>
      </c>
      <c r="B808" s="226" t="s">
        <v>5735</v>
      </c>
      <c r="C808" s="226" t="s">
        <v>1435</v>
      </c>
      <c r="D808" s="226" t="s">
        <v>1437</v>
      </c>
      <c r="E808" s="226" t="s">
        <v>160</v>
      </c>
      <c r="F808" s="118">
        <v>42989</v>
      </c>
      <c r="G808" s="119">
        <f ca="1">IF(ISBLANK(I808),TODAY()-F808,I808-F808)</f>
        <v>15</v>
      </c>
      <c r="H808" s="126" t="s">
        <v>5002</v>
      </c>
      <c r="I808" s="228">
        <v>43004</v>
      </c>
      <c r="J808" s="229" t="s">
        <v>5113</v>
      </c>
    </row>
    <row r="809" spans="1:10" ht="15" customHeight="1" x14ac:dyDescent="0.45">
      <c r="A809" s="225">
        <v>806</v>
      </c>
      <c r="B809" s="226" t="s">
        <v>5735</v>
      </c>
      <c r="C809" s="226" t="s">
        <v>1441</v>
      </c>
      <c r="D809" s="226" t="s">
        <v>1443</v>
      </c>
      <c r="E809" s="226" t="s">
        <v>160</v>
      </c>
      <c r="F809" s="118">
        <v>42989</v>
      </c>
      <c r="G809" s="119">
        <f ca="1">IF(ISBLANK(I809),TODAY()-F809,I809-F809)</f>
        <v>15</v>
      </c>
      <c r="H809" s="227" t="s">
        <v>5002</v>
      </c>
      <c r="I809" s="228">
        <v>43004</v>
      </c>
      <c r="J809" s="229" t="s">
        <v>5113</v>
      </c>
    </row>
    <row r="810" spans="1:10" ht="15" customHeight="1" x14ac:dyDescent="0.45">
      <c r="A810" s="225">
        <v>808</v>
      </c>
      <c r="B810" s="226" t="s">
        <v>5736</v>
      </c>
      <c r="C810" s="226" t="s">
        <v>507</v>
      </c>
      <c r="D810" s="226" t="s">
        <v>509</v>
      </c>
      <c r="E810" s="226" t="s">
        <v>65</v>
      </c>
      <c r="F810" s="118">
        <v>42989</v>
      </c>
      <c r="G810" s="119">
        <f ca="1">IF(ISBLANK(I810),TODAY()-F810,I810-F810)</f>
        <v>11</v>
      </c>
      <c r="H810" s="227" t="s">
        <v>5003</v>
      </c>
      <c r="I810" s="228">
        <v>43000</v>
      </c>
      <c r="J810" s="229" t="s">
        <v>5113</v>
      </c>
    </row>
    <row r="811" spans="1:10" ht="15" customHeight="1" x14ac:dyDescent="0.45">
      <c r="A811" s="225">
        <v>809</v>
      </c>
      <c r="B811" s="226" t="s">
        <v>5736</v>
      </c>
      <c r="C811" s="226" t="s">
        <v>512</v>
      </c>
      <c r="D811" s="226" t="s">
        <v>514</v>
      </c>
      <c r="E811" s="226" t="s">
        <v>65</v>
      </c>
      <c r="F811" s="118">
        <v>42989</v>
      </c>
      <c r="G811" s="119">
        <f ca="1">IF(ISBLANK(I811),TODAY()-F811,I811-F811)</f>
        <v>11</v>
      </c>
      <c r="H811" s="227" t="s">
        <v>5003</v>
      </c>
      <c r="I811" s="228">
        <v>43000</v>
      </c>
      <c r="J811" s="229" t="s">
        <v>5113</v>
      </c>
    </row>
    <row r="812" spans="1:10" ht="15" customHeight="1" x14ac:dyDescent="0.45">
      <c r="A812" s="225">
        <v>810</v>
      </c>
      <c r="B812" s="226" t="s">
        <v>5737</v>
      </c>
      <c r="C812" s="226" t="s">
        <v>139</v>
      </c>
      <c r="D812" s="226" t="s">
        <v>141</v>
      </c>
      <c r="E812" s="226" t="s">
        <v>65</v>
      </c>
      <c r="F812" s="118">
        <v>42989</v>
      </c>
      <c r="G812" s="119">
        <f ca="1">IF(ISBLANK(I812),TODAY()-F812,I812-F812)</f>
        <v>7</v>
      </c>
      <c r="H812" s="227" t="s">
        <v>2702</v>
      </c>
      <c r="I812" s="127">
        <v>42996</v>
      </c>
      <c r="J812" s="122" t="s">
        <v>5160</v>
      </c>
    </row>
    <row r="813" spans="1:10" ht="15" customHeight="1" x14ac:dyDescent="0.45">
      <c r="A813" s="225">
        <v>813</v>
      </c>
      <c r="B813" s="226" t="s">
        <v>5738</v>
      </c>
      <c r="C813" s="226" t="s">
        <v>1453</v>
      </c>
      <c r="D813" s="226" t="s">
        <v>1455</v>
      </c>
      <c r="E813" s="226" t="s">
        <v>65</v>
      </c>
      <c r="F813" s="118">
        <v>42989</v>
      </c>
      <c r="G813" s="119">
        <f ca="1">IF(ISBLANK(I813),TODAY()-F813,I813-F813)</f>
        <v>15</v>
      </c>
      <c r="H813" s="227" t="s">
        <v>5002</v>
      </c>
      <c r="I813" s="228">
        <v>43004</v>
      </c>
      <c r="J813" s="229" t="s">
        <v>5113</v>
      </c>
    </row>
    <row r="814" spans="1:10" ht="15" customHeight="1" x14ac:dyDescent="0.45">
      <c r="A814" s="172">
        <v>780</v>
      </c>
      <c r="B814" s="130" t="s">
        <v>5725</v>
      </c>
      <c r="C814" s="135" t="s">
        <v>1232</v>
      </c>
      <c r="D814" s="135" t="s">
        <v>1234</v>
      </c>
      <c r="E814" s="130" t="s">
        <v>160</v>
      </c>
      <c r="F814" s="118">
        <v>42991</v>
      </c>
      <c r="G814" s="119">
        <f ca="1">IF(ISBLANK(I814),TODAY()-F814,I814-F814)</f>
        <v>16</v>
      </c>
      <c r="H814" s="239" t="s">
        <v>65</v>
      </c>
      <c r="I814" s="184">
        <v>43007</v>
      </c>
      <c r="J814" s="206" t="s">
        <v>5160</v>
      </c>
    </row>
    <row r="815" spans="1:10" ht="15" customHeight="1" x14ac:dyDescent="0.45">
      <c r="A815" s="172">
        <v>781</v>
      </c>
      <c r="B815" s="130" t="s">
        <v>5725</v>
      </c>
      <c r="C815" s="135" t="s">
        <v>1235</v>
      </c>
      <c r="D815" s="135" t="s">
        <v>1237</v>
      </c>
      <c r="E815" s="130" t="s">
        <v>160</v>
      </c>
      <c r="F815" s="118">
        <v>42991</v>
      </c>
      <c r="G815" s="119">
        <f ca="1">IF(ISBLANK(I815),TODAY()-F815,I815-F815)</f>
        <v>16</v>
      </c>
      <c r="H815" s="239" t="s">
        <v>65</v>
      </c>
      <c r="I815" s="184">
        <v>43007</v>
      </c>
      <c r="J815" s="206" t="s">
        <v>5160</v>
      </c>
    </row>
    <row r="816" spans="1:10" ht="15" customHeight="1" x14ac:dyDescent="0.45">
      <c r="A816" s="172">
        <v>782</v>
      </c>
      <c r="B816" s="130" t="s">
        <v>5725</v>
      </c>
      <c r="C816" s="135" t="s">
        <v>1238</v>
      </c>
      <c r="D816" s="135" t="s">
        <v>1240</v>
      </c>
      <c r="E816" s="130" t="s">
        <v>160</v>
      </c>
      <c r="F816" s="118">
        <v>42991</v>
      </c>
      <c r="G816" s="119">
        <f ca="1">IF(ISBLANK(I816),TODAY()-F816,I816-F816)</f>
        <v>16</v>
      </c>
      <c r="H816" s="239" t="s">
        <v>65</v>
      </c>
      <c r="I816" s="184">
        <v>43007</v>
      </c>
      <c r="J816" s="206" t="s">
        <v>5160</v>
      </c>
    </row>
    <row r="817" spans="1:10" ht="15" customHeight="1" x14ac:dyDescent="0.45">
      <c r="A817" s="172">
        <v>783</v>
      </c>
      <c r="B817" s="130" t="s">
        <v>5725</v>
      </c>
      <c r="C817" s="135" t="s">
        <v>1241</v>
      </c>
      <c r="D817" s="135" t="s">
        <v>1243</v>
      </c>
      <c r="E817" s="130" t="s">
        <v>160</v>
      </c>
      <c r="F817" s="118">
        <v>42991</v>
      </c>
      <c r="G817" s="119">
        <f ca="1">IF(ISBLANK(I817),TODAY()-F817,I817-F817)</f>
        <v>16</v>
      </c>
      <c r="H817" s="239" t="s">
        <v>65</v>
      </c>
      <c r="I817" s="184">
        <v>43007</v>
      </c>
      <c r="J817" s="206" t="s">
        <v>5160</v>
      </c>
    </row>
    <row r="818" spans="1:10" ht="15" customHeight="1" x14ac:dyDescent="0.45">
      <c r="A818" s="225">
        <v>814</v>
      </c>
      <c r="B818" s="226" t="s">
        <v>5739</v>
      </c>
      <c r="C818" s="226" t="s">
        <v>1803</v>
      </c>
      <c r="D818" s="226" t="s">
        <v>1805</v>
      </c>
      <c r="E818" s="226" t="s">
        <v>164</v>
      </c>
      <c r="F818" s="230">
        <v>42992</v>
      </c>
      <c r="G818" s="119">
        <f ca="1">IF(ISBLANK(I818),TODAY()-F818,I818-F818)</f>
        <v>42</v>
      </c>
      <c r="H818" s="189" t="s">
        <v>5296</v>
      </c>
      <c r="I818" s="153">
        <v>43034</v>
      </c>
      <c r="J818" s="231" t="s">
        <v>5113</v>
      </c>
    </row>
    <row r="819" spans="1:10" ht="15" customHeight="1" x14ac:dyDescent="0.45">
      <c r="A819" s="225">
        <v>815</v>
      </c>
      <c r="B819" s="226" t="s">
        <v>5739</v>
      </c>
      <c r="C819" s="226" t="s">
        <v>1878</v>
      </c>
      <c r="D819" s="226" t="s">
        <v>1880</v>
      </c>
      <c r="E819" s="226" t="s">
        <v>65</v>
      </c>
      <c r="F819" s="230">
        <v>42992</v>
      </c>
      <c r="G819" s="119">
        <f ca="1">IF(ISBLANK(I819),TODAY()-F819,I819-F819)</f>
        <v>30</v>
      </c>
      <c r="H819" s="354" t="s">
        <v>65</v>
      </c>
      <c r="I819" s="228">
        <v>43022</v>
      </c>
      <c r="J819" s="257" t="s">
        <v>5160</v>
      </c>
    </row>
    <row r="820" spans="1:10" ht="15" customHeight="1" x14ac:dyDescent="0.45">
      <c r="A820" s="225">
        <v>816</v>
      </c>
      <c r="B820" s="226" t="s">
        <v>5739</v>
      </c>
      <c r="C820" s="226" t="s">
        <v>1976</v>
      </c>
      <c r="D820" s="226" t="s">
        <v>1978</v>
      </c>
      <c r="E820" s="226" t="s">
        <v>65</v>
      </c>
      <c r="F820" s="230">
        <v>42992</v>
      </c>
      <c r="G820" s="119">
        <f ca="1">IF(ISBLANK(I820),TODAY()-F820,I820-F820)</f>
        <v>45</v>
      </c>
      <c r="H820" s="234" t="s">
        <v>65</v>
      </c>
      <c r="I820" s="153">
        <v>43037</v>
      </c>
      <c r="J820" s="206" t="s">
        <v>5113</v>
      </c>
    </row>
    <row r="821" spans="1:10" ht="15" customHeight="1" x14ac:dyDescent="0.45">
      <c r="A821" s="225">
        <v>817</v>
      </c>
      <c r="B821" s="226" t="s">
        <v>5739</v>
      </c>
      <c r="C821" s="226" t="s">
        <v>1979</v>
      </c>
      <c r="D821" s="226" t="s">
        <v>1981</v>
      </c>
      <c r="E821" s="226" t="s">
        <v>65</v>
      </c>
      <c r="F821" s="230">
        <v>42992</v>
      </c>
      <c r="G821" s="119">
        <f ca="1">IF(ISBLANK(I821),TODAY()-F821,I821-F821)</f>
        <v>45</v>
      </c>
      <c r="H821" s="234" t="s">
        <v>65</v>
      </c>
      <c r="I821" s="153">
        <v>43037</v>
      </c>
      <c r="J821" s="216" t="s">
        <v>5113</v>
      </c>
    </row>
    <row r="822" spans="1:10" ht="15" customHeight="1" x14ac:dyDescent="0.45">
      <c r="A822" s="225">
        <v>818</v>
      </c>
      <c r="B822" s="226" t="s">
        <v>1941</v>
      </c>
      <c r="C822" s="226" t="s">
        <v>1938</v>
      </c>
      <c r="D822" s="226" t="s">
        <v>5435</v>
      </c>
      <c r="E822" s="226">
        <v>0</v>
      </c>
      <c r="F822" s="230">
        <v>42992</v>
      </c>
      <c r="G822" s="119">
        <f ca="1">IF(ISBLANK(I822),TODAY()-F822,I822-F822)</f>
        <v>4</v>
      </c>
      <c r="H822" s="126" t="s">
        <v>64</v>
      </c>
      <c r="I822" s="121">
        <v>42996</v>
      </c>
      <c r="J822" s="183" t="s">
        <v>5160</v>
      </c>
    </row>
    <row r="823" spans="1:10" ht="15" customHeight="1" x14ac:dyDescent="0.45">
      <c r="A823" s="235">
        <v>819</v>
      </c>
      <c r="B823" s="236" t="s">
        <v>5740</v>
      </c>
      <c r="C823" s="236" t="s">
        <v>1566</v>
      </c>
      <c r="D823" s="236" t="s">
        <v>1568</v>
      </c>
      <c r="E823" s="236">
        <v>0</v>
      </c>
      <c r="F823" s="230">
        <v>42992</v>
      </c>
      <c r="G823" s="119">
        <f ca="1">IF(ISBLANK(I823),TODAY()-F823,I823-F823)</f>
        <v>4</v>
      </c>
      <c r="H823" s="126" t="s">
        <v>64</v>
      </c>
      <c r="I823" s="121">
        <v>42996</v>
      </c>
      <c r="J823" s="183" t="s">
        <v>5160</v>
      </c>
    </row>
    <row r="824" spans="1:10" ht="15" customHeight="1" x14ac:dyDescent="0.45">
      <c r="A824" s="235">
        <v>820</v>
      </c>
      <c r="B824" s="236" t="s">
        <v>5740</v>
      </c>
      <c r="C824" s="236" t="s">
        <v>1569</v>
      </c>
      <c r="D824" s="236" t="s">
        <v>1571</v>
      </c>
      <c r="E824" s="236">
        <v>0</v>
      </c>
      <c r="F824" s="230">
        <v>42992</v>
      </c>
      <c r="G824" s="119">
        <f ca="1">IF(ISBLANK(I824),TODAY()-F824,I824-F824)</f>
        <v>4</v>
      </c>
      <c r="H824" s="126" t="s">
        <v>64</v>
      </c>
      <c r="I824" s="121">
        <v>42996</v>
      </c>
      <c r="J824" s="183" t="s">
        <v>5160</v>
      </c>
    </row>
    <row r="825" spans="1:10" ht="15" customHeight="1" x14ac:dyDescent="0.45">
      <c r="A825" s="235">
        <v>821</v>
      </c>
      <c r="B825" s="236" t="s">
        <v>5740</v>
      </c>
      <c r="C825" s="236" t="s">
        <v>1572</v>
      </c>
      <c r="D825" s="236" t="s">
        <v>1574</v>
      </c>
      <c r="E825" s="236">
        <v>0</v>
      </c>
      <c r="F825" s="230">
        <v>42992</v>
      </c>
      <c r="G825" s="119">
        <f ca="1">IF(ISBLANK(I825),TODAY()-F825,I825-F825)</f>
        <v>4</v>
      </c>
      <c r="H825" s="126" t="s">
        <v>64</v>
      </c>
      <c r="I825" s="121">
        <v>42996</v>
      </c>
      <c r="J825" s="183" t="s">
        <v>5160</v>
      </c>
    </row>
    <row r="826" spans="1:10" ht="15" customHeight="1" x14ac:dyDescent="0.45">
      <c r="A826" s="235">
        <v>822</v>
      </c>
      <c r="B826" s="236" t="s">
        <v>5740</v>
      </c>
      <c r="C826" s="236" t="s">
        <v>1575</v>
      </c>
      <c r="D826" s="236" t="s">
        <v>1577</v>
      </c>
      <c r="E826" s="236">
        <v>0</v>
      </c>
      <c r="F826" s="230">
        <v>42992</v>
      </c>
      <c r="G826" s="119">
        <f ca="1">IF(ISBLANK(I826),TODAY()-F826,I826-F826)</f>
        <v>4</v>
      </c>
      <c r="H826" s="126" t="s">
        <v>64</v>
      </c>
      <c r="I826" s="121">
        <v>42996</v>
      </c>
      <c r="J826" s="183" t="s">
        <v>5160</v>
      </c>
    </row>
    <row r="827" spans="1:10" ht="15" customHeight="1" x14ac:dyDescent="0.45">
      <c r="A827" s="235">
        <v>823</v>
      </c>
      <c r="B827" s="236" t="s">
        <v>5740</v>
      </c>
      <c r="C827" s="236" t="s">
        <v>1578</v>
      </c>
      <c r="D827" s="236" t="s">
        <v>1580</v>
      </c>
      <c r="E827" s="236">
        <v>0</v>
      </c>
      <c r="F827" s="230">
        <v>42992</v>
      </c>
      <c r="G827" s="119">
        <f ca="1">IF(ISBLANK(I827),TODAY()-F827,I827-F827)</f>
        <v>4</v>
      </c>
      <c r="H827" s="126" t="s">
        <v>64</v>
      </c>
      <c r="I827" s="121">
        <v>42996</v>
      </c>
      <c r="J827" s="183" t="s">
        <v>5160</v>
      </c>
    </row>
    <row r="828" spans="1:10" ht="15" customHeight="1" x14ac:dyDescent="0.45">
      <c r="A828" s="235">
        <v>824</v>
      </c>
      <c r="B828" s="236" t="s">
        <v>5740</v>
      </c>
      <c r="C828" s="236" t="s">
        <v>1581</v>
      </c>
      <c r="D828" s="236" t="s">
        <v>1583</v>
      </c>
      <c r="E828" s="236">
        <v>0</v>
      </c>
      <c r="F828" s="230">
        <v>42992</v>
      </c>
      <c r="G828" s="119">
        <f ca="1">IF(ISBLANK(I828),TODAY()-F828,I828-F828)</f>
        <v>4</v>
      </c>
      <c r="H828" s="126" t="s">
        <v>64</v>
      </c>
      <c r="I828" s="121">
        <v>42996</v>
      </c>
      <c r="J828" s="183" t="s">
        <v>5160</v>
      </c>
    </row>
    <row r="829" spans="1:10" ht="15" customHeight="1" x14ac:dyDescent="0.45">
      <c r="A829" s="235">
        <v>825</v>
      </c>
      <c r="B829" s="236" t="s">
        <v>5740</v>
      </c>
      <c r="C829" s="236" t="s">
        <v>1584</v>
      </c>
      <c r="D829" s="236" t="s">
        <v>1586</v>
      </c>
      <c r="E829" s="236">
        <v>0</v>
      </c>
      <c r="F829" s="230">
        <v>42992</v>
      </c>
      <c r="G829" s="119">
        <f ca="1">IF(ISBLANK(I829),TODAY()-F829,I829-F829)</f>
        <v>4</v>
      </c>
      <c r="H829" s="126" t="s">
        <v>64</v>
      </c>
      <c r="I829" s="121">
        <v>42996</v>
      </c>
      <c r="J829" s="183" t="s">
        <v>5160</v>
      </c>
    </row>
    <row r="830" spans="1:10" ht="15" customHeight="1" x14ac:dyDescent="0.45">
      <c r="A830" s="235">
        <v>826</v>
      </c>
      <c r="B830" s="236" t="s">
        <v>5740</v>
      </c>
      <c r="C830" s="236" t="s">
        <v>1587</v>
      </c>
      <c r="D830" s="236" t="s">
        <v>1589</v>
      </c>
      <c r="E830" s="236">
        <v>0</v>
      </c>
      <c r="F830" s="230">
        <v>42992</v>
      </c>
      <c r="G830" s="119">
        <f ca="1">IF(ISBLANK(I830),TODAY()-F830,I830-F830)</f>
        <v>4</v>
      </c>
      <c r="H830" s="126" t="s">
        <v>64</v>
      </c>
      <c r="I830" s="121">
        <v>42996</v>
      </c>
      <c r="J830" s="183" t="s">
        <v>5160</v>
      </c>
    </row>
    <row r="831" spans="1:10" ht="15" customHeight="1" x14ac:dyDescent="0.45">
      <c r="A831" s="235">
        <v>827</v>
      </c>
      <c r="B831" s="236" t="s">
        <v>5740</v>
      </c>
      <c r="C831" s="236" t="s">
        <v>1590</v>
      </c>
      <c r="D831" s="236" t="s">
        <v>1592</v>
      </c>
      <c r="E831" s="236">
        <v>0</v>
      </c>
      <c r="F831" s="230">
        <v>42992</v>
      </c>
      <c r="G831" s="119">
        <f ca="1">IF(ISBLANK(I831),TODAY()-F831,I831-F831)</f>
        <v>4</v>
      </c>
      <c r="H831" s="126" t="s">
        <v>64</v>
      </c>
      <c r="I831" s="121">
        <v>42996</v>
      </c>
      <c r="J831" s="183" t="s">
        <v>5160</v>
      </c>
    </row>
    <row r="832" spans="1:10" ht="15" customHeight="1" x14ac:dyDescent="0.45">
      <c r="A832" s="235">
        <v>828</v>
      </c>
      <c r="B832" s="236" t="s">
        <v>5740</v>
      </c>
      <c r="C832" s="236" t="s">
        <v>1593</v>
      </c>
      <c r="D832" s="236" t="s">
        <v>1595</v>
      </c>
      <c r="E832" s="236">
        <v>0</v>
      </c>
      <c r="F832" s="230">
        <v>42992</v>
      </c>
      <c r="G832" s="119">
        <f ca="1">IF(ISBLANK(I832),TODAY()-F832,I832-F832)</f>
        <v>4</v>
      </c>
      <c r="H832" s="126" t="s">
        <v>64</v>
      </c>
      <c r="I832" s="121">
        <v>42996</v>
      </c>
      <c r="J832" s="183" t="s">
        <v>5160</v>
      </c>
    </row>
    <row r="833" spans="1:10" ht="15" customHeight="1" x14ac:dyDescent="0.45">
      <c r="A833" s="235">
        <v>829</v>
      </c>
      <c r="B833" s="236" t="s">
        <v>5740</v>
      </c>
      <c r="C833" s="236" t="s">
        <v>1599</v>
      </c>
      <c r="D833" s="236" t="s">
        <v>1601</v>
      </c>
      <c r="E833" s="236">
        <v>0</v>
      </c>
      <c r="F833" s="230">
        <v>42992</v>
      </c>
      <c r="G833" s="119">
        <f ca="1">IF(ISBLANK(I833),TODAY()-F833,I833-F833)</f>
        <v>4</v>
      </c>
      <c r="H833" s="126" t="s">
        <v>64</v>
      </c>
      <c r="I833" s="121">
        <v>42996</v>
      </c>
      <c r="J833" s="183" t="s">
        <v>5160</v>
      </c>
    </row>
    <row r="834" spans="1:10" ht="15" customHeight="1" x14ac:dyDescent="0.45">
      <c r="A834" s="235">
        <v>830</v>
      </c>
      <c r="B834" s="236" t="s">
        <v>1322</v>
      </c>
      <c r="C834" s="236" t="s">
        <v>1319</v>
      </c>
      <c r="D834" s="236" t="s">
        <v>1321</v>
      </c>
      <c r="E834" s="236">
        <v>0</v>
      </c>
      <c r="F834" s="230">
        <v>42992</v>
      </c>
      <c r="G834" s="119">
        <f ca="1">IF(ISBLANK(I834),TODAY()-F834,I834-F834)</f>
        <v>4</v>
      </c>
      <c r="H834" s="126" t="s">
        <v>64</v>
      </c>
      <c r="I834" s="121">
        <v>42996</v>
      </c>
      <c r="J834" s="183" t="s">
        <v>5160</v>
      </c>
    </row>
    <row r="835" spans="1:10" ht="15" customHeight="1" x14ac:dyDescent="0.45">
      <c r="A835" s="235">
        <v>831</v>
      </c>
      <c r="B835" s="236" t="s">
        <v>1322</v>
      </c>
      <c r="C835" s="236" t="s">
        <v>1377</v>
      </c>
      <c r="D835" s="236" t="s">
        <v>1379</v>
      </c>
      <c r="E835" s="236">
        <v>0</v>
      </c>
      <c r="F835" s="230">
        <v>42992</v>
      </c>
      <c r="G835" s="119">
        <f ca="1">IF(ISBLANK(I835),TODAY()-F835,I835-F835)</f>
        <v>4</v>
      </c>
      <c r="H835" s="126" t="s">
        <v>64</v>
      </c>
      <c r="I835" s="121">
        <v>42996</v>
      </c>
      <c r="J835" s="183" t="s">
        <v>5160</v>
      </c>
    </row>
    <row r="836" spans="1:10" ht="15" customHeight="1" x14ac:dyDescent="0.45">
      <c r="A836" s="235">
        <v>832</v>
      </c>
      <c r="B836" s="236" t="s">
        <v>1322</v>
      </c>
      <c r="C836" s="236" t="s">
        <v>1383</v>
      </c>
      <c r="D836" s="236" t="s">
        <v>1385</v>
      </c>
      <c r="E836" s="236">
        <v>0</v>
      </c>
      <c r="F836" s="230">
        <v>42992</v>
      </c>
      <c r="G836" s="119">
        <f ca="1">IF(ISBLANK(I836),TODAY()-F836,I836-F836)</f>
        <v>4</v>
      </c>
      <c r="H836" s="126" t="s">
        <v>64</v>
      </c>
      <c r="I836" s="121">
        <v>42996</v>
      </c>
      <c r="J836" s="183" t="s">
        <v>5160</v>
      </c>
    </row>
    <row r="837" spans="1:10" ht="15" customHeight="1" x14ac:dyDescent="0.45">
      <c r="A837" s="237">
        <v>833</v>
      </c>
      <c r="B837" s="238" t="s">
        <v>1322</v>
      </c>
      <c r="C837" s="238" t="s">
        <v>1423</v>
      </c>
      <c r="D837" s="238" t="s">
        <v>1425</v>
      </c>
      <c r="E837" s="238">
        <v>0</v>
      </c>
      <c r="F837" s="230">
        <v>42992</v>
      </c>
      <c r="G837" s="119">
        <f ca="1">IF(ISBLANK(I837),TODAY()-F837,I837-F837)</f>
        <v>4</v>
      </c>
      <c r="H837" s="126" t="s">
        <v>64</v>
      </c>
      <c r="I837" s="121">
        <v>42996</v>
      </c>
      <c r="J837" s="183" t="s">
        <v>5160</v>
      </c>
    </row>
    <row r="838" spans="1:10" ht="15" customHeight="1" x14ac:dyDescent="0.45">
      <c r="A838" s="235">
        <v>834</v>
      </c>
      <c r="B838" s="333" t="s">
        <v>1322</v>
      </c>
      <c r="C838" s="333" t="s">
        <v>1429</v>
      </c>
      <c r="D838" s="333" t="s">
        <v>1431</v>
      </c>
      <c r="E838" s="333">
        <v>0</v>
      </c>
      <c r="F838" s="230">
        <v>42992</v>
      </c>
      <c r="G838" s="119">
        <f ca="1">IF(ISBLANK(I838),TODAY()-F838,I838-F838)</f>
        <v>4</v>
      </c>
      <c r="H838" s="126" t="s">
        <v>64</v>
      </c>
      <c r="I838" s="121">
        <v>42996</v>
      </c>
      <c r="J838" s="122" t="s">
        <v>5160</v>
      </c>
    </row>
    <row r="839" spans="1:10" ht="15" customHeight="1" x14ac:dyDescent="0.45">
      <c r="A839" s="225">
        <v>835</v>
      </c>
      <c r="B839" s="226" t="s">
        <v>5741</v>
      </c>
      <c r="C839" s="226" t="s">
        <v>638</v>
      </c>
      <c r="D839" s="226" t="s">
        <v>640</v>
      </c>
      <c r="E839" s="226" t="s">
        <v>65</v>
      </c>
      <c r="F839" s="230">
        <v>42992</v>
      </c>
      <c r="G839" s="119">
        <f ca="1">IF(ISBLANK(I839),TODAY()-F839,I839-F839)</f>
        <v>45</v>
      </c>
      <c r="H839" s="239" t="s">
        <v>65</v>
      </c>
      <c r="I839" s="153">
        <v>43037</v>
      </c>
      <c r="J839" s="206" t="s">
        <v>5113</v>
      </c>
    </row>
    <row r="840" spans="1:10" ht="15" customHeight="1" x14ac:dyDescent="0.45">
      <c r="A840" s="225">
        <v>836</v>
      </c>
      <c r="B840" s="226" t="s">
        <v>5742</v>
      </c>
      <c r="C840" s="226" t="s">
        <v>1407</v>
      </c>
      <c r="D840" s="226" t="s">
        <v>1409</v>
      </c>
      <c r="E840" s="226" t="s">
        <v>160</v>
      </c>
      <c r="F840" s="230">
        <v>42992</v>
      </c>
      <c r="G840" s="119">
        <f ca="1">IF(ISBLANK(I840),TODAY()-F840,I840-F840)</f>
        <v>12</v>
      </c>
      <c r="H840" s="205" t="s">
        <v>5002</v>
      </c>
      <c r="I840" s="228">
        <v>43004</v>
      </c>
      <c r="J840" s="229" t="s">
        <v>5113</v>
      </c>
    </row>
    <row r="841" spans="1:10" ht="15" customHeight="1" x14ac:dyDescent="0.45">
      <c r="A841" s="240">
        <v>837</v>
      </c>
      <c r="B841" s="241" t="s">
        <v>5742</v>
      </c>
      <c r="C841" s="241" t="s">
        <v>1444</v>
      </c>
      <c r="D841" s="241" t="s">
        <v>1446</v>
      </c>
      <c r="E841" s="241" t="s">
        <v>160</v>
      </c>
      <c r="F841" s="230">
        <v>42992</v>
      </c>
      <c r="G841" s="119">
        <f ca="1">IF(ISBLANK(I841),TODAY()-F841,I841-F841)</f>
        <v>12</v>
      </c>
      <c r="H841" s="204" t="s">
        <v>5002</v>
      </c>
      <c r="I841" s="228">
        <v>43004</v>
      </c>
      <c r="J841" s="229" t="s">
        <v>5113</v>
      </c>
    </row>
    <row r="842" spans="1:10" ht="15" customHeight="1" x14ac:dyDescent="0.45">
      <c r="A842" s="225">
        <v>846</v>
      </c>
      <c r="B842" s="226" t="s">
        <v>1559</v>
      </c>
      <c r="C842" s="226" t="s">
        <v>1556</v>
      </c>
      <c r="D842" s="226" t="s">
        <v>1558</v>
      </c>
      <c r="E842" s="226">
        <v>0</v>
      </c>
      <c r="F842" s="230">
        <v>42992</v>
      </c>
      <c r="G842" s="243">
        <f ca="1">IF(ISBLANK(I842),TODAY()-F842,I842-F842)</f>
        <v>45</v>
      </c>
      <c r="H842" s="234" t="s">
        <v>65</v>
      </c>
      <c r="I842" s="153">
        <v>43037</v>
      </c>
      <c r="J842" s="206" t="s">
        <v>5113</v>
      </c>
    </row>
    <row r="843" spans="1:10" ht="15" customHeight="1" x14ac:dyDescent="0.45">
      <c r="A843" s="235">
        <v>850</v>
      </c>
      <c r="B843" s="236" t="s">
        <v>407</v>
      </c>
      <c r="C843" s="236" t="s">
        <v>450</v>
      </c>
      <c r="D843" s="236" t="s">
        <v>452</v>
      </c>
      <c r="E843" s="236">
        <v>0</v>
      </c>
      <c r="F843" s="242">
        <v>42992</v>
      </c>
      <c r="G843" s="244">
        <f ca="1">IF(ISBLANK(I843),TODAY()-F843,I843-F843)</f>
        <v>4</v>
      </c>
      <c r="H843" s="126" t="s">
        <v>64</v>
      </c>
      <c r="I843" s="121">
        <v>42996</v>
      </c>
      <c r="J843" s="122" t="s">
        <v>5160</v>
      </c>
    </row>
    <row r="844" spans="1:10" ht="15" customHeight="1" x14ac:dyDescent="0.45">
      <c r="A844" s="235">
        <v>851</v>
      </c>
      <c r="B844" s="236" t="s">
        <v>407</v>
      </c>
      <c r="C844" s="236" t="s">
        <v>447</v>
      </c>
      <c r="D844" s="236" t="s">
        <v>449</v>
      </c>
      <c r="E844" s="236">
        <v>0</v>
      </c>
      <c r="F844" s="242">
        <v>42992</v>
      </c>
      <c r="G844" s="244">
        <f ca="1">IF(ISBLANK(I844),TODAY()-F844,I844-F844)</f>
        <v>4</v>
      </c>
      <c r="H844" s="126" t="s">
        <v>5493</v>
      </c>
      <c r="I844" s="121">
        <v>42996</v>
      </c>
      <c r="J844" s="122" t="s">
        <v>5160</v>
      </c>
    </row>
    <row r="845" spans="1:10" ht="15" customHeight="1" x14ac:dyDescent="0.45">
      <c r="A845" s="240">
        <v>852</v>
      </c>
      <c r="B845" s="241" t="s">
        <v>407</v>
      </c>
      <c r="C845" s="241" t="s">
        <v>404</v>
      </c>
      <c r="D845" s="241" t="s">
        <v>406</v>
      </c>
      <c r="E845" s="241">
        <v>0</v>
      </c>
      <c r="F845" s="242">
        <v>42992</v>
      </c>
      <c r="G845" s="244">
        <f ca="1">IF(ISBLANK(I845),TODAY()-F845,I845-F845)</f>
        <v>4</v>
      </c>
      <c r="H845" s="126" t="s">
        <v>64</v>
      </c>
      <c r="I845" s="121">
        <v>42996</v>
      </c>
      <c r="J845" s="122" t="s">
        <v>5160</v>
      </c>
    </row>
    <row r="846" spans="1:10" ht="15" customHeight="1" x14ac:dyDescent="0.45">
      <c r="A846" s="235">
        <v>838</v>
      </c>
      <c r="B846" s="236" t="s">
        <v>5743</v>
      </c>
      <c r="C846" s="236" t="s">
        <v>622</v>
      </c>
      <c r="D846" s="236" t="s">
        <v>624</v>
      </c>
      <c r="E846" s="236" t="s">
        <v>160</v>
      </c>
      <c r="F846" s="242">
        <v>42993</v>
      </c>
      <c r="G846" s="119">
        <f ca="1">IF(ISBLANK(I846),TODAY()-F846,I846-F846)</f>
        <v>25</v>
      </c>
      <c r="H846" s="239" t="s">
        <v>5002</v>
      </c>
      <c r="I846" s="213">
        <v>43018</v>
      </c>
      <c r="J846" s="206" t="s">
        <v>5113</v>
      </c>
    </row>
    <row r="847" spans="1:10" ht="15" customHeight="1" x14ac:dyDescent="0.45">
      <c r="A847" s="235">
        <v>839</v>
      </c>
      <c r="B847" s="236" t="s">
        <v>5744</v>
      </c>
      <c r="C847" s="236" t="s">
        <v>634</v>
      </c>
      <c r="D847" s="236" t="s">
        <v>636</v>
      </c>
      <c r="E847" s="236" t="s">
        <v>65</v>
      </c>
      <c r="F847" s="242">
        <v>42993</v>
      </c>
      <c r="G847" s="119">
        <f ca="1">IF(ISBLANK(I847),TODAY()-F847,I847-F847)</f>
        <v>44</v>
      </c>
      <c r="H847" s="227" t="s">
        <v>65</v>
      </c>
      <c r="I847" s="228">
        <v>43037</v>
      </c>
      <c r="J847" s="210" t="s">
        <v>5113</v>
      </c>
    </row>
    <row r="848" spans="1:10" ht="15" customHeight="1" x14ac:dyDescent="0.45">
      <c r="A848" s="235">
        <v>840</v>
      </c>
      <c r="B848" s="236" t="s">
        <v>5745</v>
      </c>
      <c r="C848" s="236" t="s">
        <v>2655</v>
      </c>
      <c r="D848" s="236" t="s">
        <v>864</v>
      </c>
      <c r="E848" s="236" t="s">
        <v>65</v>
      </c>
      <c r="F848" s="242">
        <v>42993</v>
      </c>
      <c r="G848" s="119">
        <f ca="1">IF(ISBLANK(I848),TODAY()-F848,I848-F848)</f>
        <v>44</v>
      </c>
      <c r="H848" s="227" t="s">
        <v>2702</v>
      </c>
      <c r="I848" s="228">
        <v>43037</v>
      </c>
      <c r="J848" s="229" t="s">
        <v>5113</v>
      </c>
    </row>
    <row r="849" spans="1:10" ht="15" customHeight="1" x14ac:dyDescent="0.45">
      <c r="A849" s="235">
        <v>841</v>
      </c>
      <c r="B849" s="236" t="s">
        <v>5745</v>
      </c>
      <c r="C849" s="236" t="s">
        <v>866</v>
      </c>
      <c r="D849" s="236" t="s">
        <v>5746</v>
      </c>
      <c r="E849" s="236" t="s">
        <v>65</v>
      </c>
      <c r="F849" s="242">
        <v>42993</v>
      </c>
      <c r="G849" s="119">
        <f ca="1">IF(ISBLANK(I849),TODAY()-F849,I849-F849)</f>
        <v>44</v>
      </c>
      <c r="H849" s="227" t="s">
        <v>2702</v>
      </c>
      <c r="I849" s="228">
        <v>43037</v>
      </c>
      <c r="J849" s="229" t="s">
        <v>5113</v>
      </c>
    </row>
    <row r="850" spans="1:10" ht="15" customHeight="1" x14ac:dyDescent="0.45">
      <c r="A850" s="235">
        <v>842</v>
      </c>
      <c r="B850" s="236" t="s">
        <v>5745</v>
      </c>
      <c r="C850" s="236" t="s">
        <v>871</v>
      </c>
      <c r="D850" s="236" t="s">
        <v>873</v>
      </c>
      <c r="E850" s="236" t="s">
        <v>65</v>
      </c>
      <c r="F850" s="242">
        <v>42993</v>
      </c>
      <c r="G850" s="119">
        <f ca="1">IF(ISBLANK(I850),TODAY()-F850,I850-F850)</f>
        <v>11</v>
      </c>
      <c r="H850" s="227" t="s">
        <v>5004</v>
      </c>
      <c r="I850" s="228">
        <v>43004</v>
      </c>
      <c r="J850" s="229" t="s">
        <v>5113</v>
      </c>
    </row>
    <row r="851" spans="1:10" ht="15" customHeight="1" x14ac:dyDescent="0.45">
      <c r="A851" s="235">
        <v>843</v>
      </c>
      <c r="B851" s="236" t="s">
        <v>5745</v>
      </c>
      <c r="C851" s="236" t="s">
        <v>875</v>
      </c>
      <c r="D851" s="236" t="s">
        <v>877</v>
      </c>
      <c r="E851" s="236" t="s">
        <v>65</v>
      </c>
      <c r="F851" s="242">
        <v>42993</v>
      </c>
      <c r="G851" s="119">
        <f ca="1">IF(ISBLANK(I851),TODAY()-F851,I851-F851)</f>
        <v>44</v>
      </c>
      <c r="H851" s="227" t="s">
        <v>2702</v>
      </c>
      <c r="I851" s="228">
        <v>43037</v>
      </c>
      <c r="J851" s="229" t="s">
        <v>5113</v>
      </c>
    </row>
    <row r="852" spans="1:10" ht="15" customHeight="1" x14ac:dyDescent="0.45">
      <c r="A852" s="235">
        <v>844</v>
      </c>
      <c r="B852" s="236" t="s">
        <v>5745</v>
      </c>
      <c r="C852" s="236" t="s">
        <v>878</v>
      </c>
      <c r="D852" s="236" t="s">
        <v>880</v>
      </c>
      <c r="E852" s="236" t="s">
        <v>65</v>
      </c>
      <c r="F852" s="242">
        <v>42993</v>
      </c>
      <c r="G852" s="119">
        <f ca="1">IF(ISBLANK(I852),TODAY()-F852,I852-F852)</f>
        <v>44</v>
      </c>
      <c r="H852" s="227" t="s">
        <v>2702</v>
      </c>
      <c r="I852" s="228">
        <v>43037</v>
      </c>
      <c r="J852" s="229" t="s">
        <v>5113</v>
      </c>
    </row>
    <row r="853" spans="1:10" ht="15" customHeight="1" x14ac:dyDescent="0.45">
      <c r="A853" s="235">
        <v>845</v>
      </c>
      <c r="B853" s="236" t="s">
        <v>5745</v>
      </c>
      <c r="C853" s="236" t="s">
        <v>882</v>
      </c>
      <c r="D853" s="236" t="s">
        <v>884</v>
      </c>
      <c r="E853" s="236" t="s">
        <v>65</v>
      </c>
      <c r="F853" s="242">
        <v>42993</v>
      </c>
      <c r="G853" s="119">
        <f ca="1">IF(ISBLANK(I853),TODAY()-F853,I853-F853)</f>
        <v>11</v>
      </c>
      <c r="H853" s="227" t="s">
        <v>5004</v>
      </c>
      <c r="I853" s="228">
        <v>43004</v>
      </c>
      <c r="J853" s="257" t="s">
        <v>5113</v>
      </c>
    </row>
    <row r="854" spans="1:10" ht="15" customHeight="1" x14ac:dyDescent="0.45">
      <c r="A854" s="225">
        <v>847</v>
      </c>
      <c r="B854" s="226" t="s">
        <v>5747</v>
      </c>
      <c r="C854" s="226" t="s">
        <v>643</v>
      </c>
      <c r="D854" s="226" t="s">
        <v>645</v>
      </c>
      <c r="E854" s="226" t="s">
        <v>3979</v>
      </c>
      <c r="F854" s="242">
        <v>42993</v>
      </c>
      <c r="G854" s="243">
        <f ca="1">IF(ISBLANK(I854),TODAY()-F854,I854-F854)</f>
        <v>44</v>
      </c>
      <c r="H854" s="234" t="s">
        <v>65</v>
      </c>
      <c r="I854" s="153">
        <v>43037</v>
      </c>
      <c r="J854" s="216" t="s">
        <v>5113</v>
      </c>
    </row>
    <row r="855" spans="1:10" ht="15" customHeight="1" x14ac:dyDescent="0.45">
      <c r="A855" s="235">
        <v>848</v>
      </c>
      <c r="B855" s="236" t="s">
        <v>5748</v>
      </c>
      <c r="C855" s="236" t="s">
        <v>389</v>
      </c>
      <c r="D855" s="236" t="s">
        <v>391</v>
      </c>
      <c r="E855" s="236" t="s">
        <v>65</v>
      </c>
      <c r="F855" s="242">
        <v>42993</v>
      </c>
      <c r="G855" s="244">
        <f ca="1">IF(ISBLANK(I855),TODAY()-F855,I855-F855)</f>
        <v>44</v>
      </c>
      <c r="H855" s="234" t="s">
        <v>160</v>
      </c>
      <c r="I855" s="153">
        <v>43037</v>
      </c>
      <c r="J855" s="221" t="s">
        <v>5113</v>
      </c>
    </row>
    <row r="856" spans="1:10" ht="15" customHeight="1" x14ac:dyDescent="0.45">
      <c r="A856" s="235">
        <v>849</v>
      </c>
      <c r="B856" s="236" t="s">
        <v>5748</v>
      </c>
      <c r="C856" s="236" t="s">
        <v>385</v>
      </c>
      <c r="D856" s="236" t="s">
        <v>387</v>
      </c>
      <c r="E856" s="236" t="s">
        <v>65</v>
      </c>
      <c r="F856" s="242">
        <v>42993</v>
      </c>
      <c r="G856" s="244">
        <f ca="1">IF(ISBLANK(I856),TODAY()-F856,I856-F856)</f>
        <v>44</v>
      </c>
      <c r="H856" s="234" t="s">
        <v>2702</v>
      </c>
      <c r="I856" s="153">
        <v>43037</v>
      </c>
      <c r="J856" s="231" t="s">
        <v>5113</v>
      </c>
    </row>
    <row r="857" spans="1:10" ht="15" customHeight="1" x14ac:dyDescent="0.45">
      <c r="A857" s="225">
        <v>853</v>
      </c>
      <c r="B857" s="226" t="s">
        <v>566</v>
      </c>
      <c r="C857" s="226" t="s">
        <v>542</v>
      </c>
      <c r="D857" s="226" t="s">
        <v>544</v>
      </c>
      <c r="E857" s="226">
        <v>1</v>
      </c>
      <c r="F857" s="242">
        <v>42993</v>
      </c>
      <c r="G857" s="244">
        <f ca="1">IF(ISBLANK(I857),TODAY()-F857,I857-F857)</f>
        <v>11</v>
      </c>
      <c r="H857" s="227" t="s">
        <v>5344</v>
      </c>
      <c r="I857" s="228">
        <v>43004</v>
      </c>
      <c r="J857" s="229" t="s">
        <v>5113</v>
      </c>
    </row>
    <row r="858" spans="1:10" ht="15" customHeight="1" x14ac:dyDescent="0.45">
      <c r="A858" s="240">
        <v>854</v>
      </c>
      <c r="B858" s="241" t="s">
        <v>566</v>
      </c>
      <c r="C858" s="241" t="s">
        <v>563</v>
      </c>
      <c r="D858" s="241" t="s">
        <v>565</v>
      </c>
      <c r="E858" s="241">
        <v>1</v>
      </c>
      <c r="F858" s="242">
        <v>42993</v>
      </c>
      <c r="G858" s="244">
        <f ca="1">IF(ISBLANK(I858),TODAY()-F858,I858-F858)</f>
        <v>11</v>
      </c>
      <c r="H858" s="227" t="s">
        <v>5227</v>
      </c>
      <c r="I858" s="228">
        <v>43004</v>
      </c>
      <c r="J858" s="229" t="s">
        <v>5113</v>
      </c>
    </row>
    <row r="859" spans="1:10" ht="15" customHeight="1" x14ac:dyDescent="0.45">
      <c r="A859" s="240">
        <v>855</v>
      </c>
      <c r="B859" s="241" t="s">
        <v>5749</v>
      </c>
      <c r="C859" s="241" t="s">
        <v>1467</v>
      </c>
      <c r="D859" s="241" t="s">
        <v>1469</v>
      </c>
      <c r="E859" s="241" t="s">
        <v>65</v>
      </c>
      <c r="F859" s="245">
        <v>42998</v>
      </c>
      <c r="G859" s="244">
        <f ca="1">IF(ISBLANK(I859),TODAY()-F859,I859-F859)</f>
        <v>24</v>
      </c>
      <c r="H859" s="234" t="s">
        <v>65</v>
      </c>
      <c r="I859" s="153">
        <v>43022</v>
      </c>
      <c r="J859" s="231" t="s">
        <v>5160</v>
      </c>
    </row>
    <row r="860" spans="1:10" ht="15" customHeight="1" x14ac:dyDescent="0.45">
      <c r="A860" s="240">
        <v>856</v>
      </c>
      <c r="B860" s="241" t="s">
        <v>5749</v>
      </c>
      <c r="C860" s="241" t="s">
        <v>1463</v>
      </c>
      <c r="D860" s="241" t="s">
        <v>1465</v>
      </c>
      <c r="E860" s="241" t="s">
        <v>65</v>
      </c>
      <c r="F860" s="245">
        <v>42998</v>
      </c>
      <c r="G860" s="244">
        <f ca="1">IF(ISBLANK(I860),TODAY()-F860,I860-F860)</f>
        <v>24</v>
      </c>
      <c r="H860" s="234" t="s">
        <v>65</v>
      </c>
      <c r="I860" s="153">
        <v>43022</v>
      </c>
      <c r="J860" s="231" t="s">
        <v>5160</v>
      </c>
    </row>
    <row r="861" spans="1:10" ht="15" customHeight="1" x14ac:dyDescent="0.45">
      <c r="A861" s="240">
        <v>857</v>
      </c>
      <c r="B861" s="241" t="s">
        <v>5749</v>
      </c>
      <c r="C861" s="241" t="s">
        <v>1458</v>
      </c>
      <c r="D861" s="241" t="s">
        <v>1460</v>
      </c>
      <c r="E861" s="241" t="s">
        <v>65</v>
      </c>
      <c r="F861" s="245">
        <v>42998</v>
      </c>
      <c r="G861" s="246">
        <f ca="1">IF(ISBLANK(I861),TODAY()-F861,I861-F861)</f>
        <v>24</v>
      </c>
      <c r="H861" s="234" t="s">
        <v>65</v>
      </c>
      <c r="I861" s="153">
        <v>43022</v>
      </c>
      <c r="J861" s="231" t="s">
        <v>5160</v>
      </c>
    </row>
    <row r="862" spans="1:10" ht="15" customHeight="1" x14ac:dyDescent="0.45">
      <c r="A862" s="225">
        <v>858</v>
      </c>
      <c r="B862" s="226" t="s">
        <v>2279</v>
      </c>
      <c r="C862" s="226" t="s">
        <v>2359</v>
      </c>
      <c r="D862" s="226" t="s">
        <v>2361</v>
      </c>
      <c r="E862" s="226">
        <v>0</v>
      </c>
      <c r="F862" s="230">
        <v>42998</v>
      </c>
      <c r="G862" s="246">
        <f ca="1">IF(ISBLANK(I862),TODAY()-F862,I862-F862)</f>
        <v>24</v>
      </c>
      <c r="H862" s="227" t="s">
        <v>65</v>
      </c>
      <c r="I862" s="228">
        <v>43022</v>
      </c>
      <c r="J862" s="229" t="s">
        <v>5160</v>
      </c>
    </row>
    <row r="863" spans="1:10" ht="15" customHeight="1" x14ac:dyDescent="0.45">
      <c r="A863" s="225">
        <v>859</v>
      </c>
      <c r="B863" s="226" t="s">
        <v>2279</v>
      </c>
      <c r="C863" s="226" t="s">
        <v>2276</v>
      </c>
      <c r="D863" s="226" t="s">
        <v>2278</v>
      </c>
      <c r="E863" s="226">
        <v>0</v>
      </c>
      <c r="F863" s="230">
        <v>42998</v>
      </c>
      <c r="G863" s="246">
        <f ca="1">IF(ISBLANK(I863),TODAY()-F863,I863-F863)</f>
        <v>24</v>
      </c>
      <c r="H863" s="354" t="s">
        <v>65</v>
      </c>
      <c r="I863" s="228">
        <v>43022</v>
      </c>
      <c r="J863" s="229" t="s">
        <v>5160</v>
      </c>
    </row>
    <row r="864" spans="1:10" ht="15" customHeight="1" x14ac:dyDescent="0.45">
      <c r="A864" s="225">
        <v>860</v>
      </c>
      <c r="B864" s="226" t="s">
        <v>5750</v>
      </c>
      <c r="C864" s="226" t="s">
        <v>2322</v>
      </c>
      <c r="D864" s="226" t="s">
        <v>2324</v>
      </c>
      <c r="E864" s="226" t="s">
        <v>65</v>
      </c>
      <c r="F864" s="245">
        <v>42998</v>
      </c>
      <c r="G864" s="246">
        <f ca="1">IF(ISBLANK(I864),TODAY()-F864,I864-F864)</f>
        <v>24</v>
      </c>
      <c r="H864" s="247" t="s">
        <v>65</v>
      </c>
      <c r="I864" s="228">
        <v>43022</v>
      </c>
      <c r="J864" s="229" t="s">
        <v>5160</v>
      </c>
    </row>
    <row r="865" spans="1:10" ht="15" customHeight="1" x14ac:dyDescent="0.45">
      <c r="A865" s="225">
        <v>861</v>
      </c>
      <c r="B865" s="226" t="s">
        <v>5751</v>
      </c>
      <c r="C865" s="226" t="s">
        <v>2318</v>
      </c>
      <c r="D865" s="226" t="s">
        <v>2320</v>
      </c>
      <c r="E865" s="226" t="s">
        <v>65</v>
      </c>
      <c r="F865" s="245">
        <v>42998</v>
      </c>
      <c r="G865" s="246">
        <f ca="1">IF(ISBLANK(I865),TODAY()-F865,I865-F865)</f>
        <v>24</v>
      </c>
      <c r="H865" s="247" t="s">
        <v>65</v>
      </c>
      <c r="I865" s="228">
        <v>43022</v>
      </c>
      <c r="J865" s="229" t="s">
        <v>5160</v>
      </c>
    </row>
    <row r="866" spans="1:10" ht="15" customHeight="1" x14ac:dyDescent="0.45">
      <c r="A866" s="240">
        <v>862</v>
      </c>
      <c r="B866" s="241" t="s">
        <v>5751</v>
      </c>
      <c r="C866" s="241" t="s">
        <v>2236</v>
      </c>
      <c r="D866" s="241" t="s">
        <v>2238</v>
      </c>
      <c r="E866" s="241" t="s">
        <v>65</v>
      </c>
      <c r="F866" s="245">
        <v>42998</v>
      </c>
      <c r="G866" s="246">
        <f ca="1">IF(ISBLANK(I866),TODAY()-F866,I866-F866)</f>
        <v>24</v>
      </c>
      <c r="H866" s="247" t="s">
        <v>65</v>
      </c>
      <c r="I866" s="228">
        <v>43022</v>
      </c>
      <c r="J866" s="229" t="s">
        <v>5160</v>
      </c>
    </row>
    <row r="867" spans="1:10" ht="15" customHeight="1" x14ac:dyDescent="0.45">
      <c r="A867" s="240">
        <v>863</v>
      </c>
      <c r="B867" s="241" t="s">
        <v>5751</v>
      </c>
      <c r="C867" s="241" t="s">
        <v>2231</v>
      </c>
      <c r="D867" s="241" t="s">
        <v>2233</v>
      </c>
      <c r="E867" s="241" t="s">
        <v>65</v>
      </c>
      <c r="F867" s="245">
        <v>42998</v>
      </c>
      <c r="G867" s="246">
        <f ca="1">IF(ISBLANK(I867),TODAY()-F867,I867-F867)</f>
        <v>24</v>
      </c>
      <c r="H867" s="247" t="s">
        <v>65</v>
      </c>
      <c r="I867" s="228">
        <v>43022</v>
      </c>
      <c r="J867" s="229" t="s">
        <v>5160</v>
      </c>
    </row>
    <row r="868" spans="1:10" ht="15" customHeight="1" x14ac:dyDescent="0.45">
      <c r="A868" s="240">
        <v>864</v>
      </c>
      <c r="B868" s="241" t="s">
        <v>2022</v>
      </c>
      <c r="C868" s="241" t="s">
        <v>2028</v>
      </c>
      <c r="D868" s="241" t="s">
        <v>2030</v>
      </c>
      <c r="E868" s="241">
        <v>0</v>
      </c>
      <c r="F868" s="245">
        <v>42998</v>
      </c>
      <c r="G868" s="246">
        <f ca="1">IF(ISBLANK(I868),TODAY()-F868,I868-F868)</f>
        <v>24</v>
      </c>
      <c r="H868" s="247" t="s">
        <v>160</v>
      </c>
      <c r="I868" s="228">
        <v>43022</v>
      </c>
      <c r="J868" s="229" t="s">
        <v>5160</v>
      </c>
    </row>
    <row r="869" spans="1:10" ht="15" customHeight="1" x14ac:dyDescent="0.45">
      <c r="A869" s="240">
        <v>865</v>
      </c>
      <c r="B869" s="241" t="s">
        <v>2022</v>
      </c>
      <c r="C869" s="241" t="s">
        <v>2007</v>
      </c>
      <c r="D869" s="241" t="s">
        <v>2009</v>
      </c>
      <c r="E869" s="241">
        <v>0</v>
      </c>
      <c r="F869" s="245">
        <v>42998</v>
      </c>
      <c r="G869" s="246">
        <f ca="1">IF(ISBLANK(I869),TODAY()-F869,I869-F869)</f>
        <v>24</v>
      </c>
      <c r="H869" s="247" t="s">
        <v>65</v>
      </c>
      <c r="I869" s="228">
        <v>43022</v>
      </c>
      <c r="J869" s="229" t="s">
        <v>5160</v>
      </c>
    </row>
    <row r="870" spans="1:10" ht="15" customHeight="1" x14ac:dyDescent="0.45">
      <c r="A870" s="240">
        <v>866</v>
      </c>
      <c r="B870" s="241" t="s">
        <v>2022</v>
      </c>
      <c r="C870" s="241" t="s">
        <v>2002</v>
      </c>
      <c r="D870" s="241" t="s">
        <v>2004</v>
      </c>
      <c r="E870" s="241">
        <v>0</v>
      </c>
      <c r="F870" s="245">
        <v>42998</v>
      </c>
      <c r="G870" s="246">
        <f ca="1">IF(ISBLANK(I870),TODAY()-F870,I870-F870)</f>
        <v>24</v>
      </c>
      <c r="H870" s="247" t="s">
        <v>160</v>
      </c>
      <c r="I870" s="228">
        <v>43022</v>
      </c>
      <c r="J870" s="229" t="s">
        <v>5160</v>
      </c>
    </row>
    <row r="871" spans="1:10" ht="15" customHeight="1" x14ac:dyDescent="0.45">
      <c r="A871" s="240">
        <v>867</v>
      </c>
      <c r="B871" s="241" t="s">
        <v>2022</v>
      </c>
      <c r="C871" s="241" t="s">
        <v>2015</v>
      </c>
      <c r="D871" s="241" t="s">
        <v>2017</v>
      </c>
      <c r="E871" s="241">
        <v>0</v>
      </c>
      <c r="F871" s="245">
        <v>42998</v>
      </c>
      <c r="G871" s="246">
        <f ca="1">IF(ISBLANK(I871),TODAY()-F871,I871-F871)</f>
        <v>24</v>
      </c>
      <c r="H871" s="247" t="s">
        <v>65</v>
      </c>
      <c r="I871" s="228">
        <v>43022</v>
      </c>
      <c r="J871" s="229" t="s">
        <v>5160</v>
      </c>
    </row>
    <row r="872" spans="1:10" ht="15" customHeight="1" x14ac:dyDescent="0.45">
      <c r="A872" s="240">
        <v>868</v>
      </c>
      <c r="B872" s="241" t="s">
        <v>2022</v>
      </c>
      <c r="C872" s="241" t="s">
        <v>2011</v>
      </c>
      <c r="D872" s="241" t="s">
        <v>2013</v>
      </c>
      <c r="E872" s="241">
        <v>0</v>
      </c>
      <c r="F872" s="245">
        <v>42998</v>
      </c>
      <c r="G872" s="246">
        <f ca="1">IF(ISBLANK(I872),TODAY()-F872,I872-F872)</f>
        <v>24</v>
      </c>
      <c r="H872" s="247" t="s">
        <v>65</v>
      </c>
      <c r="I872" s="228">
        <v>43022</v>
      </c>
      <c r="J872" s="229" t="s">
        <v>5160</v>
      </c>
    </row>
    <row r="873" spans="1:10" ht="15" customHeight="1" x14ac:dyDescent="0.45">
      <c r="A873" s="240">
        <v>869</v>
      </c>
      <c r="B873" s="241" t="s">
        <v>2022</v>
      </c>
      <c r="C873" s="241" t="s">
        <v>2019</v>
      </c>
      <c r="D873" s="241" t="s">
        <v>2021</v>
      </c>
      <c r="E873" s="241">
        <v>1</v>
      </c>
      <c r="F873" s="245">
        <v>42998</v>
      </c>
      <c r="G873" s="246">
        <f ca="1">IF(ISBLANK(I873),TODAY()-F873,I873-F873)</f>
        <v>24</v>
      </c>
      <c r="H873" s="247" t="s">
        <v>2702</v>
      </c>
      <c r="I873" s="228">
        <v>43022</v>
      </c>
      <c r="J873" s="229" t="s">
        <v>5160</v>
      </c>
    </row>
    <row r="874" spans="1:10" ht="15" customHeight="1" x14ac:dyDescent="0.45">
      <c r="A874" s="240">
        <v>870</v>
      </c>
      <c r="B874" s="241" t="s">
        <v>571</v>
      </c>
      <c r="C874" s="241" t="s">
        <v>568</v>
      </c>
      <c r="D874" s="241" t="s">
        <v>570</v>
      </c>
      <c r="E874" s="241">
        <v>0</v>
      </c>
      <c r="F874" s="245">
        <v>42998</v>
      </c>
      <c r="G874" s="246">
        <f ca="1">IF(ISBLANK(I874),TODAY()-F874,I874-F874)</f>
        <v>24</v>
      </c>
      <c r="H874" s="247" t="s">
        <v>65</v>
      </c>
      <c r="I874" s="228">
        <v>43022</v>
      </c>
      <c r="J874" s="229" t="s">
        <v>5160</v>
      </c>
    </row>
    <row r="875" spans="1:10" ht="15" customHeight="1" x14ac:dyDescent="0.45">
      <c r="A875" s="240">
        <v>871</v>
      </c>
      <c r="B875" s="241" t="s">
        <v>571</v>
      </c>
      <c r="C875" s="241" t="s">
        <v>594</v>
      </c>
      <c r="D875" s="241" t="s">
        <v>596</v>
      </c>
      <c r="E875" s="241">
        <v>0</v>
      </c>
      <c r="F875" s="245">
        <v>42998</v>
      </c>
      <c r="G875" s="246">
        <f ca="1">IF(ISBLANK(I875),TODAY()-F875,I875-F875)</f>
        <v>24</v>
      </c>
      <c r="H875" s="247" t="s">
        <v>2702</v>
      </c>
      <c r="I875" s="228">
        <v>43022</v>
      </c>
      <c r="J875" s="229" t="s">
        <v>5160</v>
      </c>
    </row>
    <row r="876" spans="1:10" ht="15" customHeight="1" x14ac:dyDescent="0.45">
      <c r="A876" s="240">
        <v>872</v>
      </c>
      <c r="B876" s="241" t="s">
        <v>571</v>
      </c>
      <c r="C876" s="241" t="s">
        <v>590</v>
      </c>
      <c r="D876" s="241" t="s">
        <v>592</v>
      </c>
      <c r="E876" s="241">
        <v>0</v>
      </c>
      <c r="F876" s="245">
        <v>42998</v>
      </c>
      <c r="G876" s="246">
        <f ca="1">IF(ISBLANK(I876),TODAY()-F876,I876-F876)</f>
        <v>24</v>
      </c>
      <c r="H876" s="247" t="s">
        <v>2702</v>
      </c>
      <c r="I876" s="228">
        <v>43022</v>
      </c>
      <c r="J876" s="229" t="s">
        <v>5160</v>
      </c>
    </row>
    <row r="877" spans="1:10" ht="15" customHeight="1" x14ac:dyDescent="0.45">
      <c r="A877" s="240">
        <v>876</v>
      </c>
      <c r="B877" s="241" t="s">
        <v>5753</v>
      </c>
      <c r="C877" s="241" t="s">
        <v>781</v>
      </c>
      <c r="D877" s="241" t="s">
        <v>783</v>
      </c>
      <c r="E877" s="241" t="s">
        <v>160</v>
      </c>
      <c r="F877" s="245">
        <v>42998</v>
      </c>
      <c r="G877" s="246">
        <f ca="1">IF(ISBLANK(I877),TODAY()-F877,I877-F877)</f>
        <v>24</v>
      </c>
      <c r="H877" s="233" t="s">
        <v>2702</v>
      </c>
      <c r="I877" s="153">
        <v>43022</v>
      </c>
      <c r="J877" s="231" t="s">
        <v>5160</v>
      </c>
    </row>
    <row r="878" spans="1:10" ht="15" customHeight="1" x14ac:dyDescent="0.45">
      <c r="A878" s="240">
        <v>877</v>
      </c>
      <c r="B878" s="241" t="s">
        <v>5753</v>
      </c>
      <c r="C878" s="241" t="s">
        <v>776</v>
      </c>
      <c r="D878" s="241" t="s">
        <v>778</v>
      </c>
      <c r="E878" s="241" t="s">
        <v>160</v>
      </c>
      <c r="F878" s="245">
        <v>42998</v>
      </c>
      <c r="G878" s="246">
        <f ca="1">IF(ISBLANK(I878),TODAY()-F878,I878-F878)</f>
        <v>24</v>
      </c>
      <c r="H878" s="233" t="s">
        <v>160</v>
      </c>
      <c r="I878" s="153">
        <v>43022</v>
      </c>
      <c r="J878" s="231" t="s">
        <v>5160</v>
      </c>
    </row>
    <row r="879" spans="1:10" ht="15" customHeight="1" x14ac:dyDescent="0.45">
      <c r="A879" s="240">
        <v>878</v>
      </c>
      <c r="B879" s="241" t="s">
        <v>5754</v>
      </c>
      <c r="C879" s="241" t="s">
        <v>1619</v>
      </c>
      <c r="D879" s="241" t="s">
        <v>1621</v>
      </c>
      <c r="E879" s="241">
        <v>0</v>
      </c>
      <c r="F879" s="230">
        <v>42998</v>
      </c>
      <c r="G879" s="246">
        <f ca="1">IF(ISBLANK(I879),TODAY()-F879,I879-F879)</f>
        <v>24</v>
      </c>
      <c r="H879" s="247" t="s">
        <v>65</v>
      </c>
      <c r="I879" s="228">
        <v>43022</v>
      </c>
      <c r="J879" s="229" t="s">
        <v>5160</v>
      </c>
    </row>
    <row r="880" spans="1:10" ht="15" customHeight="1" x14ac:dyDescent="0.45">
      <c r="A880" s="240">
        <v>883</v>
      </c>
      <c r="B880" s="241" t="s">
        <v>73</v>
      </c>
      <c r="C880" s="241" t="s">
        <v>70</v>
      </c>
      <c r="D880" s="241" t="s">
        <v>72</v>
      </c>
      <c r="E880" s="241">
        <v>0</v>
      </c>
      <c r="F880" s="230">
        <v>42998</v>
      </c>
      <c r="G880" s="246">
        <f ca="1">IF(ISBLANK(I880),TODAY()-F880,I880-F880)</f>
        <v>6</v>
      </c>
      <c r="H880" s="247" t="s">
        <v>5344</v>
      </c>
      <c r="I880" s="228">
        <v>43004</v>
      </c>
      <c r="J880" s="229" t="s">
        <v>5113</v>
      </c>
    </row>
    <row r="881" spans="1:10" ht="15" customHeight="1" x14ac:dyDescent="0.45">
      <c r="A881" s="240">
        <v>873</v>
      </c>
      <c r="B881" s="241" t="s">
        <v>608</v>
      </c>
      <c r="C881" s="241" t="s">
        <v>5752</v>
      </c>
      <c r="D881" s="241" t="s">
        <v>607</v>
      </c>
      <c r="E881" s="241">
        <v>0</v>
      </c>
      <c r="F881" s="245">
        <v>43000</v>
      </c>
      <c r="G881" s="246">
        <f ca="1">IF(ISBLANK(I881),TODAY()-F881,I881-F881)</f>
        <v>22</v>
      </c>
      <c r="H881" s="247" t="s">
        <v>2702</v>
      </c>
      <c r="I881" s="228">
        <v>43022</v>
      </c>
      <c r="J881" s="229" t="s">
        <v>5160</v>
      </c>
    </row>
    <row r="882" spans="1:10" ht="15" customHeight="1" x14ac:dyDescent="0.45">
      <c r="A882" s="240">
        <v>874</v>
      </c>
      <c r="B882" s="241" t="s">
        <v>608</v>
      </c>
      <c r="C882" s="241" t="s">
        <v>614</v>
      </c>
      <c r="D882" s="241" t="s">
        <v>616</v>
      </c>
      <c r="E882" s="241">
        <v>0</v>
      </c>
      <c r="F882" s="245">
        <v>43000</v>
      </c>
      <c r="G882" s="246">
        <f ca="1">IF(ISBLANK(I882),TODAY()-F882,I882-F882)</f>
        <v>22</v>
      </c>
      <c r="H882" s="247" t="s">
        <v>2702</v>
      </c>
      <c r="I882" s="228">
        <v>43022</v>
      </c>
      <c r="J882" s="229" t="s">
        <v>5160</v>
      </c>
    </row>
    <row r="883" spans="1:10" ht="15" customHeight="1" x14ac:dyDescent="0.45">
      <c r="A883" s="240">
        <v>875</v>
      </c>
      <c r="B883" s="241" t="s">
        <v>608</v>
      </c>
      <c r="C883" s="241" t="s">
        <v>610</v>
      </c>
      <c r="D883" s="241" t="s">
        <v>612</v>
      </c>
      <c r="E883" s="241">
        <v>0</v>
      </c>
      <c r="F883" s="245">
        <v>43000</v>
      </c>
      <c r="G883" s="246">
        <f ca="1">IF(ISBLANK(I883),TODAY()-F883,I883-F883)</f>
        <v>22</v>
      </c>
      <c r="H883" s="247" t="s">
        <v>65</v>
      </c>
      <c r="I883" s="228">
        <v>43022</v>
      </c>
      <c r="J883" s="229" t="s">
        <v>5160</v>
      </c>
    </row>
    <row r="884" spans="1:10" ht="15" customHeight="1" x14ac:dyDescent="0.45">
      <c r="A884" s="240">
        <v>879</v>
      </c>
      <c r="B884" s="241" t="s">
        <v>5755</v>
      </c>
      <c r="C884" s="241" t="s">
        <v>1420</v>
      </c>
      <c r="D884" s="241" t="s">
        <v>1422</v>
      </c>
      <c r="E884" s="241">
        <v>0</v>
      </c>
      <c r="F884" s="245">
        <v>43003</v>
      </c>
      <c r="G884" s="246">
        <f ca="1">IF(ISBLANK(I884),TODAY()-F884,I884-F884)</f>
        <v>1</v>
      </c>
      <c r="H884" s="227" t="s">
        <v>5227</v>
      </c>
      <c r="I884" s="228">
        <v>43004</v>
      </c>
      <c r="J884" s="229" t="s">
        <v>5113</v>
      </c>
    </row>
    <row r="885" spans="1:10" ht="15" customHeight="1" x14ac:dyDescent="0.45">
      <c r="A885" s="240">
        <v>880</v>
      </c>
      <c r="B885" s="241" t="s">
        <v>5755</v>
      </c>
      <c r="C885" s="241" t="s">
        <v>1380</v>
      </c>
      <c r="D885" s="241" t="s">
        <v>1382</v>
      </c>
      <c r="E885" s="241">
        <v>0</v>
      </c>
      <c r="F885" s="245">
        <v>43003</v>
      </c>
      <c r="G885" s="246">
        <f ca="1">IF(ISBLANK(I885),TODAY()-F885,I885-F885)</f>
        <v>1</v>
      </c>
      <c r="H885" s="227" t="s">
        <v>5227</v>
      </c>
      <c r="I885" s="228">
        <v>43004</v>
      </c>
      <c r="J885" s="229" t="s">
        <v>5113</v>
      </c>
    </row>
    <row r="886" spans="1:10" ht="15" customHeight="1" x14ac:dyDescent="0.45">
      <c r="A886" s="240">
        <v>881</v>
      </c>
      <c r="B886" s="241" t="s">
        <v>5756</v>
      </c>
      <c r="C886" s="241" t="s">
        <v>1386</v>
      </c>
      <c r="D886" s="241" t="s">
        <v>1388</v>
      </c>
      <c r="E886" s="241" t="s">
        <v>160</v>
      </c>
      <c r="F886" s="245">
        <v>43003</v>
      </c>
      <c r="G886" s="246">
        <f ca="1">IF(ISBLANK(I886),TODAY()-F886,I886-F886)</f>
        <v>19</v>
      </c>
      <c r="H886" s="355" t="s">
        <v>65</v>
      </c>
      <c r="I886" s="153">
        <v>43022</v>
      </c>
      <c r="J886" s="231" t="s">
        <v>5160</v>
      </c>
    </row>
    <row r="887" spans="1:10" ht="15" customHeight="1" x14ac:dyDescent="0.45">
      <c r="A887" s="240">
        <v>882</v>
      </c>
      <c r="B887" s="241" t="s">
        <v>5756</v>
      </c>
      <c r="C887" s="241" t="s">
        <v>1426</v>
      </c>
      <c r="D887" s="241" t="s">
        <v>1428</v>
      </c>
      <c r="E887" s="241" t="s">
        <v>160</v>
      </c>
      <c r="F887" s="245">
        <v>43003</v>
      </c>
      <c r="G887" s="246">
        <f ca="1">IF(ISBLANK(I887),TODAY()-F887,I887-F887)</f>
        <v>19</v>
      </c>
      <c r="H887" s="355" t="s">
        <v>65</v>
      </c>
      <c r="I887" s="153">
        <v>43022</v>
      </c>
      <c r="J887" s="231" t="s">
        <v>5160</v>
      </c>
    </row>
    <row r="888" spans="1:10" ht="15" customHeight="1" x14ac:dyDescent="0.45">
      <c r="A888" s="225">
        <v>884</v>
      </c>
      <c r="B888" s="226" t="s">
        <v>5757</v>
      </c>
      <c r="C888" s="226" t="s">
        <v>669</v>
      </c>
      <c r="D888" s="226" t="s">
        <v>671</v>
      </c>
      <c r="E888" s="226" t="s">
        <v>160</v>
      </c>
      <c r="F888" s="230">
        <v>43003</v>
      </c>
      <c r="G888" s="246">
        <f ca="1">IF(ISBLANK(I888),TODAY()-F888,I888-F888)</f>
        <v>15</v>
      </c>
      <c r="H888" s="233" t="s">
        <v>5004</v>
      </c>
      <c r="I888" s="153">
        <v>43018</v>
      </c>
      <c r="J888" s="231" t="s">
        <v>5113</v>
      </c>
    </row>
    <row r="889" spans="1:10" ht="15" customHeight="1" x14ac:dyDescent="0.45">
      <c r="A889" s="240">
        <v>885</v>
      </c>
      <c r="B889" s="241" t="s">
        <v>5758</v>
      </c>
      <c r="C889" s="241" t="s">
        <v>707</v>
      </c>
      <c r="D889" s="241" t="s">
        <v>709</v>
      </c>
      <c r="E889" s="241" t="s">
        <v>160</v>
      </c>
      <c r="F889" s="245">
        <v>43003</v>
      </c>
      <c r="G889" s="246">
        <f ca="1">IF(ISBLANK(I889),TODAY()-F889,I889-F889)</f>
        <v>19</v>
      </c>
      <c r="H889" s="227" t="s">
        <v>65</v>
      </c>
      <c r="I889" s="228">
        <v>43022</v>
      </c>
      <c r="J889" s="229" t="s">
        <v>5160</v>
      </c>
    </row>
    <row r="890" spans="1:10" ht="15" customHeight="1" x14ac:dyDescent="0.45">
      <c r="A890" s="240">
        <v>886</v>
      </c>
      <c r="B890" s="241" t="s">
        <v>720</v>
      </c>
      <c r="C890" s="241" t="s">
        <v>717</v>
      </c>
      <c r="D890" s="241" t="s">
        <v>719</v>
      </c>
      <c r="E890" s="241">
        <v>0</v>
      </c>
      <c r="F890" s="245">
        <v>43003</v>
      </c>
      <c r="G890" s="246">
        <f ca="1">IF(ISBLANK(I890),TODAY()-F890,I890-F890)</f>
        <v>1</v>
      </c>
      <c r="H890" s="354" t="s">
        <v>5344</v>
      </c>
      <c r="I890" s="228">
        <v>43004</v>
      </c>
      <c r="J890" s="229" t="s">
        <v>5113</v>
      </c>
    </row>
    <row r="891" spans="1:10" ht="15" customHeight="1" x14ac:dyDescent="0.45">
      <c r="A891" s="240">
        <v>887</v>
      </c>
      <c r="B891" s="241" t="s">
        <v>5759</v>
      </c>
      <c r="C891" s="241" t="s">
        <v>746</v>
      </c>
      <c r="D891" s="241" t="s">
        <v>748</v>
      </c>
      <c r="E891" s="241" t="s">
        <v>160</v>
      </c>
      <c r="F891" s="245">
        <v>43003</v>
      </c>
      <c r="G891" s="246">
        <f ca="1">IF(ISBLANK(I891),TODAY()-F891,I891-F891)</f>
        <v>19</v>
      </c>
      <c r="H891" s="247" t="s">
        <v>65</v>
      </c>
      <c r="I891" s="228">
        <v>43022</v>
      </c>
      <c r="J891" s="229" t="s">
        <v>5160</v>
      </c>
    </row>
    <row r="892" spans="1:10" ht="15" customHeight="1" x14ac:dyDescent="0.45">
      <c r="A892" s="240">
        <v>888</v>
      </c>
      <c r="B892" s="241" t="s">
        <v>5760</v>
      </c>
      <c r="C892" s="241" t="s">
        <v>754</v>
      </c>
      <c r="D892" s="241" t="s">
        <v>756</v>
      </c>
      <c r="E892" s="241" t="s">
        <v>160</v>
      </c>
      <c r="F892" s="245">
        <v>43003</v>
      </c>
      <c r="G892" s="246">
        <f ca="1">IF(ISBLANK(I892),TODAY()-F892,I892-F892)</f>
        <v>19</v>
      </c>
      <c r="H892" s="247" t="s">
        <v>65</v>
      </c>
      <c r="I892" s="228">
        <v>43022</v>
      </c>
      <c r="J892" s="229" t="s">
        <v>5160</v>
      </c>
    </row>
    <row r="893" spans="1:10" ht="15" customHeight="1" x14ac:dyDescent="0.45">
      <c r="A893" s="240">
        <v>889</v>
      </c>
      <c r="B893" s="241" t="s">
        <v>734</v>
      </c>
      <c r="C893" s="241" t="s">
        <v>766</v>
      </c>
      <c r="D893" s="241" t="s">
        <v>768</v>
      </c>
      <c r="E893" s="241">
        <v>0</v>
      </c>
      <c r="F893" s="245">
        <v>43003</v>
      </c>
      <c r="G893" s="246">
        <f ca="1">IF(ISBLANK(I893),TODAY()-F893,I893-F893)</f>
        <v>1</v>
      </c>
      <c r="H893" s="247" t="s">
        <v>5227</v>
      </c>
      <c r="I893" s="228">
        <v>43004</v>
      </c>
      <c r="J893" s="229" t="s">
        <v>5113</v>
      </c>
    </row>
    <row r="894" spans="1:10" ht="15" customHeight="1" x14ac:dyDescent="0.45">
      <c r="A894" s="240">
        <v>890</v>
      </c>
      <c r="B894" s="241" t="s">
        <v>734</v>
      </c>
      <c r="C894" s="241" t="s">
        <v>731</v>
      </c>
      <c r="D894" s="241" t="s">
        <v>733</v>
      </c>
      <c r="E894" s="241">
        <v>0</v>
      </c>
      <c r="F894" s="245">
        <v>43003</v>
      </c>
      <c r="G894" s="246">
        <f ca="1">IF(ISBLANK(I894),TODAY()-F894,I894-F894)</f>
        <v>1</v>
      </c>
      <c r="H894" s="247" t="s">
        <v>5227</v>
      </c>
      <c r="I894" s="228">
        <v>43004</v>
      </c>
      <c r="J894" s="229" t="s">
        <v>5113</v>
      </c>
    </row>
    <row r="895" spans="1:10" ht="15" customHeight="1" x14ac:dyDescent="0.45">
      <c r="A895" s="240">
        <v>891</v>
      </c>
      <c r="B895" s="241" t="s">
        <v>5761</v>
      </c>
      <c r="C895" s="241" t="s">
        <v>758</v>
      </c>
      <c r="D895" s="241" t="s">
        <v>760</v>
      </c>
      <c r="E895" s="241" t="s">
        <v>160</v>
      </c>
      <c r="F895" s="245">
        <v>43003</v>
      </c>
      <c r="G895" s="246">
        <f ca="1">IF(ISBLANK(I895),TODAY()-F895,I895-F895)</f>
        <v>19</v>
      </c>
      <c r="H895" s="247" t="s">
        <v>65</v>
      </c>
      <c r="I895" s="228">
        <v>43022</v>
      </c>
      <c r="J895" s="229" t="s">
        <v>5160</v>
      </c>
    </row>
    <row r="896" spans="1:10" ht="15" customHeight="1" x14ac:dyDescent="0.45">
      <c r="A896" s="240">
        <v>892</v>
      </c>
      <c r="B896" s="241" t="s">
        <v>5761</v>
      </c>
      <c r="C896" s="241" t="s">
        <v>750</v>
      </c>
      <c r="D896" s="241" t="s">
        <v>752</v>
      </c>
      <c r="E896" s="241" t="s">
        <v>160</v>
      </c>
      <c r="F896" s="245">
        <v>43003</v>
      </c>
      <c r="G896" s="246">
        <f ca="1">IF(ISBLANK(I896),TODAY()-F896,I896-F896)</f>
        <v>19</v>
      </c>
      <c r="H896" s="247" t="s">
        <v>160</v>
      </c>
      <c r="I896" s="228">
        <v>43022</v>
      </c>
      <c r="J896" s="229" t="s">
        <v>5160</v>
      </c>
    </row>
    <row r="897" spans="1:10" ht="15" customHeight="1" x14ac:dyDescent="0.45">
      <c r="A897" s="240">
        <v>893</v>
      </c>
      <c r="B897" s="241" t="s">
        <v>5761</v>
      </c>
      <c r="C897" s="241" t="s">
        <v>722</v>
      </c>
      <c r="D897" s="241" t="s">
        <v>724</v>
      </c>
      <c r="E897" s="241" t="s">
        <v>160</v>
      </c>
      <c r="F897" s="245">
        <v>43003</v>
      </c>
      <c r="G897" s="246">
        <f ca="1">IF(ISBLANK(I897),TODAY()-F897,I897-F897)</f>
        <v>19</v>
      </c>
      <c r="H897" s="247" t="s">
        <v>65</v>
      </c>
      <c r="I897" s="228">
        <v>43022</v>
      </c>
      <c r="J897" s="229" t="s">
        <v>5160</v>
      </c>
    </row>
    <row r="898" spans="1:10" ht="15" customHeight="1" x14ac:dyDescent="0.45">
      <c r="A898" s="240">
        <v>894</v>
      </c>
      <c r="B898" s="241" t="s">
        <v>5761</v>
      </c>
      <c r="C898" s="241" t="s">
        <v>711</v>
      </c>
      <c r="D898" s="241" t="s">
        <v>713</v>
      </c>
      <c r="E898" s="241" t="s">
        <v>160</v>
      </c>
      <c r="F898" s="245">
        <v>43003</v>
      </c>
      <c r="G898" s="246">
        <f ca="1">IF(ISBLANK(I898),TODAY()-F898,I898-F898)</f>
        <v>19</v>
      </c>
      <c r="H898" s="247" t="s">
        <v>160</v>
      </c>
      <c r="I898" s="228">
        <v>43022</v>
      </c>
      <c r="J898" s="229" t="s">
        <v>5160</v>
      </c>
    </row>
    <row r="899" spans="1:10" ht="15.75" customHeight="1" x14ac:dyDescent="0.45">
      <c r="A899" s="240">
        <v>895</v>
      </c>
      <c r="B899" s="241" t="s">
        <v>5761</v>
      </c>
      <c r="C899" s="241" t="s">
        <v>742</v>
      </c>
      <c r="D899" s="241" t="s">
        <v>744</v>
      </c>
      <c r="E899" s="241" t="s">
        <v>160</v>
      </c>
      <c r="F899" s="245">
        <v>43003</v>
      </c>
      <c r="G899" s="246">
        <f ca="1">IF(ISBLANK(I899),TODAY()-F899,I899-F899)</f>
        <v>19</v>
      </c>
      <c r="H899" s="247" t="s">
        <v>65</v>
      </c>
      <c r="I899" s="228">
        <v>43022</v>
      </c>
      <c r="J899" s="229" t="s">
        <v>5160</v>
      </c>
    </row>
    <row r="900" spans="1:10" ht="15" customHeight="1" x14ac:dyDescent="0.45">
      <c r="A900" s="240">
        <v>896</v>
      </c>
      <c r="B900" s="241" t="s">
        <v>5761</v>
      </c>
      <c r="C900" s="241" t="s">
        <v>702</v>
      </c>
      <c r="D900" s="241" t="s">
        <v>704</v>
      </c>
      <c r="E900" s="241" t="s">
        <v>160</v>
      </c>
      <c r="F900" s="245">
        <v>43003</v>
      </c>
      <c r="G900" s="246">
        <f ca="1">IF(ISBLANK(I900),TODAY()-F900,I900-F900)</f>
        <v>19</v>
      </c>
      <c r="H900" s="247" t="s">
        <v>65</v>
      </c>
      <c r="I900" s="228">
        <v>43022</v>
      </c>
      <c r="J900" s="229" t="s">
        <v>5160</v>
      </c>
    </row>
    <row r="901" spans="1:10" ht="15" customHeight="1" x14ac:dyDescent="0.45">
      <c r="A901" s="240">
        <v>897</v>
      </c>
      <c r="B901" s="241" t="s">
        <v>5762</v>
      </c>
      <c r="C901" s="241" t="s">
        <v>1919</v>
      </c>
      <c r="D901" s="241" t="s">
        <v>1921</v>
      </c>
      <c r="E901" s="241" t="s">
        <v>65</v>
      </c>
      <c r="F901" s="245">
        <v>43005</v>
      </c>
      <c r="G901" s="246">
        <f ca="1">IF(ISBLANK(I901),TODAY()-F901,I901-F901)</f>
        <v>17</v>
      </c>
      <c r="H901" s="247" t="s">
        <v>2702</v>
      </c>
      <c r="I901" s="228">
        <v>43022</v>
      </c>
      <c r="J901" s="229" t="s">
        <v>5160</v>
      </c>
    </row>
    <row r="902" spans="1:10" ht="15" customHeight="1" x14ac:dyDescent="0.45">
      <c r="A902" s="240">
        <v>898</v>
      </c>
      <c r="B902" s="241" t="s">
        <v>5762</v>
      </c>
      <c r="C902" s="241" t="s">
        <v>1962</v>
      </c>
      <c r="D902" s="241" t="s">
        <v>1964</v>
      </c>
      <c r="E902" s="241" t="s">
        <v>65</v>
      </c>
      <c r="F902" s="245">
        <v>43005</v>
      </c>
      <c r="G902" s="246">
        <f ca="1">IF(ISBLANK(I902),TODAY()-F902,I902-F902)</f>
        <v>17</v>
      </c>
      <c r="H902" s="247" t="s">
        <v>65</v>
      </c>
      <c r="I902" s="228">
        <v>43022</v>
      </c>
      <c r="J902" s="229" t="s">
        <v>5160</v>
      </c>
    </row>
    <row r="903" spans="1:10" ht="15" customHeight="1" x14ac:dyDescent="0.45">
      <c r="A903" s="240">
        <v>899</v>
      </c>
      <c r="B903" s="241" t="s">
        <v>5762</v>
      </c>
      <c r="C903" s="241" t="s">
        <v>1852</v>
      </c>
      <c r="D903" s="241" t="s">
        <v>1854</v>
      </c>
      <c r="E903" s="241" t="s">
        <v>65</v>
      </c>
      <c r="F903" s="245">
        <v>43005</v>
      </c>
      <c r="G903" s="246">
        <f ca="1">IF(ISBLANK(I903),TODAY()-F903,I903-F903)</f>
        <v>17</v>
      </c>
      <c r="H903" s="247" t="s">
        <v>2702</v>
      </c>
      <c r="I903" s="228">
        <v>43022</v>
      </c>
      <c r="J903" s="229" t="s">
        <v>5160</v>
      </c>
    </row>
    <row r="904" spans="1:10" ht="15" customHeight="1" x14ac:dyDescent="0.45">
      <c r="A904" s="240">
        <v>900</v>
      </c>
      <c r="B904" s="241" t="s">
        <v>5762</v>
      </c>
      <c r="C904" s="241" t="s">
        <v>1934</v>
      </c>
      <c r="D904" s="241" t="s">
        <v>1936</v>
      </c>
      <c r="E904" s="241" t="s">
        <v>65</v>
      </c>
      <c r="F904" s="245">
        <v>43005</v>
      </c>
      <c r="G904" s="246">
        <f ca="1">IF(ISBLANK(I904),TODAY()-F904,I904-F904)</f>
        <v>17</v>
      </c>
      <c r="H904" s="247" t="s">
        <v>2702</v>
      </c>
      <c r="I904" s="228">
        <v>43022</v>
      </c>
      <c r="J904" s="229" t="s">
        <v>5160</v>
      </c>
    </row>
    <row r="905" spans="1:10" ht="15" customHeight="1" x14ac:dyDescent="0.45">
      <c r="A905" s="240">
        <v>901</v>
      </c>
      <c r="B905" s="241" t="s">
        <v>5762</v>
      </c>
      <c r="C905" s="241" t="s">
        <v>1930</v>
      </c>
      <c r="D905" s="241" t="s">
        <v>1932</v>
      </c>
      <c r="E905" s="241" t="s">
        <v>65</v>
      </c>
      <c r="F905" s="245">
        <v>43005</v>
      </c>
      <c r="G905" s="246">
        <f ca="1">IF(ISBLANK(I905),TODAY()-F905,I905-F905)</f>
        <v>17</v>
      </c>
      <c r="H905" s="247" t="s">
        <v>2702</v>
      </c>
      <c r="I905" s="228">
        <v>43022</v>
      </c>
      <c r="J905" s="229" t="s">
        <v>5160</v>
      </c>
    </row>
    <row r="906" spans="1:10" ht="15" customHeight="1" x14ac:dyDescent="0.45">
      <c r="A906" s="240">
        <v>902</v>
      </c>
      <c r="B906" s="241" t="s">
        <v>5762</v>
      </c>
      <c r="C906" s="241" t="s">
        <v>1862</v>
      </c>
      <c r="D906" s="241" t="s">
        <v>1864</v>
      </c>
      <c r="E906" s="241" t="s">
        <v>65</v>
      </c>
      <c r="F906" s="245">
        <v>43005</v>
      </c>
      <c r="G906" s="246">
        <f ca="1">IF(ISBLANK(I906),TODAY()-F906,I906-F906)</f>
        <v>17</v>
      </c>
      <c r="H906" s="247" t="s">
        <v>2702</v>
      </c>
      <c r="I906" s="228">
        <v>43022</v>
      </c>
      <c r="J906" s="229" t="s">
        <v>5160</v>
      </c>
    </row>
    <row r="907" spans="1:10" ht="15" customHeight="1" x14ac:dyDescent="0.45">
      <c r="A907" s="240">
        <v>903</v>
      </c>
      <c r="B907" s="241" t="s">
        <v>5762</v>
      </c>
      <c r="C907" s="241" t="s">
        <v>1965</v>
      </c>
      <c r="D907" s="241" t="s">
        <v>1967</v>
      </c>
      <c r="E907" s="241" t="s">
        <v>65</v>
      </c>
      <c r="F907" s="245">
        <v>43005</v>
      </c>
      <c r="G907" s="246">
        <f ca="1">IF(ISBLANK(I907),TODAY()-F907,I907-F907)</f>
        <v>17</v>
      </c>
      <c r="H907" s="247" t="s">
        <v>65</v>
      </c>
      <c r="I907" s="228">
        <v>43022</v>
      </c>
      <c r="J907" s="229" t="s">
        <v>5160</v>
      </c>
    </row>
    <row r="908" spans="1:10" ht="15" customHeight="1" x14ac:dyDescent="0.45">
      <c r="A908" s="240">
        <v>904</v>
      </c>
      <c r="B908" s="241" t="s">
        <v>5762</v>
      </c>
      <c r="C908" s="241" t="s">
        <v>1916</v>
      </c>
      <c r="D908" s="241" t="s">
        <v>1918</v>
      </c>
      <c r="E908" s="241" t="s">
        <v>65</v>
      </c>
      <c r="F908" s="245">
        <v>43005</v>
      </c>
      <c r="G908" s="246">
        <f ca="1">IF(ISBLANK(I908),TODAY()-F908,I908-F908)</f>
        <v>17</v>
      </c>
      <c r="H908" s="247" t="s">
        <v>2702</v>
      </c>
      <c r="I908" s="228">
        <v>43022</v>
      </c>
      <c r="J908" s="229" t="s">
        <v>5160</v>
      </c>
    </row>
    <row r="909" spans="1:10" ht="15" customHeight="1" x14ac:dyDescent="0.45">
      <c r="A909" s="240">
        <v>905</v>
      </c>
      <c r="B909" s="241" t="s">
        <v>1925</v>
      </c>
      <c r="C909" s="241" t="s">
        <v>1798</v>
      </c>
      <c r="D909" s="241" t="s">
        <v>1800</v>
      </c>
      <c r="E909" s="241">
        <v>0</v>
      </c>
      <c r="F909" s="245">
        <v>43005</v>
      </c>
      <c r="G909" s="246">
        <f ca="1">IF(ISBLANK(I909),TODAY()-F909,I909-F909)</f>
        <v>32</v>
      </c>
      <c r="H909" s="247" t="s">
        <v>64</v>
      </c>
      <c r="I909" s="228">
        <v>43037</v>
      </c>
      <c r="J909" s="229" t="s">
        <v>5160</v>
      </c>
    </row>
    <row r="910" spans="1:10" ht="15" customHeight="1" x14ac:dyDescent="0.45">
      <c r="A910" s="240">
        <v>906</v>
      </c>
      <c r="B910" s="241" t="s">
        <v>1925</v>
      </c>
      <c r="C910" s="241" t="s">
        <v>1818</v>
      </c>
      <c r="D910" s="241" t="s">
        <v>1820</v>
      </c>
      <c r="E910" s="241">
        <v>0</v>
      </c>
      <c r="F910" s="245">
        <v>43005</v>
      </c>
      <c r="G910" s="246">
        <f ca="1">IF(ISBLANK(I910),TODAY()-F910,I910-F910)</f>
        <v>32</v>
      </c>
      <c r="H910" s="247" t="s">
        <v>64</v>
      </c>
      <c r="I910" s="228">
        <v>43037</v>
      </c>
      <c r="J910" s="229" t="s">
        <v>5160</v>
      </c>
    </row>
    <row r="911" spans="1:10" ht="15" customHeight="1" x14ac:dyDescent="0.45">
      <c r="A911" s="240">
        <v>907</v>
      </c>
      <c r="B911" s="241" t="s">
        <v>1925</v>
      </c>
      <c r="C911" s="241" t="s">
        <v>1848</v>
      </c>
      <c r="D911" s="241" t="s">
        <v>1850</v>
      </c>
      <c r="E911" s="241">
        <v>0</v>
      </c>
      <c r="F911" s="245">
        <v>43005</v>
      </c>
      <c r="G911" s="246">
        <f ca="1">IF(ISBLANK(I911),TODAY()-F911,I911-F911)</f>
        <v>32</v>
      </c>
      <c r="H911" s="247" t="s">
        <v>64</v>
      </c>
      <c r="I911" s="228">
        <v>43037</v>
      </c>
      <c r="J911" s="229" t="s">
        <v>5160</v>
      </c>
    </row>
    <row r="912" spans="1:10" ht="15" customHeight="1" x14ac:dyDescent="0.45">
      <c r="A912" s="240">
        <v>908</v>
      </c>
      <c r="B912" s="241" t="s">
        <v>1925</v>
      </c>
      <c r="C912" s="241" t="s">
        <v>1922</v>
      </c>
      <c r="D912" s="241" t="s">
        <v>1924</v>
      </c>
      <c r="E912" s="241">
        <v>0</v>
      </c>
      <c r="F912" s="245">
        <v>43005</v>
      </c>
      <c r="G912" s="246">
        <f ca="1">IF(ISBLANK(I912),TODAY()-F912,I912-F912)</f>
        <v>32</v>
      </c>
      <c r="H912" s="247" t="s">
        <v>64</v>
      </c>
      <c r="I912" s="228">
        <v>43037</v>
      </c>
      <c r="J912" s="229" t="s">
        <v>5160</v>
      </c>
    </row>
    <row r="913" spans="1:10" ht="15" customHeight="1" x14ac:dyDescent="0.45">
      <c r="A913" s="225">
        <v>909</v>
      </c>
      <c r="B913" s="226" t="s">
        <v>1925</v>
      </c>
      <c r="C913" s="226" t="s">
        <v>1972</v>
      </c>
      <c r="D913" s="226" t="s">
        <v>1974</v>
      </c>
      <c r="E913" s="241">
        <v>0</v>
      </c>
      <c r="F913" s="245">
        <v>43005</v>
      </c>
      <c r="G913" s="246">
        <f ca="1">IF(ISBLANK(I913),TODAY()-F913,I913-F913)</f>
        <v>32</v>
      </c>
      <c r="H913" s="247" t="s">
        <v>5344</v>
      </c>
      <c r="I913" s="228">
        <v>43037</v>
      </c>
      <c r="J913" s="229" t="s">
        <v>5160</v>
      </c>
    </row>
    <row r="914" spans="1:10" ht="15" customHeight="1" x14ac:dyDescent="0.45">
      <c r="A914" s="240">
        <v>910</v>
      </c>
      <c r="B914" s="241" t="s">
        <v>5763</v>
      </c>
      <c r="C914" s="241" t="s">
        <v>367</v>
      </c>
      <c r="D914" s="241" t="s">
        <v>369</v>
      </c>
      <c r="E914" s="241" t="s">
        <v>65</v>
      </c>
      <c r="F914" s="245">
        <v>43005</v>
      </c>
      <c r="G914" s="246">
        <f ca="1">IF(ISBLANK(I914),TODAY()-F914,I914-F914)</f>
        <v>17</v>
      </c>
      <c r="H914" s="247" t="s">
        <v>160</v>
      </c>
      <c r="I914" s="228">
        <v>43022</v>
      </c>
      <c r="J914" s="229" t="s">
        <v>5160</v>
      </c>
    </row>
    <row r="915" spans="1:10" ht="15" customHeight="1" x14ac:dyDescent="0.45">
      <c r="A915" s="240">
        <v>911</v>
      </c>
      <c r="B915" s="241" t="s">
        <v>1636</v>
      </c>
      <c r="C915" s="241" t="s">
        <v>1731</v>
      </c>
      <c r="D915" s="241" t="s">
        <v>1733</v>
      </c>
      <c r="E915" s="241">
        <v>0</v>
      </c>
      <c r="F915" s="245">
        <v>43007</v>
      </c>
      <c r="G915" s="246">
        <f ca="1">IF(ISBLANK(I915),TODAY()-F915,I915-F915)</f>
        <v>3</v>
      </c>
      <c r="H915" s="247" t="s">
        <v>64</v>
      </c>
      <c r="I915" s="228">
        <v>43010</v>
      </c>
      <c r="J915" s="229" t="s">
        <v>5160</v>
      </c>
    </row>
    <row r="916" spans="1:10" ht="15" customHeight="1" x14ac:dyDescent="0.45">
      <c r="A916" s="240">
        <v>912</v>
      </c>
      <c r="B916" s="241" t="s">
        <v>1636</v>
      </c>
      <c r="C916" s="241" t="s">
        <v>1633</v>
      </c>
      <c r="D916" s="241" t="s">
        <v>1635</v>
      </c>
      <c r="E916" s="241">
        <v>0</v>
      </c>
      <c r="F916" s="245">
        <v>43007</v>
      </c>
      <c r="G916" s="246">
        <f ca="1">IF(ISBLANK(I916),TODAY()-F916,I916-F916)</f>
        <v>3</v>
      </c>
      <c r="H916" s="247" t="s">
        <v>64</v>
      </c>
      <c r="I916" s="228">
        <v>43010</v>
      </c>
      <c r="J916" s="229" t="s">
        <v>5160</v>
      </c>
    </row>
    <row r="917" spans="1:10" ht="15" customHeight="1" x14ac:dyDescent="0.45">
      <c r="A917" s="225">
        <v>913</v>
      </c>
      <c r="B917" s="226" t="s">
        <v>2200</v>
      </c>
      <c r="C917" s="226" t="s">
        <v>2302</v>
      </c>
      <c r="D917" s="226" t="s">
        <v>2304</v>
      </c>
      <c r="E917" s="226">
        <v>0</v>
      </c>
      <c r="F917" s="245">
        <v>43007</v>
      </c>
      <c r="G917" s="243">
        <f ca="1">IF(ISBLANK(I917),TODAY()-F917,I917-F917)</f>
        <v>3</v>
      </c>
      <c r="H917" s="247" t="s">
        <v>64</v>
      </c>
      <c r="I917" s="228">
        <v>43010</v>
      </c>
      <c r="J917" s="229" t="s">
        <v>5160</v>
      </c>
    </row>
    <row r="918" spans="1:10" ht="15" customHeight="1" x14ac:dyDescent="0.45">
      <c r="A918" s="225">
        <v>914</v>
      </c>
      <c r="B918" s="226" t="s">
        <v>2200</v>
      </c>
      <c r="C918" s="226" t="s">
        <v>2206</v>
      </c>
      <c r="D918" s="226" t="s">
        <v>2208</v>
      </c>
      <c r="E918" s="226">
        <v>0</v>
      </c>
      <c r="F918" s="245">
        <v>43007</v>
      </c>
      <c r="G918" s="243">
        <f ca="1">IF(ISBLANK(I918),TODAY()-F918,I918-F918)</f>
        <v>3</v>
      </c>
      <c r="H918" s="247" t="s">
        <v>64</v>
      </c>
      <c r="I918" s="228">
        <v>43010</v>
      </c>
      <c r="J918" s="229" t="s">
        <v>5160</v>
      </c>
    </row>
    <row r="919" spans="1:10" ht="15" customHeight="1" x14ac:dyDescent="0.45">
      <c r="A919" s="225">
        <v>915</v>
      </c>
      <c r="B919" s="226" t="s">
        <v>2200</v>
      </c>
      <c r="C919" s="226" t="s">
        <v>2197</v>
      </c>
      <c r="D919" s="226" t="s">
        <v>5714</v>
      </c>
      <c r="E919" s="226">
        <v>0</v>
      </c>
      <c r="F919" s="245">
        <v>43007</v>
      </c>
      <c r="G919" s="243">
        <f ca="1">IF(ISBLANK(I919),TODAY()-F919,I919-F919)</f>
        <v>3</v>
      </c>
      <c r="H919" s="247" t="s">
        <v>64</v>
      </c>
      <c r="I919" s="228">
        <v>43010</v>
      </c>
      <c r="J919" s="229" t="s">
        <v>5160</v>
      </c>
    </row>
    <row r="920" spans="1:10" ht="15" customHeight="1" x14ac:dyDescent="0.45">
      <c r="A920" s="225">
        <v>916</v>
      </c>
      <c r="B920" s="226" t="s">
        <v>2200</v>
      </c>
      <c r="C920" s="226" t="s">
        <v>2339</v>
      </c>
      <c r="D920" s="226" t="s">
        <v>2341</v>
      </c>
      <c r="E920" s="226">
        <v>0</v>
      </c>
      <c r="F920" s="245">
        <v>43007</v>
      </c>
      <c r="G920" s="243">
        <f ca="1">IF(ISBLANK(I920),TODAY()-F920,I920-F920)</f>
        <v>3</v>
      </c>
      <c r="H920" s="247" t="s">
        <v>64</v>
      </c>
      <c r="I920" s="228">
        <v>43010</v>
      </c>
      <c r="J920" s="229" t="s">
        <v>5160</v>
      </c>
    </row>
    <row r="921" spans="1:10" ht="15" customHeight="1" x14ac:dyDescent="0.45">
      <c r="A921" s="225">
        <v>917</v>
      </c>
      <c r="B921" s="226" t="s">
        <v>2200</v>
      </c>
      <c r="C921" s="226" t="s">
        <v>2255</v>
      </c>
      <c r="D921" s="226" t="s">
        <v>2257</v>
      </c>
      <c r="E921" s="226">
        <v>0</v>
      </c>
      <c r="F921" s="245">
        <v>43007</v>
      </c>
      <c r="G921" s="243">
        <f ca="1">IF(ISBLANK(I921),TODAY()-F921,I921-F921)</f>
        <v>3</v>
      </c>
      <c r="H921" s="247" t="s">
        <v>64</v>
      </c>
      <c r="I921" s="228">
        <v>43010</v>
      </c>
      <c r="J921" s="229" t="s">
        <v>5160</v>
      </c>
    </row>
    <row r="922" spans="1:10" ht="15" customHeight="1" x14ac:dyDescent="0.45">
      <c r="A922" s="225">
        <v>918</v>
      </c>
      <c r="B922" s="226" t="s">
        <v>2200</v>
      </c>
      <c r="C922" s="226" t="s">
        <v>2314</v>
      </c>
      <c r="D922" s="226" t="s">
        <v>2316</v>
      </c>
      <c r="E922" s="226">
        <v>0</v>
      </c>
      <c r="F922" s="245">
        <v>43007</v>
      </c>
      <c r="G922" s="243">
        <f ca="1">IF(ISBLANK(I922),TODAY()-F922,I922-F922)</f>
        <v>3</v>
      </c>
      <c r="H922" s="247" t="s">
        <v>64</v>
      </c>
      <c r="I922" s="228">
        <v>43010</v>
      </c>
      <c r="J922" s="229" t="s">
        <v>5160</v>
      </c>
    </row>
    <row r="923" spans="1:10" ht="15" customHeight="1" x14ac:dyDescent="0.45">
      <c r="A923" s="225">
        <v>919</v>
      </c>
      <c r="B923" s="226" t="s">
        <v>2200</v>
      </c>
      <c r="C923" s="226" t="s">
        <v>2227</v>
      </c>
      <c r="D923" s="226" t="s">
        <v>2229</v>
      </c>
      <c r="E923" s="226">
        <v>0</v>
      </c>
      <c r="F923" s="245">
        <v>43007</v>
      </c>
      <c r="G923" s="243">
        <f ca="1">IF(ISBLANK(I923),TODAY()-F923,I923-F923)</f>
        <v>3</v>
      </c>
      <c r="H923" s="247" t="s">
        <v>64</v>
      </c>
      <c r="I923" s="228">
        <v>43010</v>
      </c>
      <c r="J923" s="229" t="s">
        <v>5160</v>
      </c>
    </row>
    <row r="924" spans="1:10" ht="15" customHeight="1" x14ac:dyDescent="0.45">
      <c r="A924" s="225">
        <v>920</v>
      </c>
      <c r="B924" s="226" t="s">
        <v>2200</v>
      </c>
      <c r="C924" s="226" t="s">
        <v>2285</v>
      </c>
      <c r="D924" s="226" t="s">
        <v>2287</v>
      </c>
      <c r="E924" s="226">
        <v>0</v>
      </c>
      <c r="F924" s="245">
        <v>43007</v>
      </c>
      <c r="G924" s="243">
        <f ca="1">IF(ISBLANK(I924),TODAY()-F924,I924-F924)</f>
        <v>3</v>
      </c>
      <c r="H924" s="247" t="s">
        <v>5493</v>
      </c>
      <c r="I924" s="228">
        <v>43010</v>
      </c>
      <c r="J924" s="229" t="s">
        <v>5160</v>
      </c>
    </row>
    <row r="925" spans="1:10" ht="15" customHeight="1" x14ac:dyDescent="0.45">
      <c r="A925" s="225">
        <v>921</v>
      </c>
      <c r="B925" s="226" t="s">
        <v>2200</v>
      </c>
      <c r="C925" s="226" t="s">
        <v>2183</v>
      </c>
      <c r="D925" s="226" t="s">
        <v>2185</v>
      </c>
      <c r="E925" s="226">
        <v>0</v>
      </c>
      <c r="F925" s="245">
        <v>43007</v>
      </c>
      <c r="G925" s="243">
        <f ca="1">IF(ISBLANK(I925),TODAY()-F925,I925-F925)</f>
        <v>3</v>
      </c>
      <c r="H925" s="247" t="s">
        <v>5493</v>
      </c>
      <c r="I925" s="228">
        <v>43010</v>
      </c>
      <c r="J925" s="229" t="s">
        <v>5160</v>
      </c>
    </row>
    <row r="926" spans="1:10" ht="15" customHeight="1" x14ac:dyDescent="0.45">
      <c r="A926" s="225">
        <v>922</v>
      </c>
      <c r="B926" s="226" t="s">
        <v>2200</v>
      </c>
      <c r="C926" s="226" t="s">
        <v>2343</v>
      </c>
      <c r="D926" s="226" t="s">
        <v>2345</v>
      </c>
      <c r="E926" s="226">
        <v>0</v>
      </c>
      <c r="F926" s="245">
        <v>43007</v>
      </c>
      <c r="G926" s="243">
        <f ca="1">IF(ISBLANK(I926),TODAY()-F926,I926-F926)</f>
        <v>3</v>
      </c>
      <c r="H926" s="247" t="s">
        <v>5493</v>
      </c>
      <c r="I926" s="228">
        <v>43010</v>
      </c>
      <c r="J926" s="229" t="s">
        <v>5160</v>
      </c>
    </row>
    <row r="927" spans="1:10" ht="15" customHeight="1" x14ac:dyDescent="0.45">
      <c r="A927" s="225">
        <v>923</v>
      </c>
      <c r="B927" s="226" t="s">
        <v>2200</v>
      </c>
      <c r="C927" s="226" t="s">
        <v>2259</v>
      </c>
      <c r="D927" s="226" t="s">
        <v>2261</v>
      </c>
      <c r="E927" s="226">
        <v>0</v>
      </c>
      <c r="F927" s="245">
        <v>43007</v>
      </c>
      <c r="G927" s="243">
        <f ca="1">IF(ISBLANK(I927),TODAY()-F927,I927-F927)</f>
        <v>3</v>
      </c>
      <c r="H927" s="247" t="s">
        <v>5493</v>
      </c>
      <c r="I927" s="228">
        <v>43010</v>
      </c>
      <c r="J927" s="229" t="s">
        <v>5160</v>
      </c>
    </row>
    <row r="928" spans="1:10" ht="15" customHeight="1" x14ac:dyDescent="0.45">
      <c r="A928" s="240">
        <v>924</v>
      </c>
      <c r="B928" s="241" t="s">
        <v>142</v>
      </c>
      <c r="C928" s="248" t="s">
        <v>139</v>
      </c>
      <c r="D928" s="248" t="s">
        <v>141</v>
      </c>
      <c r="E928" s="248">
        <v>0</v>
      </c>
      <c r="F928" s="245">
        <v>43007</v>
      </c>
      <c r="G928" s="246">
        <f ca="1">IF(ISBLANK(I928),TODAY()-F928,I928-F928)</f>
        <v>3</v>
      </c>
      <c r="H928" s="249" t="s">
        <v>64</v>
      </c>
      <c r="I928" s="250">
        <v>43010</v>
      </c>
      <c r="J928" s="251" t="s">
        <v>5160</v>
      </c>
    </row>
    <row r="929" spans="1:10" ht="15" customHeight="1" x14ac:dyDescent="0.45">
      <c r="A929" s="240">
        <v>925</v>
      </c>
      <c r="B929" s="241" t="s">
        <v>5764</v>
      </c>
      <c r="C929" s="332" t="s">
        <v>681</v>
      </c>
      <c r="D929" s="332" t="s">
        <v>5765</v>
      </c>
      <c r="E929" s="332" t="s">
        <v>5003</v>
      </c>
      <c r="F929" s="245">
        <v>43007</v>
      </c>
      <c r="G929" s="246">
        <f ca="1">IF(ISBLANK(I929),TODAY()-F929,I929-F929)</f>
        <v>11</v>
      </c>
      <c r="H929" s="249" t="s">
        <v>5004</v>
      </c>
      <c r="I929" s="371">
        <v>43018</v>
      </c>
      <c r="J929" s="251" t="s">
        <v>5113</v>
      </c>
    </row>
    <row r="930" spans="1:10" ht="15" customHeight="1" x14ac:dyDescent="0.45">
      <c r="A930" s="240">
        <v>926</v>
      </c>
      <c r="B930" s="241" t="s">
        <v>5764</v>
      </c>
      <c r="C930" s="248" t="s">
        <v>690</v>
      </c>
      <c r="D930" s="248" t="s">
        <v>5766</v>
      </c>
      <c r="E930" s="248" t="s">
        <v>5003</v>
      </c>
      <c r="F930" s="245">
        <v>43007</v>
      </c>
      <c r="G930" s="246">
        <f ca="1">IF(ISBLANK(I930),TODAY()-F930,I930-F930)</f>
        <v>11</v>
      </c>
      <c r="H930" s="354" t="s">
        <v>5004</v>
      </c>
      <c r="I930" s="228">
        <v>43018</v>
      </c>
      <c r="J930" s="229" t="s">
        <v>5113</v>
      </c>
    </row>
    <row r="931" spans="1:10" ht="15" customHeight="1" x14ac:dyDescent="0.45">
      <c r="A931" s="240">
        <v>927</v>
      </c>
      <c r="B931" s="241" t="s">
        <v>5767</v>
      </c>
      <c r="C931" s="332" t="s">
        <v>1561</v>
      </c>
      <c r="D931" s="332" t="s">
        <v>5558</v>
      </c>
      <c r="E931" s="332">
        <v>0</v>
      </c>
      <c r="F931" s="245">
        <v>43007</v>
      </c>
      <c r="G931" s="246">
        <f ca="1">IF(ISBLANK(I931),TODAY()-F931,I931-F931)</f>
        <v>3</v>
      </c>
      <c r="H931" s="247" t="s">
        <v>64</v>
      </c>
      <c r="I931" s="228">
        <v>43010</v>
      </c>
      <c r="J931" s="229" t="s">
        <v>5160</v>
      </c>
    </row>
    <row r="932" spans="1:10" ht="15" customHeight="1" x14ac:dyDescent="0.45">
      <c r="A932" s="240">
        <v>928</v>
      </c>
      <c r="B932" s="241" t="s">
        <v>5768</v>
      </c>
      <c r="C932" s="248" t="s">
        <v>598</v>
      </c>
      <c r="D932" s="248" t="s">
        <v>5769</v>
      </c>
      <c r="E932" s="248" t="s">
        <v>5003</v>
      </c>
      <c r="F932" s="245">
        <v>43007</v>
      </c>
      <c r="G932" s="246">
        <f ca="1">IF(ISBLANK(I932),TODAY()-F932,I932-F932)</f>
        <v>15</v>
      </c>
      <c r="H932" s="247" t="s">
        <v>65</v>
      </c>
      <c r="I932" s="228">
        <v>43022</v>
      </c>
      <c r="J932" s="229" t="s">
        <v>5160</v>
      </c>
    </row>
    <row r="933" spans="1:10" ht="15" customHeight="1" x14ac:dyDescent="0.45">
      <c r="A933" s="240">
        <v>929</v>
      </c>
      <c r="B933" s="241" t="s">
        <v>5770</v>
      </c>
      <c r="C933" s="248" t="s">
        <v>581</v>
      </c>
      <c r="D933" s="248" t="s">
        <v>5771</v>
      </c>
      <c r="E933" s="248">
        <v>0</v>
      </c>
      <c r="F933" s="245">
        <v>43007</v>
      </c>
      <c r="G933" s="246">
        <f ca="1">IF(ISBLANK(I933),TODAY()-F933,I933-F933)</f>
        <v>3</v>
      </c>
      <c r="H933" s="247" t="s">
        <v>5493</v>
      </c>
      <c r="I933" s="228">
        <v>43010</v>
      </c>
      <c r="J933" s="229" t="s">
        <v>5160</v>
      </c>
    </row>
    <row r="934" spans="1:10" ht="15" customHeight="1" x14ac:dyDescent="0.45">
      <c r="A934" s="240">
        <v>930</v>
      </c>
      <c r="B934" s="241" t="s">
        <v>5772</v>
      </c>
      <c r="C934" s="332" t="s">
        <v>2251</v>
      </c>
      <c r="D934" s="332" t="s">
        <v>5773</v>
      </c>
      <c r="E934" s="248">
        <v>0</v>
      </c>
      <c r="F934" s="245">
        <v>43007</v>
      </c>
      <c r="G934" s="246">
        <f ca="1">IF(ISBLANK(I934),TODAY()-F934,I934-F934)</f>
        <v>3</v>
      </c>
      <c r="H934" s="247" t="s">
        <v>5493</v>
      </c>
      <c r="I934" s="228">
        <v>43010</v>
      </c>
      <c r="J934" s="229" t="s">
        <v>5160</v>
      </c>
    </row>
    <row r="935" spans="1:10" ht="15" customHeight="1" x14ac:dyDescent="0.45">
      <c r="A935" s="240">
        <v>931</v>
      </c>
      <c r="B935" s="241" t="s">
        <v>5772</v>
      </c>
      <c r="C935" s="248" t="s">
        <v>2335</v>
      </c>
      <c r="D935" s="248" t="s">
        <v>5774</v>
      </c>
      <c r="E935" s="248">
        <v>0</v>
      </c>
      <c r="F935" s="245">
        <v>43007</v>
      </c>
      <c r="G935" s="246">
        <f ca="1">IF(ISBLANK(I935),TODAY()-F935,I935-F935)</f>
        <v>3</v>
      </c>
      <c r="H935" s="247" t="s">
        <v>5493</v>
      </c>
      <c r="I935" s="228">
        <v>43010</v>
      </c>
      <c r="J935" s="229" t="s">
        <v>5160</v>
      </c>
    </row>
    <row r="936" spans="1:10" ht="15" customHeight="1" x14ac:dyDescent="0.45">
      <c r="A936" s="240">
        <v>932</v>
      </c>
      <c r="B936" s="241" t="s">
        <v>5772</v>
      </c>
      <c r="C936" s="248" t="s">
        <v>2222</v>
      </c>
      <c r="D936" s="248" t="s">
        <v>5775</v>
      </c>
      <c r="E936" s="248">
        <v>0</v>
      </c>
      <c r="F936" s="245">
        <v>43007</v>
      </c>
      <c r="G936" s="246">
        <f ca="1">IF(ISBLANK(I936),TODAY()-F936,I936-F936)</f>
        <v>3</v>
      </c>
      <c r="H936" s="247" t="s">
        <v>64</v>
      </c>
      <c r="I936" s="228">
        <v>43010</v>
      </c>
      <c r="J936" s="229" t="s">
        <v>5160</v>
      </c>
    </row>
    <row r="937" spans="1:10" ht="15" customHeight="1" x14ac:dyDescent="0.45">
      <c r="A937" s="240">
        <v>933</v>
      </c>
      <c r="B937" s="241" t="s">
        <v>5772</v>
      </c>
      <c r="C937" s="332" t="s">
        <v>2310</v>
      </c>
      <c r="D937" s="332" t="s">
        <v>5776</v>
      </c>
      <c r="E937" s="332">
        <v>0</v>
      </c>
      <c r="F937" s="245">
        <v>43007</v>
      </c>
      <c r="G937" s="246">
        <f ca="1">IF(ISBLANK(I937),TODAY()-F937,I937-F937)</f>
        <v>3</v>
      </c>
      <c r="H937" s="247" t="s">
        <v>64</v>
      </c>
      <c r="I937" s="228">
        <v>43010</v>
      </c>
      <c r="J937" s="229" t="s">
        <v>5160</v>
      </c>
    </row>
    <row r="938" spans="1:10" ht="15" customHeight="1" x14ac:dyDescent="0.45">
      <c r="A938" s="240">
        <v>934</v>
      </c>
      <c r="B938" s="241" t="s">
        <v>5772</v>
      </c>
      <c r="C938" s="248" t="s">
        <v>2178</v>
      </c>
      <c r="D938" s="248" t="s">
        <v>5777</v>
      </c>
      <c r="E938" s="248">
        <v>0</v>
      </c>
      <c r="F938" s="245">
        <v>43007</v>
      </c>
      <c r="G938" s="246">
        <f ca="1">IF(ISBLANK(I938),TODAY()-F938,I938-F938)</f>
        <v>3</v>
      </c>
      <c r="H938" s="247" t="s">
        <v>64</v>
      </c>
      <c r="I938" s="228">
        <v>43010</v>
      </c>
      <c r="J938" s="229" t="s">
        <v>5160</v>
      </c>
    </row>
    <row r="939" spans="1:10" ht="15" customHeight="1" x14ac:dyDescent="0.45">
      <c r="A939" s="240">
        <v>935</v>
      </c>
      <c r="B939" s="241" t="s">
        <v>5772</v>
      </c>
      <c r="C939" s="248" t="s">
        <v>2281</v>
      </c>
      <c r="D939" s="248" t="s">
        <v>5778</v>
      </c>
      <c r="E939" s="248">
        <v>0</v>
      </c>
      <c r="F939" s="252">
        <v>43007</v>
      </c>
      <c r="G939" s="246">
        <f ca="1">IF(ISBLANK(I939),TODAY()-F939,I939-F939)</f>
        <v>3</v>
      </c>
      <c r="H939" s="247" t="s">
        <v>64</v>
      </c>
      <c r="I939" s="228">
        <v>43010</v>
      </c>
      <c r="J939" s="229" t="s">
        <v>5160</v>
      </c>
    </row>
    <row r="940" spans="1:10" ht="15" customHeight="1" x14ac:dyDescent="0.45">
      <c r="A940" s="240">
        <v>946</v>
      </c>
      <c r="B940" s="241" t="s">
        <v>5791</v>
      </c>
      <c r="C940" s="241" t="s">
        <v>1738</v>
      </c>
      <c r="D940" s="241" t="s">
        <v>1740</v>
      </c>
      <c r="E940" s="248" t="s">
        <v>65</v>
      </c>
      <c r="F940" s="252">
        <v>43007</v>
      </c>
      <c r="G940" s="246">
        <f ca="1">IF(ISBLANK(I940),TODAY()-F940,I940-F940)</f>
        <v>11</v>
      </c>
      <c r="H940" s="255" t="s">
        <v>5004</v>
      </c>
      <c r="I940" s="256">
        <v>43018</v>
      </c>
      <c r="J940" s="229" t="s">
        <v>5113</v>
      </c>
    </row>
    <row r="941" spans="1:10" ht="15" customHeight="1" x14ac:dyDescent="0.45">
      <c r="A941" s="240">
        <v>947</v>
      </c>
      <c r="B941" s="241" t="s">
        <v>5791</v>
      </c>
      <c r="C941" s="248" t="s">
        <v>1676</v>
      </c>
      <c r="D941" s="248" t="s">
        <v>1678</v>
      </c>
      <c r="E941" s="248" t="s">
        <v>160</v>
      </c>
      <c r="F941" s="252">
        <v>43007</v>
      </c>
      <c r="G941" s="246">
        <f ca="1">IF(ISBLANK(I941),TODAY()-F941,I941-F941)</f>
        <v>11</v>
      </c>
      <c r="H941" s="233" t="s">
        <v>5004</v>
      </c>
      <c r="I941" s="153">
        <v>43018</v>
      </c>
      <c r="J941" s="231" t="s">
        <v>5051</v>
      </c>
    </row>
    <row r="942" spans="1:10" ht="15" customHeight="1" x14ac:dyDescent="0.45">
      <c r="A942" s="240">
        <v>948</v>
      </c>
      <c r="B942" s="241" t="s">
        <v>1717</v>
      </c>
      <c r="C942" s="248" t="s">
        <v>1719</v>
      </c>
      <c r="D942" s="248" t="s">
        <v>1721</v>
      </c>
      <c r="E942" s="248">
        <v>0</v>
      </c>
      <c r="F942" s="252">
        <v>43007</v>
      </c>
      <c r="G942" s="246">
        <f ca="1">IF(ISBLANK(I942),TODAY()-F942,I942-F942)</f>
        <v>3</v>
      </c>
      <c r="H942" s="247" t="s">
        <v>64</v>
      </c>
      <c r="I942" s="228">
        <v>43010</v>
      </c>
      <c r="J942" s="229" t="s">
        <v>5160</v>
      </c>
    </row>
    <row r="943" spans="1:10" ht="15" customHeight="1" x14ac:dyDescent="0.45">
      <c r="A943" s="240">
        <v>949</v>
      </c>
      <c r="B943" s="241" t="s">
        <v>1717</v>
      </c>
      <c r="C943" s="241" t="s">
        <v>1714</v>
      </c>
      <c r="D943" s="241" t="s">
        <v>1716</v>
      </c>
      <c r="E943" s="241">
        <v>0</v>
      </c>
      <c r="F943" s="252">
        <v>43007</v>
      </c>
      <c r="G943" s="246">
        <f ca="1">IF(ISBLANK(I943),TODAY()-F943,I943-F943)</f>
        <v>3</v>
      </c>
      <c r="H943" s="247" t="s">
        <v>64</v>
      </c>
      <c r="I943" s="228">
        <v>43010</v>
      </c>
      <c r="J943" s="229" t="s">
        <v>5160</v>
      </c>
    </row>
    <row r="944" spans="1:10" ht="15" customHeight="1" x14ac:dyDescent="0.45">
      <c r="A944" s="240">
        <v>950</v>
      </c>
      <c r="B944" s="241" t="s">
        <v>5792</v>
      </c>
      <c r="C944" s="248" t="s">
        <v>924</v>
      </c>
      <c r="D944" s="248" t="s">
        <v>926</v>
      </c>
      <c r="E944" s="248" t="s">
        <v>65</v>
      </c>
      <c r="F944" s="252">
        <v>43007</v>
      </c>
      <c r="G944" s="246">
        <f ca="1">IF(ISBLANK(I944),TODAY()-F944,I944-F944)</f>
        <v>11</v>
      </c>
      <c r="H944" s="255" t="s">
        <v>5004</v>
      </c>
      <c r="I944" s="256">
        <v>43018</v>
      </c>
      <c r="J944" s="229" t="s">
        <v>5113</v>
      </c>
    </row>
    <row r="945" spans="1:10" ht="15" customHeight="1" x14ac:dyDescent="0.45">
      <c r="A945" s="240">
        <v>951</v>
      </c>
      <c r="B945" s="241" t="s">
        <v>5792</v>
      </c>
      <c r="C945" s="248" t="s">
        <v>928</v>
      </c>
      <c r="D945" s="248" t="s">
        <v>930</v>
      </c>
      <c r="E945" s="248" t="s">
        <v>65</v>
      </c>
      <c r="F945" s="252">
        <v>43007</v>
      </c>
      <c r="G945" s="246">
        <f ca="1">IF(ISBLANK(I945),TODAY()-F945,I945-F945)</f>
        <v>11</v>
      </c>
      <c r="H945" s="255" t="s">
        <v>5004</v>
      </c>
      <c r="I945" s="256">
        <v>43018</v>
      </c>
      <c r="J945" s="229" t="s">
        <v>5113</v>
      </c>
    </row>
    <row r="946" spans="1:10" ht="15" customHeight="1" x14ac:dyDescent="0.45">
      <c r="A946" s="240">
        <v>952</v>
      </c>
      <c r="B946" s="241" t="s">
        <v>5792</v>
      </c>
      <c r="C946" s="241" t="s">
        <v>933</v>
      </c>
      <c r="D946" s="241" t="s">
        <v>935</v>
      </c>
      <c r="E946" s="248" t="s">
        <v>65</v>
      </c>
      <c r="F946" s="252">
        <v>43007</v>
      </c>
      <c r="G946" s="246">
        <f ca="1">IF(ISBLANK(I946),TODAY()-F946,I946-F946)</f>
        <v>11</v>
      </c>
      <c r="H946" s="255" t="s">
        <v>5004</v>
      </c>
      <c r="I946" s="256">
        <v>43018</v>
      </c>
      <c r="J946" s="229" t="s">
        <v>5113</v>
      </c>
    </row>
    <row r="947" spans="1:10" ht="15" customHeight="1" x14ac:dyDescent="0.45">
      <c r="A947" s="240">
        <v>953</v>
      </c>
      <c r="B947" s="241" t="s">
        <v>1625</v>
      </c>
      <c r="C947" s="248" t="s">
        <v>1622</v>
      </c>
      <c r="D947" s="248" t="s">
        <v>1624</v>
      </c>
      <c r="E947" s="248">
        <v>0</v>
      </c>
      <c r="F947" s="252">
        <v>43007</v>
      </c>
      <c r="G947" s="246">
        <f ca="1">IF(ISBLANK(I947),TODAY()-F947,I947-F947)</f>
        <v>3</v>
      </c>
      <c r="H947" s="247" t="s">
        <v>64</v>
      </c>
      <c r="I947" s="228">
        <v>43010</v>
      </c>
      <c r="J947" s="229" t="s">
        <v>5160</v>
      </c>
    </row>
    <row r="948" spans="1:10" ht="15" customHeight="1" x14ac:dyDescent="0.45">
      <c r="A948" s="240">
        <v>954</v>
      </c>
      <c r="B948" s="332" t="s">
        <v>1625</v>
      </c>
      <c r="C948" s="332" t="s">
        <v>1734</v>
      </c>
      <c r="D948" s="332" t="s">
        <v>1736</v>
      </c>
      <c r="E948" s="332">
        <v>0</v>
      </c>
      <c r="F948" s="252">
        <v>43007</v>
      </c>
      <c r="G948" s="246">
        <f ca="1">IF(ISBLANK(I948),TODAY()-F948,I948-F948)</f>
        <v>3</v>
      </c>
      <c r="H948" s="247" t="s">
        <v>5493</v>
      </c>
      <c r="I948" s="228">
        <v>43010</v>
      </c>
      <c r="J948" s="229" t="s">
        <v>5160</v>
      </c>
    </row>
    <row r="949" spans="1:10" ht="15" customHeight="1" x14ac:dyDescent="0.45">
      <c r="A949" s="225">
        <v>955</v>
      </c>
      <c r="B949" s="226" t="s">
        <v>5793</v>
      </c>
      <c r="C949" s="226" t="s">
        <v>1004</v>
      </c>
      <c r="D949" s="226" t="s">
        <v>1006</v>
      </c>
      <c r="E949" s="226" t="s">
        <v>65</v>
      </c>
      <c r="F949" s="245">
        <v>43007</v>
      </c>
      <c r="G949" s="246">
        <f ca="1">IF(ISBLANK(I949),TODAY()-F949,I949-F949)</f>
        <v>14</v>
      </c>
      <c r="H949" s="233" t="s">
        <v>5296</v>
      </c>
      <c r="I949" s="153">
        <v>43021</v>
      </c>
      <c r="J949" s="221" t="s">
        <v>5113</v>
      </c>
    </row>
    <row r="950" spans="1:10" ht="15" customHeight="1" x14ac:dyDescent="0.45">
      <c r="A950" s="240">
        <v>956</v>
      </c>
      <c r="B950" s="241" t="s">
        <v>5793</v>
      </c>
      <c r="C950" s="241" t="s">
        <v>1016</v>
      </c>
      <c r="D950" s="241" t="s">
        <v>1018</v>
      </c>
      <c r="E950" s="241" t="s">
        <v>65</v>
      </c>
      <c r="F950" s="245">
        <v>43007</v>
      </c>
      <c r="G950" s="246">
        <f ca="1">IF(ISBLANK(I950),TODAY()-F950,I950-F950)</f>
        <v>14</v>
      </c>
      <c r="H950" s="233" t="s">
        <v>5296</v>
      </c>
      <c r="I950" s="153">
        <v>43021</v>
      </c>
      <c r="J950" s="258" t="s">
        <v>5113</v>
      </c>
    </row>
    <row r="951" spans="1:10" ht="15" customHeight="1" x14ac:dyDescent="0.45">
      <c r="A951" s="240">
        <v>957</v>
      </c>
      <c r="B951" s="241" t="s">
        <v>5794</v>
      </c>
      <c r="C951" s="241" t="s">
        <v>950</v>
      </c>
      <c r="D951" s="241" t="s">
        <v>952</v>
      </c>
      <c r="E951" s="241" t="s">
        <v>160</v>
      </c>
      <c r="F951" s="245">
        <v>43018</v>
      </c>
      <c r="G951" s="246">
        <f ca="1">IF(ISBLANK(I951),TODAY()-F951,I951-F951)</f>
        <v>23</v>
      </c>
      <c r="H951" s="262" t="s">
        <v>65</v>
      </c>
      <c r="I951" s="153">
        <v>43041</v>
      </c>
      <c r="J951" s="263" t="s">
        <v>5160</v>
      </c>
    </row>
    <row r="952" spans="1:10" ht="15" customHeight="1" x14ac:dyDescent="0.45">
      <c r="A952" s="240">
        <v>958</v>
      </c>
      <c r="B952" s="241" t="s">
        <v>5794</v>
      </c>
      <c r="C952" s="241" t="s">
        <v>940</v>
      </c>
      <c r="D952" s="241" t="s">
        <v>942</v>
      </c>
      <c r="E952" s="241" t="s">
        <v>160</v>
      </c>
      <c r="F952" s="245">
        <v>43018</v>
      </c>
      <c r="G952" s="246">
        <f ca="1">IF(ISBLANK(I952),TODAY()-F952,I952-F952)</f>
        <v>23</v>
      </c>
      <c r="H952" s="262" t="s">
        <v>65</v>
      </c>
      <c r="I952" s="153">
        <v>43041</v>
      </c>
      <c r="J952" s="263" t="s">
        <v>5160</v>
      </c>
    </row>
    <row r="953" spans="1:10" ht="15" customHeight="1" x14ac:dyDescent="0.45">
      <c r="A953" s="240">
        <v>959</v>
      </c>
      <c r="B953" s="241" t="s">
        <v>5794</v>
      </c>
      <c r="C953" s="241" t="s">
        <v>976</v>
      </c>
      <c r="D953" s="241" t="s">
        <v>978</v>
      </c>
      <c r="E953" s="241" t="s">
        <v>160</v>
      </c>
      <c r="F953" s="245">
        <v>43018</v>
      </c>
      <c r="G953" s="246">
        <f ca="1">IF(ISBLANK(I953),TODAY()-F953,I953-F953)</f>
        <v>23</v>
      </c>
      <c r="H953" s="262" t="s">
        <v>2702</v>
      </c>
      <c r="I953" s="153">
        <v>43041</v>
      </c>
      <c r="J953" s="384" t="s">
        <v>5160</v>
      </c>
    </row>
    <row r="954" spans="1:10" ht="15" customHeight="1" x14ac:dyDescent="0.45">
      <c r="A954" s="240">
        <v>960</v>
      </c>
      <c r="B954" s="241" t="s">
        <v>5794</v>
      </c>
      <c r="C954" s="241" t="s">
        <v>946</v>
      </c>
      <c r="D954" s="241" t="s">
        <v>948</v>
      </c>
      <c r="E954" s="241" t="s">
        <v>160</v>
      </c>
      <c r="F954" s="245">
        <v>43018</v>
      </c>
      <c r="G954" s="246">
        <f ca="1">IF(ISBLANK(I954),TODAY()-F954,I954-F954)</f>
        <v>23</v>
      </c>
      <c r="H954" s="262" t="s">
        <v>160</v>
      </c>
      <c r="I954" s="153">
        <v>43041</v>
      </c>
      <c r="J954" s="384" t="s">
        <v>5160</v>
      </c>
    </row>
    <row r="955" spans="1:10" ht="15" customHeight="1" x14ac:dyDescent="0.45">
      <c r="A955" s="225">
        <v>961</v>
      </c>
      <c r="B955" s="226" t="s">
        <v>5794</v>
      </c>
      <c r="C955" s="226" t="s">
        <v>955</v>
      </c>
      <c r="D955" s="226" t="s">
        <v>957</v>
      </c>
      <c r="E955" s="226" t="s">
        <v>160</v>
      </c>
      <c r="F955" s="245">
        <v>43018</v>
      </c>
      <c r="G955" s="246">
        <f ca="1">IF(ISBLANK(I955),TODAY()-F955,I955-F955)</f>
        <v>23</v>
      </c>
      <c r="H955" s="262" t="s">
        <v>160</v>
      </c>
      <c r="I955" s="153">
        <v>43041</v>
      </c>
      <c r="J955" s="384" t="s">
        <v>5160</v>
      </c>
    </row>
    <row r="956" spans="1:10" ht="15" customHeight="1" x14ac:dyDescent="0.45">
      <c r="A956" s="225">
        <v>962</v>
      </c>
      <c r="B956" s="226" t="s">
        <v>5795</v>
      </c>
      <c r="C956" s="226" t="s">
        <v>697</v>
      </c>
      <c r="D956" s="226" t="s">
        <v>699</v>
      </c>
      <c r="E956" s="226" t="s">
        <v>65</v>
      </c>
      <c r="F956" s="245">
        <v>43018</v>
      </c>
      <c r="G956" s="246">
        <f ca="1">IF(ISBLANK(I956),TODAY()-F956,I956-F956)</f>
        <v>22</v>
      </c>
      <c r="H956" s="233" t="s">
        <v>5296</v>
      </c>
      <c r="I956" s="153">
        <v>43040</v>
      </c>
      <c r="J956" s="231" t="s">
        <v>5113</v>
      </c>
    </row>
    <row r="957" spans="1:10" ht="15" customHeight="1" x14ac:dyDescent="0.45">
      <c r="A957" s="259">
        <v>963</v>
      </c>
      <c r="B957" s="260" t="s">
        <v>5796</v>
      </c>
      <c r="C957" s="260" t="s">
        <v>1956</v>
      </c>
      <c r="D957" s="260" t="s">
        <v>1958</v>
      </c>
      <c r="E957" s="260" t="s">
        <v>160</v>
      </c>
      <c r="F957" s="245">
        <v>43018</v>
      </c>
      <c r="G957" s="261">
        <f ca="1">IF(ISBLANK(I957),TODAY()-F957,I957-F957)</f>
        <v>23</v>
      </c>
      <c r="H957" s="262" t="s">
        <v>65</v>
      </c>
      <c r="I957" s="153">
        <v>43041</v>
      </c>
      <c r="J957" s="263" t="s">
        <v>5160</v>
      </c>
    </row>
    <row r="958" spans="1:10" ht="15" customHeight="1" x14ac:dyDescent="0.45">
      <c r="A958" s="240">
        <v>964</v>
      </c>
      <c r="B958" s="241" t="s">
        <v>5796</v>
      </c>
      <c r="C958" s="241" t="s">
        <v>1953</v>
      </c>
      <c r="D958" s="241" t="s">
        <v>1955</v>
      </c>
      <c r="E958" s="241" t="s">
        <v>160</v>
      </c>
      <c r="F958" s="245">
        <v>43018</v>
      </c>
      <c r="G958" s="261">
        <f ca="1">IF(ISBLANK(I958),TODAY()-F958,I958-F958)</f>
        <v>23</v>
      </c>
      <c r="H958" s="262" t="s">
        <v>65</v>
      </c>
      <c r="I958" s="153">
        <v>43041</v>
      </c>
      <c r="J958" s="266" t="s">
        <v>5160</v>
      </c>
    </row>
    <row r="959" spans="1:10" ht="15" customHeight="1" x14ac:dyDescent="0.45">
      <c r="A959" s="240">
        <v>965</v>
      </c>
      <c r="B959" s="241" t="s">
        <v>5796</v>
      </c>
      <c r="C959" s="241" t="s">
        <v>1950</v>
      </c>
      <c r="D959" s="241" t="s">
        <v>1952</v>
      </c>
      <c r="E959" s="241" t="s">
        <v>160</v>
      </c>
      <c r="F959" s="245">
        <v>43018</v>
      </c>
      <c r="G959" s="261">
        <f ca="1">IF(ISBLANK(I959),TODAY()-F959,I959-F959)</f>
        <v>23</v>
      </c>
      <c r="H959" s="233" t="s">
        <v>5003</v>
      </c>
      <c r="I959" s="153">
        <v>43041</v>
      </c>
      <c r="J959" s="221" t="s">
        <v>5051</v>
      </c>
    </row>
    <row r="960" spans="1:10" ht="15" customHeight="1" x14ac:dyDescent="0.45">
      <c r="A960" s="240">
        <v>966</v>
      </c>
      <c r="B960" s="241" t="s">
        <v>5796</v>
      </c>
      <c r="C960" s="241" t="s">
        <v>1813</v>
      </c>
      <c r="D960" s="241" t="s">
        <v>1815</v>
      </c>
      <c r="E960" s="241" t="s">
        <v>3979</v>
      </c>
      <c r="F960" s="245">
        <v>43018</v>
      </c>
      <c r="G960" s="261">
        <f ca="1">IF(ISBLANK(I960),TODAY()-F960,I960-F960)</f>
        <v>23</v>
      </c>
      <c r="H960" s="262" t="s">
        <v>2702</v>
      </c>
      <c r="I960" s="153">
        <v>43041</v>
      </c>
      <c r="J960" s="263" t="s">
        <v>5160</v>
      </c>
    </row>
    <row r="961" spans="1:10" ht="15" customHeight="1" x14ac:dyDescent="0.45">
      <c r="A961" s="240">
        <v>967</v>
      </c>
      <c r="B961" s="241" t="s">
        <v>5796</v>
      </c>
      <c r="C961" s="241" t="s">
        <v>1913</v>
      </c>
      <c r="D961" s="241" t="s">
        <v>1915</v>
      </c>
      <c r="E961" s="241" t="s">
        <v>160</v>
      </c>
      <c r="F961" s="245">
        <v>43018</v>
      </c>
      <c r="G961" s="261">
        <f ca="1">IF(ISBLANK(I961),TODAY()-F961,I961-F961)</f>
        <v>24</v>
      </c>
      <c r="H961" s="233" t="s">
        <v>65</v>
      </c>
      <c r="I961" s="153">
        <v>43042</v>
      </c>
      <c r="J961" s="231" t="s">
        <v>5113</v>
      </c>
    </row>
    <row r="962" spans="1:10" ht="15" customHeight="1" x14ac:dyDescent="0.45">
      <c r="A962" s="240">
        <v>968</v>
      </c>
      <c r="B962" s="241" t="s">
        <v>5796</v>
      </c>
      <c r="C962" s="241" t="s">
        <v>1830</v>
      </c>
      <c r="D962" s="241" t="s">
        <v>1832</v>
      </c>
      <c r="E962" s="241" t="s">
        <v>3979</v>
      </c>
      <c r="F962" s="245">
        <v>43018</v>
      </c>
      <c r="G962" s="261">
        <f ca="1">IF(ISBLANK(I962),TODAY()-F962,I962-F962)</f>
        <v>22</v>
      </c>
      <c r="H962" s="233" t="s">
        <v>5296</v>
      </c>
      <c r="I962" s="153">
        <v>43040</v>
      </c>
      <c r="J962" s="231" t="s">
        <v>5113</v>
      </c>
    </row>
    <row r="963" spans="1:10" ht="15" customHeight="1" x14ac:dyDescent="0.45">
      <c r="A963" s="240">
        <v>969</v>
      </c>
      <c r="B963" s="241" t="s">
        <v>5796</v>
      </c>
      <c r="C963" s="241" t="s">
        <v>1903</v>
      </c>
      <c r="D963" s="241" t="s">
        <v>1905</v>
      </c>
      <c r="E963" s="241" t="s">
        <v>160</v>
      </c>
      <c r="F963" s="245">
        <v>43018</v>
      </c>
      <c r="G963" s="261">
        <f ca="1">IF(ISBLANK(I963),TODAY()-F963,I963-F963)</f>
        <v>23</v>
      </c>
      <c r="H963" s="262" t="s">
        <v>65</v>
      </c>
      <c r="I963" s="153">
        <v>43041</v>
      </c>
      <c r="J963" s="263" t="s">
        <v>5160</v>
      </c>
    </row>
    <row r="964" spans="1:10" ht="15" customHeight="1" x14ac:dyDescent="0.45">
      <c r="A964" s="240">
        <v>970</v>
      </c>
      <c r="B964" s="241" t="s">
        <v>5796</v>
      </c>
      <c r="C964" s="241" t="s">
        <v>1900</v>
      </c>
      <c r="D964" s="241" t="s">
        <v>1902</v>
      </c>
      <c r="E964" s="241" t="s">
        <v>160</v>
      </c>
      <c r="F964" s="245">
        <v>43018</v>
      </c>
      <c r="G964" s="261">
        <f ca="1">IF(ISBLANK(I964),TODAY()-F964,I964-F964)</f>
        <v>23</v>
      </c>
      <c r="H964" s="262" t="s">
        <v>65</v>
      </c>
      <c r="I964" s="153">
        <v>43041</v>
      </c>
      <c r="J964" s="263" t="s">
        <v>5160</v>
      </c>
    </row>
    <row r="965" spans="1:10" ht="15" customHeight="1" x14ac:dyDescent="0.45">
      <c r="A965" s="240">
        <v>971</v>
      </c>
      <c r="B965" s="241" t="s">
        <v>5796</v>
      </c>
      <c r="C965" s="241" t="s">
        <v>1881</v>
      </c>
      <c r="D965" s="241" t="s">
        <v>1883</v>
      </c>
      <c r="E965" s="241" t="s">
        <v>5797</v>
      </c>
      <c r="F965" s="245">
        <v>43018</v>
      </c>
      <c r="G965" s="261">
        <f ca="1">IF(ISBLANK(I965),TODAY()-F965,I965-F965)</f>
        <v>23</v>
      </c>
      <c r="H965" s="262" t="s">
        <v>2702</v>
      </c>
      <c r="I965" s="153">
        <v>43041</v>
      </c>
      <c r="J965" s="266" t="s">
        <v>5160</v>
      </c>
    </row>
    <row r="966" spans="1:10" ht="15" customHeight="1" x14ac:dyDescent="0.45">
      <c r="A966" s="240">
        <v>988</v>
      </c>
      <c r="B966" s="241" t="s">
        <v>5807</v>
      </c>
      <c r="C966" s="241" t="s">
        <v>145</v>
      </c>
      <c r="D966" s="241" t="s">
        <v>147</v>
      </c>
      <c r="E966" s="241" t="s">
        <v>65</v>
      </c>
      <c r="F966" s="245">
        <v>43018</v>
      </c>
      <c r="G966" s="261">
        <f ca="1">IF(ISBLANK(I966),TODAY()-F966,I966-F966)</f>
        <v>23</v>
      </c>
      <c r="H966" s="247" t="s">
        <v>2702</v>
      </c>
      <c r="I966" s="228">
        <v>43041</v>
      </c>
      <c r="J966" s="229" t="s">
        <v>5160</v>
      </c>
    </row>
    <row r="967" spans="1:10" ht="15" customHeight="1" x14ac:dyDescent="0.45">
      <c r="A967" s="240">
        <v>989</v>
      </c>
      <c r="B967" s="241" t="s">
        <v>5808</v>
      </c>
      <c r="C967" s="241" t="s">
        <v>991</v>
      </c>
      <c r="D967" s="241" t="s">
        <v>993</v>
      </c>
      <c r="E967" s="241" t="s">
        <v>160</v>
      </c>
      <c r="F967" s="245">
        <v>43018</v>
      </c>
      <c r="G967" s="261">
        <f ca="1">IF(ISBLANK(I967),TODAY()-F967,I967-F967)</f>
        <v>23</v>
      </c>
      <c r="H967" s="262" t="s">
        <v>65</v>
      </c>
      <c r="I967" s="153">
        <v>43041</v>
      </c>
      <c r="J967" s="263" t="s">
        <v>5160</v>
      </c>
    </row>
    <row r="968" spans="1:10" ht="15" customHeight="1" x14ac:dyDescent="0.45">
      <c r="A968" s="240">
        <v>990</v>
      </c>
      <c r="B968" s="241" t="s">
        <v>5808</v>
      </c>
      <c r="C968" s="241" t="s">
        <v>967</v>
      </c>
      <c r="D968" s="241" t="s">
        <v>969</v>
      </c>
      <c r="E968" s="241" t="s">
        <v>160</v>
      </c>
      <c r="F968" s="245">
        <v>43018</v>
      </c>
      <c r="G968" s="261">
        <f ca="1">IF(ISBLANK(I968),TODAY()-F968,I968-F968)</f>
        <v>22</v>
      </c>
      <c r="H968" s="233" t="s">
        <v>5296</v>
      </c>
      <c r="I968" s="153">
        <v>43040</v>
      </c>
      <c r="J968" s="231" t="s">
        <v>5113</v>
      </c>
    </row>
    <row r="969" spans="1:10" ht="15" customHeight="1" x14ac:dyDescent="0.45">
      <c r="A969" s="240">
        <v>1001</v>
      </c>
      <c r="B969" s="241" t="s">
        <v>5812</v>
      </c>
      <c r="C969" s="241" t="s">
        <v>232</v>
      </c>
      <c r="D969" s="241" t="s">
        <v>234</v>
      </c>
      <c r="E969" s="241" t="s">
        <v>160</v>
      </c>
      <c r="F969" s="245">
        <v>43018</v>
      </c>
      <c r="G969" s="261">
        <f ca="1">IF(ISBLANK(I969),TODAY()-F969,I969-F969)</f>
        <v>23</v>
      </c>
      <c r="H969" s="262" t="s">
        <v>160</v>
      </c>
      <c r="I969" s="153">
        <v>43041</v>
      </c>
      <c r="J969" s="263" t="s">
        <v>5160</v>
      </c>
    </row>
    <row r="970" spans="1:10" ht="15" customHeight="1" x14ac:dyDescent="0.45">
      <c r="A970" s="240">
        <v>972</v>
      </c>
      <c r="B970" s="241" t="s">
        <v>5798</v>
      </c>
      <c r="C970" s="241" t="s">
        <v>490</v>
      </c>
      <c r="D970" s="241" t="s">
        <v>492</v>
      </c>
      <c r="E970" s="241">
        <v>0</v>
      </c>
      <c r="F970" s="131">
        <v>43021</v>
      </c>
      <c r="G970" s="261">
        <f ca="1">IF(ISBLANK(I970),TODAY()-F970,I970-F970)</f>
        <v>0</v>
      </c>
      <c r="H970" s="247" t="s">
        <v>64</v>
      </c>
      <c r="I970" s="228">
        <v>43021</v>
      </c>
      <c r="J970" s="257" t="s">
        <v>5160</v>
      </c>
    </row>
    <row r="971" spans="1:10" ht="15" customHeight="1" x14ac:dyDescent="0.45">
      <c r="A971" s="240">
        <v>973</v>
      </c>
      <c r="B971" s="241" t="s">
        <v>5799</v>
      </c>
      <c r="C971" s="241" t="s">
        <v>1432</v>
      </c>
      <c r="D971" s="241" t="s">
        <v>1434</v>
      </c>
      <c r="E971" s="241">
        <v>0</v>
      </c>
      <c r="F971" s="131">
        <v>43021</v>
      </c>
      <c r="G971" s="261">
        <f ca="1">IF(ISBLANK(I971),TODAY()-F971,I971-F971)</f>
        <v>0</v>
      </c>
      <c r="H971" s="247" t="s">
        <v>64</v>
      </c>
      <c r="I971" s="228">
        <v>43021</v>
      </c>
      <c r="J971" s="257" t="s">
        <v>5160</v>
      </c>
    </row>
    <row r="972" spans="1:10" ht="15" customHeight="1" x14ac:dyDescent="0.45">
      <c r="A972" s="240">
        <v>974</v>
      </c>
      <c r="B972" s="241" t="s">
        <v>5799</v>
      </c>
      <c r="C972" s="241" t="s">
        <v>1395</v>
      </c>
      <c r="D972" s="241" t="s">
        <v>1397</v>
      </c>
      <c r="E972" s="241">
        <v>0</v>
      </c>
      <c r="F972" s="131">
        <v>43021</v>
      </c>
      <c r="G972" s="261">
        <f ca="1">IF(ISBLANK(I972),TODAY()-F972,I972-F972)</f>
        <v>0</v>
      </c>
      <c r="H972" s="247" t="s">
        <v>64</v>
      </c>
      <c r="I972" s="228">
        <v>43021</v>
      </c>
      <c r="J972" s="229" t="s">
        <v>5160</v>
      </c>
    </row>
    <row r="973" spans="1:10" ht="15" customHeight="1" x14ac:dyDescent="0.45">
      <c r="A973" s="240">
        <v>975</v>
      </c>
      <c r="B973" s="241" t="s">
        <v>5799</v>
      </c>
      <c r="C973" s="241" t="s">
        <v>1435</v>
      </c>
      <c r="D973" s="241" t="s">
        <v>1437</v>
      </c>
      <c r="E973" s="241">
        <v>0</v>
      </c>
      <c r="F973" s="131">
        <v>43021</v>
      </c>
      <c r="G973" s="261">
        <f ca="1">IF(ISBLANK(I973),TODAY()-F973,I973-F973)</f>
        <v>0</v>
      </c>
      <c r="H973" s="247" t="s">
        <v>64</v>
      </c>
      <c r="I973" s="228">
        <v>43021</v>
      </c>
      <c r="J973" s="229" t="s">
        <v>5160</v>
      </c>
    </row>
    <row r="974" spans="1:10" ht="15" customHeight="1" x14ac:dyDescent="0.45">
      <c r="A974" s="240">
        <v>976</v>
      </c>
      <c r="B974" s="241" t="s">
        <v>5799</v>
      </c>
      <c r="C974" s="241" t="s">
        <v>1404</v>
      </c>
      <c r="D974" s="241" t="s">
        <v>1406</v>
      </c>
      <c r="E974" s="241">
        <v>0</v>
      </c>
      <c r="F974" s="131">
        <v>43021</v>
      </c>
      <c r="G974" s="261">
        <f ca="1">IF(ISBLANK(I974),TODAY()-F974,I974-F974)</f>
        <v>0</v>
      </c>
      <c r="H974" s="247" t="s">
        <v>64</v>
      </c>
      <c r="I974" s="228">
        <v>43021</v>
      </c>
      <c r="J974" s="229" t="s">
        <v>5160</v>
      </c>
    </row>
    <row r="975" spans="1:10" ht="15" customHeight="1" x14ac:dyDescent="0.45">
      <c r="A975" s="240">
        <v>977</v>
      </c>
      <c r="B975" s="241" t="s">
        <v>5799</v>
      </c>
      <c r="C975" s="241" t="s">
        <v>1407</v>
      </c>
      <c r="D975" s="241" t="s">
        <v>1409</v>
      </c>
      <c r="E975" s="241">
        <v>0</v>
      </c>
      <c r="F975" s="131">
        <v>43021</v>
      </c>
      <c r="G975" s="261">
        <f ca="1">IF(ISBLANK(I975),TODAY()-F975,I975-F975)</f>
        <v>0</v>
      </c>
      <c r="H975" s="247" t="s">
        <v>64</v>
      </c>
      <c r="I975" s="228">
        <v>43021</v>
      </c>
      <c r="J975" s="257" t="s">
        <v>5160</v>
      </c>
    </row>
    <row r="976" spans="1:10" ht="15" customHeight="1" x14ac:dyDescent="0.45">
      <c r="A976" s="240">
        <v>978</v>
      </c>
      <c r="B976" s="241" t="s">
        <v>5799</v>
      </c>
      <c r="C976" s="241" t="s">
        <v>1441</v>
      </c>
      <c r="D976" s="241" t="s">
        <v>1443</v>
      </c>
      <c r="E976" s="241">
        <v>0</v>
      </c>
      <c r="F976" s="131">
        <v>43021</v>
      </c>
      <c r="G976" s="261">
        <f ca="1">IF(ISBLANK(I976),TODAY()-F976,I976-F976)</f>
        <v>0</v>
      </c>
      <c r="H976" s="247" t="s">
        <v>64</v>
      </c>
      <c r="I976" s="228">
        <v>43021</v>
      </c>
      <c r="J976" s="257" t="s">
        <v>5160</v>
      </c>
    </row>
    <row r="977" spans="1:10" ht="15" customHeight="1" x14ac:dyDescent="0.45">
      <c r="A977" s="240">
        <v>979</v>
      </c>
      <c r="B977" s="241" t="s">
        <v>5799</v>
      </c>
      <c r="C977" s="241" t="s">
        <v>1444</v>
      </c>
      <c r="D977" s="241" t="s">
        <v>1446</v>
      </c>
      <c r="E977" s="241">
        <v>0</v>
      </c>
      <c r="F977" s="131">
        <v>43021</v>
      </c>
      <c r="G977" s="261">
        <f ca="1">IF(ISBLANK(I977),TODAY()-F977,I977-F977)</f>
        <v>0</v>
      </c>
      <c r="H977" s="247" t="s">
        <v>64</v>
      </c>
      <c r="I977" s="228">
        <v>43021</v>
      </c>
      <c r="J977" s="257" t="s">
        <v>5160</v>
      </c>
    </row>
    <row r="978" spans="1:10" ht="15" customHeight="1" x14ac:dyDescent="0.45">
      <c r="A978" s="240">
        <v>980</v>
      </c>
      <c r="B978" s="241" t="s">
        <v>5799</v>
      </c>
      <c r="C978" s="241" t="s">
        <v>1392</v>
      </c>
      <c r="D978" s="241" t="s">
        <v>1394</v>
      </c>
      <c r="E978" s="241">
        <v>0</v>
      </c>
      <c r="F978" s="131">
        <v>43021</v>
      </c>
      <c r="G978" s="261">
        <f ca="1">IF(ISBLANK(I978),TODAY()-F978,I978-F978)</f>
        <v>0</v>
      </c>
      <c r="H978" s="247" t="s">
        <v>64</v>
      </c>
      <c r="I978" s="228">
        <v>43021</v>
      </c>
      <c r="J978" s="257" t="s">
        <v>5160</v>
      </c>
    </row>
    <row r="979" spans="1:10" ht="15" customHeight="1" x14ac:dyDescent="0.45">
      <c r="A979" s="240">
        <v>986</v>
      </c>
      <c r="B979" s="241" t="s">
        <v>5805</v>
      </c>
      <c r="C979" s="241" t="s">
        <v>343</v>
      </c>
      <c r="D979" s="241" t="s">
        <v>345</v>
      </c>
      <c r="E979" s="241" t="s">
        <v>160</v>
      </c>
      <c r="F979" s="131">
        <v>43021</v>
      </c>
      <c r="G979" s="261">
        <f ca="1">IF(ISBLANK(I979),TODAY()-F979,I979-F979)</f>
        <v>20</v>
      </c>
      <c r="H979" s="262" t="s">
        <v>65</v>
      </c>
      <c r="I979" s="153">
        <v>43041</v>
      </c>
      <c r="J979" s="266" t="s">
        <v>5160</v>
      </c>
    </row>
    <row r="980" spans="1:10" ht="15" customHeight="1" x14ac:dyDescent="0.45">
      <c r="A980" s="240">
        <v>987</v>
      </c>
      <c r="B980" s="241" t="s">
        <v>5806</v>
      </c>
      <c r="C980" s="241" t="s">
        <v>1299</v>
      </c>
      <c r="D980" s="241" t="s">
        <v>1301</v>
      </c>
      <c r="E980" s="241">
        <v>0</v>
      </c>
      <c r="F980" s="131">
        <v>43021</v>
      </c>
      <c r="G980" s="261">
        <f ca="1">IF(ISBLANK(I980),TODAY()-F980,I980-F980)</f>
        <v>0</v>
      </c>
      <c r="H980" s="247" t="s">
        <v>5493</v>
      </c>
      <c r="I980" s="228">
        <v>43021</v>
      </c>
      <c r="J980" s="257" t="s">
        <v>5160</v>
      </c>
    </row>
    <row r="981" spans="1:10" ht="15" customHeight="1" x14ac:dyDescent="0.45">
      <c r="A981" s="225">
        <v>991</v>
      </c>
      <c r="B981" s="226" t="s">
        <v>5809</v>
      </c>
      <c r="C981" s="226" t="s">
        <v>1476</v>
      </c>
      <c r="D981" s="226" t="s">
        <v>1478</v>
      </c>
      <c r="E981" s="226" t="s">
        <v>160</v>
      </c>
      <c r="F981" s="131">
        <v>43021</v>
      </c>
      <c r="G981" s="261">
        <f ca="1">IF(ISBLANK(I981),TODAY()-F981,I981-F981)</f>
        <v>21</v>
      </c>
      <c r="H981" s="233" t="s">
        <v>65</v>
      </c>
      <c r="I981" s="153">
        <v>43042</v>
      </c>
      <c r="J981" s="221" t="s">
        <v>5113</v>
      </c>
    </row>
    <row r="982" spans="1:10" ht="15" customHeight="1" x14ac:dyDescent="0.45">
      <c r="A982" s="225">
        <v>992</v>
      </c>
      <c r="B982" s="226" t="s">
        <v>5810</v>
      </c>
      <c r="C982" s="226" t="s">
        <v>1699</v>
      </c>
      <c r="D982" s="226" t="s">
        <v>1701</v>
      </c>
      <c r="E982" s="226" t="s">
        <v>65</v>
      </c>
      <c r="F982" s="131">
        <v>43021</v>
      </c>
      <c r="G982" s="261">
        <f ca="1">IF(ISBLANK(I982),TODAY()-F982,I982-F982)</f>
        <v>41</v>
      </c>
      <c r="H982" s="262" t="s">
        <v>2702</v>
      </c>
      <c r="I982" s="265">
        <v>43062</v>
      </c>
      <c r="J982" s="266" t="s">
        <v>5160</v>
      </c>
    </row>
    <row r="983" spans="1:10" ht="15" customHeight="1" x14ac:dyDescent="0.45">
      <c r="A983" s="225">
        <v>993</v>
      </c>
      <c r="B983" s="226" t="s">
        <v>5811</v>
      </c>
      <c r="C983" s="226" t="s">
        <v>2326</v>
      </c>
      <c r="D983" s="226" t="s">
        <v>2328</v>
      </c>
      <c r="E983" s="226" t="s">
        <v>160</v>
      </c>
      <c r="F983" s="131">
        <v>43021</v>
      </c>
      <c r="G983" s="261">
        <f ca="1">IF(ISBLANK(I983),TODAY()-F983,I983-F983)</f>
        <v>41</v>
      </c>
      <c r="H983" s="253" t="s">
        <v>2702</v>
      </c>
      <c r="I983" s="264">
        <v>43062</v>
      </c>
      <c r="J983" s="381" t="s">
        <v>5160</v>
      </c>
    </row>
    <row r="984" spans="1:10" ht="15" customHeight="1" x14ac:dyDescent="0.45">
      <c r="A984" s="225">
        <v>994</v>
      </c>
      <c r="B984" s="226" t="s">
        <v>5811</v>
      </c>
      <c r="C984" s="226" t="s">
        <v>2297</v>
      </c>
      <c r="D984" s="226" t="s">
        <v>2299</v>
      </c>
      <c r="E984" s="226" t="s">
        <v>160</v>
      </c>
      <c r="F984" s="341">
        <v>43021</v>
      </c>
      <c r="G984" s="261">
        <f ca="1">IF(ISBLANK(I984),TODAY()-F984,I984-F984)</f>
        <v>20</v>
      </c>
      <c r="H984" s="233" t="s">
        <v>2702</v>
      </c>
      <c r="I984" s="153">
        <v>43041</v>
      </c>
      <c r="J984" s="221" t="s">
        <v>5160</v>
      </c>
    </row>
    <row r="985" spans="1:10" ht="15" customHeight="1" x14ac:dyDescent="0.45">
      <c r="A985" s="225">
        <v>995</v>
      </c>
      <c r="B985" s="226" t="s">
        <v>5811</v>
      </c>
      <c r="C985" s="226" t="s">
        <v>2241</v>
      </c>
      <c r="D985" s="226" t="s">
        <v>2243</v>
      </c>
      <c r="E985" s="226" t="s">
        <v>160</v>
      </c>
      <c r="F985" s="341">
        <v>43021</v>
      </c>
      <c r="G985" s="261">
        <f ca="1">IF(ISBLANK(I985),TODAY()-F985,I985-F985)</f>
        <v>41</v>
      </c>
      <c r="H985" s="253" t="s">
        <v>2702</v>
      </c>
      <c r="I985" s="264">
        <v>43062</v>
      </c>
      <c r="J985" s="254" t="s">
        <v>5160</v>
      </c>
    </row>
    <row r="986" spans="1:10" ht="15" customHeight="1" x14ac:dyDescent="0.45">
      <c r="A986" s="225">
        <v>996</v>
      </c>
      <c r="B986" s="226" t="s">
        <v>5811</v>
      </c>
      <c r="C986" s="226" t="s">
        <v>2202</v>
      </c>
      <c r="D986" s="226" t="s">
        <v>2204</v>
      </c>
      <c r="E986" s="226" t="s">
        <v>160</v>
      </c>
      <c r="F986" s="341">
        <v>43021</v>
      </c>
      <c r="G986" s="261">
        <f ca="1">IF(ISBLANK(I986),TODAY()-F986,I986-F986)</f>
        <v>20</v>
      </c>
      <c r="H986" s="232" t="s">
        <v>2702</v>
      </c>
      <c r="I986" s="366">
        <v>43041</v>
      </c>
      <c r="J986" s="257" t="s">
        <v>5160</v>
      </c>
    </row>
    <row r="987" spans="1:10" ht="15" customHeight="1" x14ac:dyDescent="0.45">
      <c r="A987" s="225">
        <v>997</v>
      </c>
      <c r="B987" s="226" t="s">
        <v>5811</v>
      </c>
      <c r="C987" s="226" t="s">
        <v>2332</v>
      </c>
      <c r="D987" s="226" t="s">
        <v>2334</v>
      </c>
      <c r="E987" s="226" t="s">
        <v>65</v>
      </c>
      <c r="F987" s="341">
        <v>43021</v>
      </c>
      <c r="G987" s="261">
        <f ca="1">IF(ISBLANK(I987),TODAY()-F987,I987-F987)</f>
        <v>20</v>
      </c>
      <c r="H987" s="262" t="s">
        <v>2702</v>
      </c>
      <c r="I987" s="153">
        <v>43041</v>
      </c>
      <c r="J987" s="263" t="s">
        <v>5160</v>
      </c>
    </row>
    <row r="988" spans="1:10" ht="15" customHeight="1" x14ac:dyDescent="0.45">
      <c r="A988" s="225">
        <v>998</v>
      </c>
      <c r="B988" s="226" t="s">
        <v>5811</v>
      </c>
      <c r="C988" s="226" t="s">
        <v>2329</v>
      </c>
      <c r="D988" s="226" t="s">
        <v>2331</v>
      </c>
      <c r="E988" s="226" t="s">
        <v>65</v>
      </c>
      <c r="F988" s="341">
        <v>43021</v>
      </c>
      <c r="G988" s="261">
        <f ca="1">IF(ISBLANK(I988),TODAY()-F988,I988-F988)</f>
        <v>20</v>
      </c>
      <c r="H988" s="262" t="s">
        <v>65</v>
      </c>
      <c r="I988" s="153">
        <v>43041</v>
      </c>
      <c r="J988" s="266" t="s">
        <v>5160</v>
      </c>
    </row>
    <row r="989" spans="1:10" ht="15" customHeight="1" x14ac:dyDescent="0.45">
      <c r="A989" s="225">
        <v>999</v>
      </c>
      <c r="B989" s="226" t="s">
        <v>5811</v>
      </c>
      <c r="C989" s="226" t="s">
        <v>2248</v>
      </c>
      <c r="D989" s="226" t="s">
        <v>2250</v>
      </c>
      <c r="E989" s="226" t="s">
        <v>65</v>
      </c>
      <c r="F989" s="131">
        <v>43021</v>
      </c>
      <c r="G989" s="261">
        <f ca="1">IF(ISBLANK(I989),TODAY()-F989,I989-F989)</f>
        <v>20</v>
      </c>
      <c r="H989" s="262" t="s">
        <v>2702</v>
      </c>
      <c r="I989" s="153">
        <v>43041</v>
      </c>
      <c r="J989" s="263" t="s">
        <v>5160</v>
      </c>
    </row>
    <row r="990" spans="1:10" ht="15" customHeight="1" x14ac:dyDescent="0.45">
      <c r="A990" s="240">
        <v>1000</v>
      </c>
      <c r="B990" s="241" t="s">
        <v>5811</v>
      </c>
      <c r="C990" s="241" t="s">
        <v>2245</v>
      </c>
      <c r="D990" s="241" t="s">
        <v>2247</v>
      </c>
      <c r="E990" s="241" t="s">
        <v>65</v>
      </c>
      <c r="F990" s="131">
        <v>43021</v>
      </c>
      <c r="G990" s="261">
        <f ca="1">IF(ISBLANK(I990),TODAY()-F990,I990-F990)</f>
        <v>20</v>
      </c>
      <c r="H990" s="262" t="s">
        <v>65</v>
      </c>
      <c r="I990" s="153">
        <v>43041</v>
      </c>
      <c r="J990" s="266" t="s">
        <v>5160</v>
      </c>
    </row>
    <row r="991" spans="1:10" ht="15" customHeight="1" x14ac:dyDescent="0.45">
      <c r="A991" s="240">
        <v>1002</v>
      </c>
      <c r="B991" s="241" t="s">
        <v>5813</v>
      </c>
      <c r="C991" s="241" t="s">
        <v>339</v>
      </c>
      <c r="D991" s="241" t="s">
        <v>341</v>
      </c>
      <c r="E991" s="241">
        <v>0</v>
      </c>
      <c r="F991" s="131">
        <v>43021</v>
      </c>
      <c r="G991" s="261">
        <f ca="1">IF(ISBLANK(I991),TODAY()-F991,I991-F991)</f>
        <v>0</v>
      </c>
      <c r="H991" s="247" t="s">
        <v>5493</v>
      </c>
      <c r="I991" s="228">
        <v>43021</v>
      </c>
      <c r="J991" s="257" t="s">
        <v>5160</v>
      </c>
    </row>
    <row r="992" spans="1:10" ht="15" customHeight="1" x14ac:dyDescent="0.45">
      <c r="A992" s="240">
        <v>1003</v>
      </c>
      <c r="B992" s="241" t="s">
        <v>5813</v>
      </c>
      <c r="C992" s="241" t="s">
        <v>359</v>
      </c>
      <c r="D992" s="241" t="s">
        <v>361</v>
      </c>
      <c r="E992" s="241">
        <v>0</v>
      </c>
      <c r="F992" s="131">
        <v>43021</v>
      </c>
      <c r="G992" s="261">
        <f ca="1">IF(ISBLANK(I992),TODAY()-F992,I992-F992)</f>
        <v>0</v>
      </c>
      <c r="H992" s="247" t="s">
        <v>64</v>
      </c>
      <c r="I992" s="228">
        <v>43021</v>
      </c>
      <c r="J992" s="229" t="s">
        <v>5160</v>
      </c>
    </row>
    <row r="993" spans="1:10" ht="15" customHeight="1" x14ac:dyDescent="0.45">
      <c r="A993" s="240">
        <v>1004</v>
      </c>
      <c r="B993" s="241" t="s">
        <v>5814</v>
      </c>
      <c r="C993" s="241" t="s">
        <v>1349</v>
      </c>
      <c r="D993" s="241" t="s">
        <v>1351</v>
      </c>
      <c r="E993" s="241" t="s">
        <v>65</v>
      </c>
      <c r="F993" s="131">
        <v>43021</v>
      </c>
      <c r="G993" s="261">
        <f ca="1">IF(ISBLANK(I993),TODAY()-F993,I993-F993)</f>
        <v>21</v>
      </c>
      <c r="H993" s="233" t="s">
        <v>160</v>
      </c>
      <c r="I993" s="153">
        <v>43042</v>
      </c>
      <c r="J993" s="221" t="s">
        <v>5113</v>
      </c>
    </row>
    <row r="994" spans="1:10" ht="15" customHeight="1" x14ac:dyDescent="0.45">
      <c r="A994" s="240">
        <v>1005</v>
      </c>
      <c r="B994" s="241" t="s">
        <v>5815</v>
      </c>
      <c r="C994" s="241" t="s">
        <v>1012</v>
      </c>
      <c r="D994" s="241" t="s">
        <v>1014</v>
      </c>
      <c r="E994" s="241" t="s">
        <v>65</v>
      </c>
      <c r="F994" s="131">
        <v>43021</v>
      </c>
      <c r="G994" s="261">
        <f ca="1">IF(ISBLANK(I994),TODAY()-F994,I994-F994)</f>
        <v>21</v>
      </c>
      <c r="H994" s="247" t="s">
        <v>2702</v>
      </c>
      <c r="I994" s="228">
        <v>43042</v>
      </c>
      <c r="J994" s="257" t="s">
        <v>5113</v>
      </c>
    </row>
    <row r="995" spans="1:10" ht="15" customHeight="1" x14ac:dyDescent="0.45">
      <c r="A995" s="240">
        <v>1006</v>
      </c>
      <c r="B995" s="241" t="s">
        <v>5815</v>
      </c>
      <c r="C995" s="241" t="s">
        <v>1019</v>
      </c>
      <c r="D995" s="241" t="s">
        <v>1021</v>
      </c>
      <c r="E995" s="241" t="s">
        <v>65</v>
      </c>
      <c r="F995" s="131">
        <v>43021</v>
      </c>
      <c r="G995" s="261">
        <f ca="1">IF(ISBLANK(I995),TODAY()-F995,I995-F995)</f>
        <v>21</v>
      </c>
      <c r="H995" s="247" t="s">
        <v>2702</v>
      </c>
      <c r="I995" s="228">
        <v>43042</v>
      </c>
      <c r="J995" s="229" t="s">
        <v>5113</v>
      </c>
    </row>
    <row r="996" spans="1:10" ht="15" customHeight="1" x14ac:dyDescent="0.45">
      <c r="A996" s="240">
        <v>1007</v>
      </c>
      <c r="B996" s="241" t="s">
        <v>5815</v>
      </c>
      <c r="C996" s="241" t="s">
        <v>999</v>
      </c>
      <c r="D996" s="241" t="s">
        <v>1001</v>
      </c>
      <c r="E996" s="241" t="s">
        <v>160</v>
      </c>
      <c r="F996" s="131">
        <v>43021</v>
      </c>
      <c r="G996" s="261">
        <f ca="1">IF(ISBLANK(I996),TODAY()-F996,I996-F996)</f>
        <v>21</v>
      </c>
      <c r="H996" s="233" t="s">
        <v>65</v>
      </c>
      <c r="I996" s="153">
        <v>43042</v>
      </c>
      <c r="J996" s="231" t="s">
        <v>5113</v>
      </c>
    </row>
    <row r="997" spans="1:10" ht="15" customHeight="1" x14ac:dyDescent="0.45">
      <c r="A997" s="240">
        <v>1008</v>
      </c>
      <c r="B997" s="241" t="s">
        <v>388</v>
      </c>
      <c r="C997" s="241" t="s">
        <v>389</v>
      </c>
      <c r="D997" s="241" t="s">
        <v>391</v>
      </c>
      <c r="E997" s="241">
        <v>0</v>
      </c>
      <c r="F997" s="131">
        <v>43021</v>
      </c>
      <c r="G997" s="261">
        <f ca="1">IF(ISBLANK(I997),TODAY()-F997,I997-F997)</f>
        <v>0</v>
      </c>
      <c r="H997" s="247" t="s">
        <v>5493</v>
      </c>
      <c r="I997" s="228">
        <v>43021</v>
      </c>
      <c r="J997" s="257" t="s">
        <v>5160</v>
      </c>
    </row>
    <row r="998" spans="1:10" ht="15" customHeight="1" x14ac:dyDescent="0.45">
      <c r="A998" s="240">
        <v>1009</v>
      </c>
      <c r="B998" s="241" t="s">
        <v>388</v>
      </c>
      <c r="C998" s="241" t="s">
        <v>385</v>
      </c>
      <c r="D998" s="241" t="s">
        <v>387</v>
      </c>
      <c r="E998" s="241">
        <v>0</v>
      </c>
      <c r="F998" s="131">
        <v>43021</v>
      </c>
      <c r="G998" s="261">
        <f ca="1">IF(ISBLANK(I998),TODAY()-F998,I998-F998)</f>
        <v>0</v>
      </c>
      <c r="H998" s="247" t="s">
        <v>64</v>
      </c>
      <c r="I998" s="228">
        <v>43021</v>
      </c>
      <c r="J998" s="229" t="s">
        <v>5160</v>
      </c>
    </row>
    <row r="999" spans="1:10" ht="15" customHeight="1" x14ac:dyDescent="0.45">
      <c r="A999" s="240">
        <v>1010</v>
      </c>
      <c r="B999" s="241" t="s">
        <v>434</v>
      </c>
      <c r="C999" s="241" t="s">
        <v>470</v>
      </c>
      <c r="D999" s="241" t="s">
        <v>472</v>
      </c>
      <c r="E999" s="241">
        <v>0</v>
      </c>
      <c r="F999" s="131">
        <v>43021</v>
      </c>
      <c r="G999" s="261">
        <f ca="1">IF(ISBLANK(I999),TODAY()-F999,I999-F999)</f>
        <v>0</v>
      </c>
      <c r="H999" s="247" t="s">
        <v>5493</v>
      </c>
      <c r="I999" s="228">
        <v>43021</v>
      </c>
      <c r="J999" s="257" t="s">
        <v>5160</v>
      </c>
    </row>
    <row r="1000" spans="1:10" ht="15" customHeight="1" x14ac:dyDescent="0.45">
      <c r="A1000" s="240">
        <v>1011</v>
      </c>
      <c r="B1000" s="241" t="s">
        <v>434</v>
      </c>
      <c r="C1000" s="241" t="s">
        <v>431</v>
      </c>
      <c r="D1000" s="241" t="s">
        <v>433</v>
      </c>
      <c r="E1000" s="241">
        <v>0</v>
      </c>
      <c r="F1000" s="131">
        <v>43021</v>
      </c>
      <c r="G1000" s="261">
        <f ca="1">IF(ISBLANK(I1000),TODAY()-F1000,I1000-F1000)</f>
        <v>0</v>
      </c>
      <c r="H1000" s="247" t="s">
        <v>5493</v>
      </c>
      <c r="I1000" s="228">
        <v>43021</v>
      </c>
      <c r="J1000" s="229" t="s">
        <v>5160</v>
      </c>
    </row>
    <row r="1001" spans="1:10" ht="15" customHeight="1" x14ac:dyDescent="0.45">
      <c r="A1001" s="240">
        <v>1012</v>
      </c>
      <c r="B1001" s="241" t="s">
        <v>5816</v>
      </c>
      <c r="C1001" s="241" t="s">
        <v>2045</v>
      </c>
      <c r="D1001" s="241" t="s">
        <v>2047</v>
      </c>
      <c r="E1001" s="241" t="s">
        <v>65</v>
      </c>
      <c r="F1001" s="131">
        <v>43021</v>
      </c>
      <c r="G1001" s="261">
        <f ca="1">IF(ISBLANK(I1001),TODAY()-F1001,I1001-F1001)</f>
        <v>20</v>
      </c>
      <c r="H1001" s="262" t="s">
        <v>65</v>
      </c>
      <c r="I1001" s="153">
        <v>43041</v>
      </c>
      <c r="J1001" s="266" t="s">
        <v>5160</v>
      </c>
    </row>
    <row r="1002" spans="1:10" ht="15" customHeight="1" x14ac:dyDescent="0.45">
      <c r="A1002" s="240">
        <v>1013</v>
      </c>
      <c r="B1002" s="241" t="s">
        <v>5817</v>
      </c>
      <c r="C1002" s="241" t="s">
        <v>677</v>
      </c>
      <c r="D1002" s="241" t="s">
        <v>679</v>
      </c>
      <c r="E1002" s="241" t="s">
        <v>160</v>
      </c>
      <c r="F1002" s="131">
        <v>43021</v>
      </c>
      <c r="G1002" s="261">
        <f ca="1">IF(ISBLANK(I1002),TODAY()-F1002,I1002-F1002)</f>
        <v>20</v>
      </c>
      <c r="H1002" s="233" t="s">
        <v>65</v>
      </c>
      <c r="I1002" s="153">
        <v>43041</v>
      </c>
      <c r="J1002" s="231" t="s">
        <v>5160</v>
      </c>
    </row>
    <row r="1003" spans="1:10" ht="15" customHeight="1" x14ac:dyDescent="0.45">
      <c r="A1003" s="240">
        <v>1016</v>
      </c>
      <c r="B1003" s="241" t="s">
        <v>5818</v>
      </c>
      <c r="C1003" s="241" t="s">
        <v>770</v>
      </c>
      <c r="D1003" s="241" t="s">
        <v>772</v>
      </c>
      <c r="E1003" s="241" t="s">
        <v>65</v>
      </c>
      <c r="F1003" s="131">
        <v>43021</v>
      </c>
      <c r="G1003" s="261">
        <f ca="1">IF(ISBLANK(I1003),TODAY()-F1003,I1003-F1003)</f>
        <v>21</v>
      </c>
      <c r="H1003" s="247" t="s">
        <v>2702</v>
      </c>
      <c r="I1003" s="228">
        <v>43042</v>
      </c>
      <c r="J1003" s="229" t="s">
        <v>5113</v>
      </c>
    </row>
    <row r="1004" spans="1:10" ht="15" customHeight="1" x14ac:dyDescent="0.45">
      <c r="A1004" s="240">
        <v>1021</v>
      </c>
      <c r="B1004" s="241" t="s">
        <v>2092</v>
      </c>
      <c r="C1004" s="241" t="s">
        <v>2163</v>
      </c>
      <c r="D1004" s="241" t="s">
        <v>2165</v>
      </c>
      <c r="E1004" s="241">
        <v>0</v>
      </c>
      <c r="F1004" s="131">
        <v>43021</v>
      </c>
      <c r="G1004" s="261">
        <f ca="1">IF(ISBLANK(I1004),TODAY()-F1004,I1004-F1004)</f>
        <v>0</v>
      </c>
      <c r="H1004" s="247" t="s">
        <v>64</v>
      </c>
      <c r="I1004" s="228">
        <v>43021</v>
      </c>
      <c r="J1004" s="229" t="s">
        <v>5160</v>
      </c>
    </row>
    <row r="1005" spans="1:10" ht="15" customHeight="1" x14ac:dyDescent="0.45">
      <c r="A1005" s="240">
        <v>1022</v>
      </c>
      <c r="B1005" s="241" t="s">
        <v>2092</v>
      </c>
      <c r="C1005" s="241" t="s">
        <v>2089</v>
      </c>
      <c r="D1005" s="241" t="s">
        <v>2091</v>
      </c>
      <c r="E1005" s="241">
        <v>0</v>
      </c>
      <c r="F1005" s="131">
        <v>43021</v>
      </c>
      <c r="G1005" s="261">
        <f ca="1">IF(ISBLANK(I1005),TODAY()-F1005,I1005-F1005)</f>
        <v>0</v>
      </c>
      <c r="H1005" s="247" t="s">
        <v>64</v>
      </c>
      <c r="I1005" s="228">
        <v>43021</v>
      </c>
      <c r="J1005" s="257" t="s">
        <v>5160</v>
      </c>
    </row>
    <row r="1006" spans="1:10" ht="15" customHeight="1" x14ac:dyDescent="0.45">
      <c r="A1006" s="240">
        <v>1023</v>
      </c>
      <c r="B1006" s="241" t="s">
        <v>2092</v>
      </c>
      <c r="C1006" s="241" t="s">
        <v>2171</v>
      </c>
      <c r="D1006" s="241" t="s">
        <v>2173</v>
      </c>
      <c r="E1006" s="241">
        <v>0</v>
      </c>
      <c r="F1006" s="131">
        <v>43021</v>
      </c>
      <c r="G1006" s="261">
        <f ca="1">IF(ISBLANK(I1006),TODAY()-F1006,I1006-F1006)</f>
        <v>0</v>
      </c>
      <c r="H1006" s="247" t="s">
        <v>5493</v>
      </c>
      <c r="I1006" s="228">
        <v>43021</v>
      </c>
      <c r="J1006" s="257" t="s">
        <v>5160</v>
      </c>
    </row>
    <row r="1007" spans="1:10" ht="15" customHeight="1" x14ac:dyDescent="0.45">
      <c r="A1007" s="240">
        <v>1024</v>
      </c>
      <c r="B1007" s="241" t="s">
        <v>2092</v>
      </c>
      <c r="C1007" s="241" t="s">
        <v>2156</v>
      </c>
      <c r="D1007" s="241" t="s">
        <v>2158</v>
      </c>
      <c r="E1007" s="241">
        <v>0</v>
      </c>
      <c r="F1007" s="131">
        <v>43021</v>
      </c>
      <c r="G1007" s="261">
        <f ca="1">IF(ISBLANK(I1007),TODAY()-F1007,I1007-F1007)</f>
        <v>0</v>
      </c>
      <c r="H1007" s="247" t="s">
        <v>5493</v>
      </c>
      <c r="I1007" s="228">
        <v>43021</v>
      </c>
      <c r="J1007" s="257" t="s">
        <v>5160</v>
      </c>
    </row>
    <row r="1008" spans="1:10" ht="15" customHeight="1" x14ac:dyDescent="0.45">
      <c r="A1008" s="240">
        <v>1025</v>
      </c>
      <c r="B1008" s="241" t="s">
        <v>2092</v>
      </c>
      <c r="C1008" s="241" t="s">
        <v>2120</v>
      </c>
      <c r="D1008" s="241" t="s">
        <v>2122</v>
      </c>
      <c r="E1008" s="241">
        <v>0</v>
      </c>
      <c r="F1008" s="131">
        <v>43021</v>
      </c>
      <c r="G1008" s="261">
        <f ca="1">IF(ISBLANK(I1008),TODAY()-F1008,I1008-F1008)</f>
        <v>0</v>
      </c>
      <c r="H1008" s="247" t="s">
        <v>5493</v>
      </c>
      <c r="I1008" s="228">
        <v>43021</v>
      </c>
      <c r="J1008" s="257" t="s">
        <v>5160</v>
      </c>
    </row>
    <row r="1009" spans="1:11" ht="15" customHeight="1" x14ac:dyDescent="0.45">
      <c r="A1009" s="240">
        <v>1026</v>
      </c>
      <c r="B1009" s="241" t="s">
        <v>2092</v>
      </c>
      <c r="C1009" s="241" t="s">
        <v>2094</v>
      </c>
      <c r="D1009" s="241" t="s">
        <v>2096</v>
      </c>
      <c r="E1009" s="241">
        <v>0</v>
      </c>
      <c r="F1009" s="131">
        <v>43021</v>
      </c>
      <c r="G1009" s="261">
        <f ca="1">IF(ISBLANK(I1009),TODAY()-F1009,I1009-F1009)</f>
        <v>0</v>
      </c>
      <c r="H1009" s="247" t="s">
        <v>64</v>
      </c>
      <c r="I1009" s="228">
        <v>43021</v>
      </c>
      <c r="J1009" s="257" t="s">
        <v>5160</v>
      </c>
    </row>
    <row r="1010" spans="1:11" ht="15" customHeight="1" x14ac:dyDescent="0.45">
      <c r="A1010" s="240">
        <v>936</v>
      </c>
      <c r="B1010" s="241" t="s">
        <v>5779</v>
      </c>
      <c r="C1010" s="332" t="s">
        <v>98</v>
      </c>
      <c r="D1010" s="332" t="s">
        <v>5780</v>
      </c>
      <c r="E1010" s="332">
        <v>0</v>
      </c>
      <c r="F1010" s="340">
        <v>43034</v>
      </c>
      <c r="G1010" s="261">
        <f ca="1">IF(ISBLANK(I1010),TODAY()-F1010,I1010-F1010)</f>
        <v>7</v>
      </c>
      <c r="H1010" s="253" t="s">
        <v>5781</v>
      </c>
      <c r="I1010" s="228">
        <v>43041</v>
      </c>
      <c r="J1010" s="381" t="s">
        <v>5160</v>
      </c>
    </row>
    <row r="1011" spans="1:11" ht="15" customHeight="1" x14ac:dyDescent="0.45">
      <c r="A1011" s="240">
        <v>937</v>
      </c>
      <c r="B1011" s="241" t="s">
        <v>5779</v>
      </c>
      <c r="C1011" s="241" t="s">
        <v>103</v>
      </c>
      <c r="D1011" s="241" t="s">
        <v>5782</v>
      </c>
      <c r="E1011" s="332">
        <v>0</v>
      </c>
      <c r="F1011" s="340">
        <v>43034</v>
      </c>
      <c r="G1011" s="261">
        <f ca="1">IF(ISBLANK(I1011),TODAY()-F1011,I1011-F1011)</f>
        <v>7</v>
      </c>
      <c r="H1011" s="253" t="s">
        <v>64</v>
      </c>
      <c r="I1011" s="228">
        <v>43041</v>
      </c>
      <c r="J1011" s="381" t="s">
        <v>5160</v>
      </c>
    </row>
    <row r="1012" spans="1:11" ht="15" customHeight="1" x14ac:dyDescent="0.45">
      <c r="A1012" s="240">
        <v>938</v>
      </c>
      <c r="B1012" s="241" t="s">
        <v>5779</v>
      </c>
      <c r="C1012" s="332" t="s">
        <v>107</v>
      </c>
      <c r="D1012" s="332" t="s">
        <v>5783</v>
      </c>
      <c r="E1012" s="332">
        <v>0</v>
      </c>
      <c r="F1012" s="340">
        <v>43034</v>
      </c>
      <c r="G1012" s="261">
        <f ca="1">IF(ISBLANK(I1012),TODAY()-F1012,I1012-F1012)</f>
        <v>7</v>
      </c>
      <c r="H1012" s="253" t="s">
        <v>64</v>
      </c>
      <c r="I1012" s="228">
        <v>43041</v>
      </c>
      <c r="J1012" s="381" t="s">
        <v>5160</v>
      </c>
    </row>
    <row r="1013" spans="1:11" ht="15" customHeight="1" x14ac:dyDescent="0.45">
      <c r="A1013" s="240">
        <v>939</v>
      </c>
      <c r="B1013" s="241" t="s">
        <v>5779</v>
      </c>
      <c r="C1013" s="332" t="s">
        <v>111</v>
      </c>
      <c r="D1013" s="332" t="s">
        <v>5784</v>
      </c>
      <c r="E1013" s="332">
        <v>0</v>
      </c>
      <c r="F1013" s="340">
        <v>43034</v>
      </c>
      <c r="G1013" s="261">
        <f ca="1">IF(ISBLANK(I1013),TODAY()-F1013,I1013-F1013)</f>
        <v>7</v>
      </c>
      <c r="H1013" s="253" t="s">
        <v>64</v>
      </c>
      <c r="I1013" s="228">
        <v>43041</v>
      </c>
      <c r="J1013" s="381" t="s">
        <v>5160</v>
      </c>
    </row>
    <row r="1014" spans="1:11" ht="15" customHeight="1" x14ac:dyDescent="0.45">
      <c r="A1014" s="240">
        <v>940</v>
      </c>
      <c r="B1014" s="241" t="s">
        <v>5779</v>
      </c>
      <c r="C1014" s="241" t="s">
        <v>115</v>
      </c>
      <c r="D1014" s="241" t="s">
        <v>5785</v>
      </c>
      <c r="E1014" s="241">
        <v>0</v>
      </c>
      <c r="F1014" s="340">
        <v>43034</v>
      </c>
      <c r="G1014" s="261">
        <f ca="1">IF(ISBLANK(I1014),TODAY()-F1014,I1014-F1014)</f>
        <v>7</v>
      </c>
      <c r="H1014" s="253" t="s">
        <v>64</v>
      </c>
      <c r="I1014" s="228">
        <v>43041</v>
      </c>
      <c r="J1014" s="381" t="s">
        <v>5160</v>
      </c>
    </row>
    <row r="1015" spans="1:11" ht="15" customHeight="1" x14ac:dyDescent="0.45">
      <c r="A1015" s="240">
        <v>941</v>
      </c>
      <c r="B1015" s="241" t="s">
        <v>5779</v>
      </c>
      <c r="C1015" s="332" t="s">
        <v>119</v>
      </c>
      <c r="D1015" s="332" t="s">
        <v>5786</v>
      </c>
      <c r="E1015" s="332">
        <v>0</v>
      </c>
      <c r="F1015" s="340">
        <v>43034</v>
      </c>
      <c r="G1015" s="261">
        <f ca="1">IF(ISBLANK(I1015),TODAY()-F1015,I1015-F1015)</f>
        <v>7</v>
      </c>
      <c r="H1015" s="253" t="s">
        <v>64</v>
      </c>
      <c r="I1015" s="228">
        <v>43041</v>
      </c>
      <c r="J1015" s="254" t="s">
        <v>5160</v>
      </c>
    </row>
    <row r="1016" spans="1:11" ht="15" customHeight="1" x14ac:dyDescent="0.45">
      <c r="A1016" s="240">
        <v>942</v>
      </c>
      <c r="B1016" s="241" t="s">
        <v>5779</v>
      </c>
      <c r="C1016" s="332" t="s">
        <v>123</v>
      </c>
      <c r="D1016" s="332" t="s">
        <v>5787</v>
      </c>
      <c r="E1016" s="332">
        <v>0</v>
      </c>
      <c r="F1016" s="340">
        <v>43034</v>
      </c>
      <c r="G1016" s="261">
        <f ca="1">IF(ISBLANK(I1016),TODAY()-F1016,I1016-F1016)</f>
        <v>7</v>
      </c>
      <c r="H1016" s="253" t="s">
        <v>64</v>
      </c>
      <c r="I1016" s="228">
        <v>43041</v>
      </c>
      <c r="J1016" s="381" t="s">
        <v>5160</v>
      </c>
    </row>
    <row r="1017" spans="1:11" ht="15" customHeight="1" x14ac:dyDescent="0.45">
      <c r="A1017" s="240">
        <v>943</v>
      </c>
      <c r="B1017" s="241" t="s">
        <v>5779</v>
      </c>
      <c r="C1017" s="241" t="s">
        <v>127</v>
      </c>
      <c r="D1017" s="241" t="s">
        <v>5788</v>
      </c>
      <c r="E1017" s="332">
        <v>0</v>
      </c>
      <c r="F1017" s="252">
        <v>43034</v>
      </c>
      <c r="G1017" s="261">
        <f ca="1">IF(ISBLANK(I1017),TODAY()-F1017,I1017-F1017)</f>
        <v>7</v>
      </c>
      <c r="H1017" s="253" t="s">
        <v>64</v>
      </c>
      <c r="I1017" s="228">
        <v>43041</v>
      </c>
      <c r="J1017" s="254" t="s">
        <v>5160</v>
      </c>
    </row>
    <row r="1018" spans="1:11" ht="15" customHeight="1" x14ac:dyDescent="0.45">
      <c r="A1018" s="240">
        <v>944</v>
      </c>
      <c r="B1018" s="241" t="s">
        <v>5779</v>
      </c>
      <c r="C1018" s="332" t="s">
        <v>131</v>
      </c>
      <c r="D1018" s="332" t="s">
        <v>5789</v>
      </c>
      <c r="E1018" s="332">
        <v>0</v>
      </c>
      <c r="F1018" s="252">
        <v>43034</v>
      </c>
      <c r="G1018" s="261">
        <f ca="1">IF(ISBLANK(I1018),TODAY()-F1018,I1018-F1018)</f>
        <v>7</v>
      </c>
      <c r="H1018" s="253" t="s">
        <v>64</v>
      </c>
      <c r="I1018" s="228">
        <v>43041</v>
      </c>
      <c r="J1018" s="254" t="s">
        <v>5160</v>
      </c>
    </row>
    <row r="1019" spans="1:11" ht="15" customHeight="1" x14ac:dyDescent="0.45">
      <c r="A1019" s="240">
        <v>945</v>
      </c>
      <c r="B1019" s="241" t="s">
        <v>5779</v>
      </c>
      <c r="C1019" s="241" t="s">
        <v>135</v>
      </c>
      <c r="D1019" s="241" t="s">
        <v>5790</v>
      </c>
      <c r="E1019" s="241">
        <v>0</v>
      </c>
      <c r="F1019" s="340">
        <v>43034</v>
      </c>
      <c r="G1019" s="261">
        <f ca="1">IF(ISBLANK(I1019),TODAY()-F1019,I1019-F1019)</f>
        <v>7</v>
      </c>
      <c r="H1019" s="253" t="s">
        <v>64</v>
      </c>
      <c r="I1019" s="228">
        <v>43041</v>
      </c>
      <c r="J1019" s="381" t="s">
        <v>5160</v>
      </c>
    </row>
    <row r="1020" spans="1:11" ht="15" customHeight="1" x14ac:dyDescent="0.45">
      <c r="A1020" s="240">
        <v>981</v>
      </c>
      <c r="B1020" s="241" t="s">
        <v>5800</v>
      </c>
      <c r="C1020" s="241" t="s">
        <v>1297</v>
      </c>
      <c r="D1020" s="241" t="s">
        <v>1298</v>
      </c>
      <c r="E1020" s="241">
        <v>0</v>
      </c>
      <c r="F1020" s="252">
        <v>43034</v>
      </c>
      <c r="G1020" s="261">
        <f ca="1">IF(ISBLANK(I1020),TODAY()-F1020,I1020-F1020)</f>
        <v>7</v>
      </c>
      <c r="H1020" s="247" t="s">
        <v>64</v>
      </c>
      <c r="I1020" s="228">
        <v>43041</v>
      </c>
      <c r="J1020" s="229" t="s">
        <v>5160</v>
      </c>
    </row>
    <row r="1021" spans="1:11" ht="15" customHeight="1" x14ac:dyDescent="0.45">
      <c r="A1021" s="240">
        <v>982</v>
      </c>
      <c r="B1021" s="241" t="s">
        <v>5801</v>
      </c>
      <c r="C1021" s="241" t="s">
        <v>1232</v>
      </c>
      <c r="D1021" s="241" t="s">
        <v>1234</v>
      </c>
      <c r="E1021" s="241">
        <v>0</v>
      </c>
      <c r="F1021" s="252">
        <v>43034</v>
      </c>
      <c r="G1021" s="261">
        <f ca="1">IF(ISBLANK(I1021),TODAY()-F1021,I1021-F1021)</f>
        <v>7</v>
      </c>
      <c r="H1021" s="247" t="s">
        <v>64</v>
      </c>
      <c r="I1021" s="250">
        <v>43041</v>
      </c>
      <c r="J1021" s="229" t="s">
        <v>5160</v>
      </c>
    </row>
    <row r="1022" spans="1:11" ht="15" customHeight="1" x14ac:dyDescent="0.45">
      <c r="A1022" s="240">
        <v>983</v>
      </c>
      <c r="B1022" s="241" t="s">
        <v>5802</v>
      </c>
      <c r="C1022" s="241" t="s">
        <v>1235</v>
      </c>
      <c r="D1022" s="241" t="s">
        <v>1237</v>
      </c>
      <c r="E1022" s="241">
        <v>0</v>
      </c>
      <c r="F1022" s="252">
        <v>43034</v>
      </c>
      <c r="G1022" s="261">
        <f ca="1">IF(ISBLANK(I1022),TODAY()-F1022,I1022-F1022)</f>
        <v>175</v>
      </c>
      <c r="H1022" s="170" t="s">
        <v>5296</v>
      </c>
      <c r="I1022" s="127">
        <v>43209</v>
      </c>
      <c r="J1022" s="156" t="s">
        <v>5403</v>
      </c>
      <c r="K1022" s="106" t="s">
        <v>5404</v>
      </c>
    </row>
    <row r="1023" spans="1:11" ht="15" customHeight="1" x14ac:dyDescent="0.45">
      <c r="A1023" s="240">
        <v>984</v>
      </c>
      <c r="B1023" s="241" t="s">
        <v>5803</v>
      </c>
      <c r="C1023" s="241" t="s">
        <v>1238</v>
      </c>
      <c r="D1023" s="241" t="s">
        <v>1240</v>
      </c>
      <c r="E1023" s="241">
        <v>0</v>
      </c>
      <c r="F1023" s="252">
        <v>43034</v>
      </c>
      <c r="G1023" s="261">
        <f ca="1">IF(ISBLANK(I1023),TODAY()-F1023,I1023-F1023)</f>
        <v>7</v>
      </c>
      <c r="H1023" s="253" t="s">
        <v>64</v>
      </c>
      <c r="I1023" s="264">
        <v>43041</v>
      </c>
      <c r="J1023" s="254" t="s">
        <v>5160</v>
      </c>
    </row>
    <row r="1024" spans="1:11" ht="15" customHeight="1" x14ac:dyDescent="0.45">
      <c r="A1024" s="240">
        <v>985</v>
      </c>
      <c r="B1024" s="241" t="s">
        <v>5804</v>
      </c>
      <c r="C1024" s="241" t="s">
        <v>1241</v>
      </c>
      <c r="D1024" s="241" t="s">
        <v>1243</v>
      </c>
      <c r="E1024" s="241">
        <v>0</v>
      </c>
      <c r="F1024" s="340">
        <v>43034</v>
      </c>
      <c r="G1024" s="261">
        <f ca="1">IF(ISBLANK(I1024),TODAY()-F1024,I1024-F1024)</f>
        <v>7</v>
      </c>
      <c r="H1024" s="247" t="s">
        <v>64</v>
      </c>
      <c r="I1024" s="228">
        <v>43041</v>
      </c>
      <c r="J1024" s="257" t="s">
        <v>5160</v>
      </c>
    </row>
    <row r="1025" spans="1:10" ht="15" customHeight="1" x14ac:dyDescent="0.45">
      <c r="A1025" s="240">
        <v>1014</v>
      </c>
      <c r="B1025" s="241" t="s">
        <v>439</v>
      </c>
      <c r="C1025" s="241" t="s">
        <v>474</v>
      </c>
      <c r="D1025" s="241" t="s">
        <v>476</v>
      </c>
      <c r="E1025" s="241">
        <v>0</v>
      </c>
      <c r="F1025" s="340">
        <v>43034</v>
      </c>
      <c r="G1025" s="261">
        <f ca="1">IF(ISBLANK(I1025),TODAY()-F1025,I1025-F1025)</f>
        <v>7</v>
      </c>
      <c r="H1025" s="253" t="s">
        <v>64</v>
      </c>
      <c r="I1025" s="264">
        <v>43041</v>
      </c>
      <c r="J1025" s="381" t="s">
        <v>5160</v>
      </c>
    </row>
    <row r="1026" spans="1:10" ht="15" customHeight="1" x14ac:dyDescent="0.45">
      <c r="A1026" s="240">
        <v>1015</v>
      </c>
      <c r="B1026" s="241" t="s">
        <v>439</v>
      </c>
      <c r="C1026" s="241" t="s">
        <v>436</v>
      </c>
      <c r="D1026" s="241" t="s">
        <v>438</v>
      </c>
      <c r="E1026" s="241">
        <v>0</v>
      </c>
      <c r="F1026" s="340">
        <v>43034</v>
      </c>
      <c r="G1026" s="261">
        <f ca="1">IF(ISBLANK(I1026),TODAY()-F1026,I1026-F1026)</f>
        <v>7</v>
      </c>
      <c r="H1026" s="253" t="s">
        <v>64</v>
      </c>
      <c r="I1026" s="264">
        <v>43041</v>
      </c>
      <c r="J1026" s="381" t="s">
        <v>5160</v>
      </c>
    </row>
    <row r="1027" spans="1:10" ht="15" customHeight="1" x14ac:dyDescent="0.45">
      <c r="A1027" s="240">
        <v>1017</v>
      </c>
      <c r="B1027" s="241" t="s">
        <v>5819</v>
      </c>
      <c r="C1027" s="241" t="s">
        <v>226</v>
      </c>
      <c r="D1027" s="241" t="s">
        <v>228</v>
      </c>
      <c r="E1027" s="241">
        <v>1</v>
      </c>
      <c r="F1027" s="340">
        <v>43034</v>
      </c>
      <c r="G1027" s="261">
        <f ca="1">IF(ISBLANK(I1027),TODAY()-F1027,I1027-F1027)</f>
        <v>7</v>
      </c>
      <c r="H1027" s="253" t="s">
        <v>5493</v>
      </c>
      <c r="I1027" s="264">
        <v>43041</v>
      </c>
      <c r="J1027" s="381" t="s">
        <v>5160</v>
      </c>
    </row>
    <row r="1028" spans="1:10" ht="15" customHeight="1" x14ac:dyDescent="0.45">
      <c r="A1028" s="240">
        <v>1018</v>
      </c>
      <c r="B1028" s="241" t="s">
        <v>5819</v>
      </c>
      <c r="C1028" s="241" t="s">
        <v>203</v>
      </c>
      <c r="D1028" s="241" t="s">
        <v>205</v>
      </c>
      <c r="E1028" s="241">
        <v>1</v>
      </c>
      <c r="F1028" s="340">
        <v>43034</v>
      </c>
      <c r="G1028" s="261">
        <f ca="1">IF(ISBLANK(I1028),TODAY()-F1028,I1028-F1028)</f>
        <v>7</v>
      </c>
      <c r="H1028" s="253" t="s">
        <v>5493</v>
      </c>
      <c r="I1028" s="264">
        <v>43041</v>
      </c>
      <c r="J1028" s="381" t="s">
        <v>5160</v>
      </c>
    </row>
    <row r="1029" spans="1:10" ht="15" customHeight="1" x14ac:dyDescent="0.45">
      <c r="A1029" s="240">
        <v>1019</v>
      </c>
      <c r="B1029" s="241" t="s">
        <v>5819</v>
      </c>
      <c r="C1029" s="241" t="s">
        <v>200</v>
      </c>
      <c r="D1029" s="241" t="s">
        <v>202</v>
      </c>
      <c r="E1029" s="241">
        <v>1</v>
      </c>
      <c r="F1029" s="340">
        <v>43034</v>
      </c>
      <c r="G1029" s="261">
        <f ca="1">IF(ISBLANK(I1029),TODAY()-F1029,I1029-F1029)</f>
        <v>7</v>
      </c>
      <c r="H1029" s="253" t="s">
        <v>5493</v>
      </c>
      <c r="I1029" s="264">
        <v>43041</v>
      </c>
      <c r="J1029" s="381" t="s">
        <v>5160</v>
      </c>
    </row>
    <row r="1030" spans="1:10" ht="15" customHeight="1" x14ac:dyDescent="0.45">
      <c r="A1030" s="240">
        <v>1020</v>
      </c>
      <c r="B1030" s="241" t="s">
        <v>5819</v>
      </c>
      <c r="C1030" s="241" t="s">
        <v>197</v>
      </c>
      <c r="D1030" s="241" t="s">
        <v>199</v>
      </c>
      <c r="E1030" s="241">
        <v>1</v>
      </c>
      <c r="F1030" s="340">
        <v>43034</v>
      </c>
      <c r="G1030" s="261">
        <f ca="1">IF(ISBLANK(I1030),TODAY()-F1030,I1030-F1030)</f>
        <v>7</v>
      </c>
      <c r="H1030" s="253" t="s">
        <v>5493</v>
      </c>
      <c r="I1030" s="264">
        <v>43041</v>
      </c>
      <c r="J1030" s="381" t="s">
        <v>5160</v>
      </c>
    </row>
    <row r="1031" spans="1:10" ht="15" customHeight="1" x14ac:dyDescent="0.45">
      <c r="A1031" s="240">
        <v>1035</v>
      </c>
      <c r="B1031" s="241" t="s">
        <v>2191</v>
      </c>
      <c r="C1031" s="241" t="s">
        <v>2289</v>
      </c>
      <c r="D1031" s="241" t="s">
        <v>2291</v>
      </c>
      <c r="E1031" s="241">
        <v>0</v>
      </c>
      <c r="F1031" s="340">
        <v>43034</v>
      </c>
      <c r="G1031" s="261">
        <f ca="1">IF(ISBLANK(I1031),TODAY()-F1031,I1031-F1031)</f>
        <v>7</v>
      </c>
      <c r="H1031" s="253" t="s">
        <v>64</v>
      </c>
      <c r="I1031" s="264">
        <v>43041</v>
      </c>
      <c r="J1031" s="381" t="s">
        <v>5160</v>
      </c>
    </row>
    <row r="1032" spans="1:10" ht="15" customHeight="1" x14ac:dyDescent="0.45">
      <c r="A1032" s="240">
        <v>1036</v>
      </c>
      <c r="B1032" s="241" t="s">
        <v>2191</v>
      </c>
      <c r="C1032" s="241" t="s">
        <v>2193</v>
      </c>
      <c r="D1032" s="241" t="s">
        <v>2195</v>
      </c>
      <c r="E1032" s="241">
        <v>0</v>
      </c>
      <c r="F1032" s="340">
        <v>43034</v>
      </c>
      <c r="G1032" s="261">
        <f ca="1">IF(ISBLANK(I1032),TODAY()-F1032,I1032-F1032)</f>
        <v>7</v>
      </c>
      <c r="H1032" s="253" t="s">
        <v>64</v>
      </c>
      <c r="I1032" s="264">
        <v>43041</v>
      </c>
      <c r="J1032" s="381" t="s">
        <v>5160</v>
      </c>
    </row>
    <row r="1033" spans="1:10" ht="15" customHeight="1" x14ac:dyDescent="0.45">
      <c r="A1033" s="240">
        <v>1037</v>
      </c>
      <c r="B1033" s="241" t="s">
        <v>2191</v>
      </c>
      <c r="C1033" s="241" t="s">
        <v>2293</v>
      </c>
      <c r="D1033" s="241" t="s">
        <v>2295</v>
      </c>
      <c r="E1033" s="241">
        <v>0</v>
      </c>
      <c r="F1033" s="340">
        <v>43034</v>
      </c>
      <c r="G1033" s="261">
        <f ca="1">IF(ISBLANK(I1033),TODAY()-F1033,I1033-F1033)</f>
        <v>7</v>
      </c>
      <c r="H1033" s="253" t="s">
        <v>64</v>
      </c>
      <c r="I1033" s="264">
        <v>43041</v>
      </c>
      <c r="J1033" s="381" t="s">
        <v>5160</v>
      </c>
    </row>
    <row r="1034" spans="1:10" ht="15" customHeight="1" x14ac:dyDescent="0.45">
      <c r="A1034" s="240">
        <v>1038</v>
      </c>
      <c r="B1034" s="241" t="s">
        <v>2191</v>
      </c>
      <c r="C1034" s="241" t="s">
        <v>2188</v>
      </c>
      <c r="D1034" s="241" t="s">
        <v>2190</v>
      </c>
      <c r="E1034" s="241">
        <v>0</v>
      </c>
      <c r="F1034" s="340">
        <v>43034</v>
      </c>
      <c r="G1034" s="261">
        <f ca="1">IF(ISBLANK(I1034),TODAY()-F1034,I1034-F1034)</f>
        <v>7</v>
      </c>
      <c r="H1034" s="253" t="s">
        <v>64</v>
      </c>
      <c r="I1034" s="264">
        <v>43041</v>
      </c>
      <c r="J1034" s="381" t="s">
        <v>5160</v>
      </c>
    </row>
    <row r="1035" spans="1:10" ht="15" customHeight="1" x14ac:dyDescent="0.45">
      <c r="A1035" s="240">
        <v>1039</v>
      </c>
      <c r="B1035" s="241" t="s">
        <v>215</v>
      </c>
      <c r="C1035" s="241" t="s">
        <v>212</v>
      </c>
      <c r="D1035" s="241" t="s">
        <v>214</v>
      </c>
      <c r="E1035" s="241">
        <v>1</v>
      </c>
      <c r="F1035" s="340">
        <v>43034</v>
      </c>
      <c r="G1035" s="261">
        <f ca="1">IF(ISBLANK(I1035),TODAY()-F1035,I1035-F1035)</f>
        <v>7</v>
      </c>
      <c r="H1035" s="253" t="s">
        <v>64</v>
      </c>
      <c r="I1035" s="264">
        <v>43041</v>
      </c>
      <c r="J1035" s="381" t="s">
        <v>5160</v>
      </c>
    </row>
    <row r="1036" spans="1:10" ht="15" customHeight="1" x14ac:dyDescent="0.45">
      <c r="A1036" s="225">
        <v>1040</v>
      </c>
      <c r="B1036" s="226" t="s">
        <v>215</v>
      </c>
      <c r="C1036" s="226" t="s">
        <v>206</v>
      </c>
      <c r="D1036" s="226" t="s">
        <v>208</v>
      </c>
      <c r="E1036" s="226">
        <v>1</v>
      </c>
      <c r="F1036" s="340">
        <v>43034</v>
      </c>
      <c r="G1036" s="261">
        <f ca="1">IF(ISBLANK(I1036),TODAY()-F1036,I1036-F1036)</f>
        <v>7</v>
      </c>
      <c r="H1036" s="253" t="s">
        <v>64</v>
      </c>
      <c r="I1036" s="264">
        <v>43041</v>
      </c>
      <c r="J1036" s="381" t="s">
        <v>5160</v>
      </c>
    </row>
    <row r="1037" spans="1:10" ht="15" customHeight="1" x14ac:dyDescent="0.45">
      <c r="A1037" s="225">
        <v>1046</v>
      </c>
      <c r="B1037" s="226" t="s">
        <v>1456</v>
      </c>
      <c r="C1037" s="226" t="s">
        <v>1453</v>
      </c>
      <c r="D1037" s="226" t="s">
        <v>1455</v>
      </c>
      <c r="E1037" s="226">
        <v>0</v>
      </c>
      <c r="F1037" s="340">
        <v>43034</v>
      </c>
      <c r="G1037" s="261">
        <f ca="1">IF(ISBLANK(I1037),TODAY()-F1037,I1037-F1037)</f>
        <v>7</v>
      </c>
      <c r="H1037" s="253" t="s">
        <v>64</v>
      </c>
      <c r="I1037" s="264">
        <v>43041</v>
      </c>
      <c r="J1037" s="254" t="s">
        <v>5160</v>
      </c>
    </row>
    <row r="1038" spans="1:10" ht="15" customHeight="1" x14ac:dyDescent="0.45">
      <c r="A1038" s="225">
        <v>1047</v>
      </c>
      <c r="B1038" s="226" t="s">
        <v>1461</v>
      </c>
      <c r="C1038" s="226" t="s">
        <v>1467</v>
      </c>
      <c r="D1038" s="226" t="s">
        <v>1469</v>
      </c>
      <c r="E1038" s="226">
        <v>0</v>
      </c>
      <c r="F1038" s="252">
        <v>43034</v>
      </c>
      <c r="G1038" s="261">
        <f ca="1">IF(ISBLANK(I1038),TODAY()-F1038,I1038-F1038)</f>
        <v>7</v>
      </c>
      <c r="H1038" s="253" t="s">
        <v>64</v>
      </c>
      <c r="I1038" s="264">
        <v>43041</v>
      </c>
      <c r="J1038" s="254" t="s">
        <v>5160</v>
      </c>
    </row>
    <row r="1039" spans="1:10" ht="15" customHeight="1" x14ac:dyDescent="0.45">
      <c r="A1039" s="225">
        <v>1048</v>
      </c>
      <c r="B1039" s="226" t="s">
        <v>1461</v>
      </c>
      <c r="C1039" s="226" t="s">
        <v>1463</v>
      </c>
      <c r="D1039" s="226" t="s">
        <v>1465</v>
      </c>
      <c r="E1039" s="226">
        <v>0</v>
      </c>
      <c r="F1039" s="252">
        <v>43034</v>
      </c>
      <c r="G1039" s="261">
        <f ca="1">IF(ISBLANK(I1039),TODAY()-F1039,I1039-F1039)</f>
        <v>7</v>
      </c>
      <c r="H1039" s="253" t="s">
        <v>64</v>
      </c>
      <c r="I1039" s="264">
        <v>43041</v>
      </c>
      <c r="J1039" s="254" t="s">
        <v>5160</v>
      </c>
    </row>
    <row r="1040" spans="1:10" ht="15" customHeight="1" x14ac:dyDescent="0.45">
      <c r="A1040" s="225">
        <v>1049</v>
      </c>
      <c r="B1040" s="226" t="s">
        <v>1461</v>
      </c>
      <c r="C1040" s="226" t="s">
        <v>1458</v>
      </c>
      <c r="D1040" s="226" t="s">
        <v>1460</v>
      </c>
      <c r="E1040" s="226">
        <v>0</v>
      </c>
      <c r="F1040" s="252">
        <v>43034</v>
      </c>
      <c r="G1040" s="261">
        <f ca="1">IF(ISBLANK(I1040),TODAY()-F1040,I1040-F1040)</f>
        <v>7</v>
      </c>
      <c r="H1040" s="253" t="s">
        <v>64</v>
      </c>
      <c r="I1040" s="264">
        <v>43041</v>
      </c>
      <c r="J1040" s="254" t="s">
        <v>5160</v>
      </c>
    </row>
    <row r="1041" spans="1:11" ht="15" customHeight="1" x14ac:dyDescent="0.45">
      <c r="A1041" s="225">
        <v>1052</v>
      </c>
      <c r="B1041" s="226" t="s">
        <v>1679</v>
      </c>
      <c r="C1041" s="226" t="s">
        <v>1676</v>
      </c>
      <c r="D1041" s="226" t="s">
        <v>1678</v>
      </c>
      <c r="E1041" s="226">
        <v>0</v>
      </c>
      <c r="F1041" s="252">
        <v>43034</v>
      </c>
      <c r="G1041" s="261">
        <f ca="1">IF(ISBLANK(I1041),TODAY()-F1041,I1041-F1041)</f>
        <v>7</v>
      </c>
      <c r="H1041" s="253" t="s">
        <v>64</v>
      </c>
      <c r="I1041" s="264">
        <v>43041</v>
      </c>
      <c r="J1041" s="254" t="s">
        <v>5160</v>
      </c>
    </row>
    <row r="1042" spans="1:11" ht="15" customHeight="1" x14ac:dyDescent="0.45">
      <c r="A1042" s="225">
        <v>1053</v>
      </c>
      <c r="B1042" s="226" t="s">
        <v>5826</v>
      </c>
      <c r="C1042" s="226" t="s">
        <v>1426</v>
      </c>
      <c r="D1042" s="226" t="s">
        <v>1428</v>
      </c>
      <c r="E1042" s="226">
        <v>0</v>
      </c>
      <c r="F1042" s="252">
        <v>43034</v>
      </c>
      <c r="G1042" s="261">
        <f ca="1">IF(ISBLANK(I1042),TODAY()-F1042,I1042-F1042)</f>
        <v>7</v>
      </c>
      <c r="H1042" s="247" t="s">
        <v>64</v>
      </c>
      <c r="I1042" s="228">
        <v>43041</v>
      </c>
      <c r="J1042" s="229" t="s">
        <v>5160</v>
      </c>
    </row>
    <row r="1043" spans="1:11" ht="15" customHeight="1" x14ac:dyDescent="0.45">
      <c r="A1043" s="225">
        <v>1054</v>
      </c>
      <c r="B1043" s="226" t="s">
        <v>5826</v>
      </c>
      <c r="C1043" s="226" t="s">
        <v>1386</v>
      </c>
      <c r="D1043" s="226" t="s">
        <v>1388</v>
      </c>
      <c r="E1043" s="226">
        <v>0</v>
      </c>
      <c r="F1043" s="252">
        <v>43034</v>
      </c>
      <c r="G1043" s="261">
        <f ca="1">IF(ISBLANK(I1043),TODAY()-F1043,I1043-F1043)</f>
        <v>7</v>
      </c>
      <c r="H1043" s="247" t="s">
        <v>64</v>
      </c>
      <c r="I1043" s="228">
        <v>43041</v>
      </c>
      <c r="J1043" s="229" t="s">
        <v>5160</v>
      </c>
    </row>
    <row r="1044" spans="1:11" ht="15" customHeight="1" x14ac:dyDescent="0.45">
      <c r="A1044" s="225">
        <v>1055</v>
      </c>
      <c r="B1044" s="226" t="s">
        <v>1644</v>
      </c>
      <c r="C1044" s="226" t="s">
        <v>1641</v>
      </c>
      <c r="D1044" s="226" t="s">
        <v>1643</v>
      </c>
      <c r="E1044" s="226">
        <v>0</v>
      </c>
      <c r="F1044" s="340">
        <v>43034</v>
      </c>
      <c r="G1044" s="261">
        <f ca="1">IF(ISBLANK(I1044),TODAY()-F1044,I1044-F1044)</f>
        <v>7</v>
      </c>
      <c r="H1044" s="253" t="s">
        <v>64</v>
      </c>
      <c r="I1044" s="228">
        <v>43041</v>
      </c>
      <c r="J1044" s="381" t="s">
        <v>5160</v>
      </c>
    </row>
    <row r="1045" spans="1:11" ht="15" customHeight="1" x14ac:dyDescent="0.45">
      <c r="A1045" s="225">
        <v>1056</v>
      </c>
      <c r="B1045" s="226" t="s">
        <v>646</v>
      </c>
      <c r="C1045" s="226" t="s">
        <v>643</v>
      </c>
      <c r="D1045" s="226" t="s">
        <v>645</v>
      </c>
      <c r="E1045" s="226">
        <v>0</v>
      </c>
      <c r="F1045" s="340">
        <v>43034</v>
      </c>
      <c r="G1045" s="261">
        <f ca="1">IF(ISBLANK(I1045),TODAY()-F1045,I1045-F1045)</f>
        <v>175</v>
      </c>
      <c r="H1045" s="170" t="s">
        <v>5296</v>
      </c>
      <c r="I1045" s="127">
        <v>43209</v>
      </c>
      <c r="J1045" s="171" t="s">
        <v>5403</v>
      </c>
      <c r="K1045" s="106" t="s">
        <v>5404</v>
      </c>
    </row>
    <row r="1046" spans="1:11" ht="15" customHeight="1" x14ac:dyDescent="0.45">
      <c r="A1046" s="225">
        <v>1057</v>
      </c>
      <c r="B1046" s="226" t="s">
        <v>88</v>
      </c>
      <c r="C1046" s="226" t="s">
        <v>92</v>
      </c>
      <c r="D1046" s="226" t="s">
        <v>2624</v>
      </c>
      <c r="E1046" s="226">
        <v>1</v>
      </c>
      <c r="F1046" s="340">
        <v>43034</v>
      </c>
      <c r="G1046" s="261">
        <f ca="1">IF(ISBLANK(I1046),TODAY()-F1046,I1046-F1046)</f>
        <v>7</v>
      </c>
      <c r="H1046" s="253" t="s">
        <v>64</v>
      </c>
      <c r="I1046" s="228">
        <v>43041</v>
      </c>
      <c r="J1046" s="381" t="s">
        <v>5160</v>
      </c>
    </row>
    <row r="1047" spans="1:11" ht="15" customHeight="1" x14ac:dyDescent="0.45">
      <c r="A1047" s="225">
        <v>1058</v>
      </c>
      <c r="B1047" s="226" t="s">
        <v>88</v>
      </c>
      <c r="C1047" s="226" t="s">
        <v>85</v>
      </c>
      <c r="D1047" s="226" t="s">
        <v>87</v>
      </c>
      <c r="E1047" s="226">
        <v>1</v>
      </c>
      <c r="F1047" s="340">
        <v>43034</v>
      </c>
      <c r="G1047" s="261">
        <f ca="1">IF(ISBLANK(I1047),TODAY()-F1047,I1047-F1047)</f>
        <v>7</v>
      </c>
      <c r="H1047" s="253" t="s">
        <v>5493</v>
      </c>
      <c r="I1047" s="228">
        <v>43041</v>
      </c>
      <c r="J1047" s="381" t="s">
        <v>5160</v>
      </c>
    </row>
    <row r="1048" spans="1:11" ht="15" customHeight="1" x14ac:dyDescent="0.45">
      <c r="A1048" s="225">
        <v>1064</v>
      </c>
      <c r="B1048" s="226" t="s">
        <v>779</v>
      </c>
      <c r="C1048" s="226" t="s">
        <v>781</v>
      </c>
      <c r="D1048" s="226" t="s">
        <v>783</v>
      </c>
      <c r="E1048" s="226">
        <v>0</v>
      </c>
      <c r="F1048" s="340">
        <v>43034</v>
      </c>
      <c r="G1048" s="261">
        <f ca="1">IF(ISBLANK(I1048),TODAY()-F1048,I1048-F1048)</f>
        <v>7</v>
      </c>
      <c r="H1048" s="253" t="s">
        <v>5493</v>
      </c>
      <c r="I1048" s="228">
        <v>43041</v>
      </c>
      <c r="J1048" s="381" t="s">
        <v>5160</v>
      </c>
    </row>
    <row r="1049" spans="1:11" ht="15" customHeight="1" x14ac:dyDescent="0.45">
      <c r="A1049" s="225">
        <v>1065</v>
      </c>
      <c r="B1049" s="226" t="s">
        <v>779</v>
      </c>
      <c r="C1049" s="226" t="s">
        <v>776</v>
      </c>
      <c r="D1049" s="226" t="s">
        <v>778</v>
      </c>
      <c r="E1049" s="226">
        <v>0</v>
      </c>
      <c r="F1049" s="252">
        <v>43034</v>
      </c>
      <c r="G1049" s="261">
        <f ca="1">IF(ISBLANK(I1049),TODAY()-F1049,I1049-F1049)</f>
        <v>7</v>
      </c>
      <c r="H1049" s="253" t="s">
        <v>5493</v>
      </c>
      <c r="I1049" s="228">
        <v>43041</v>
      </c>
      <c r="J1049" s="254" t="s">
        <v>5160</v>
      </c>
    </row>
    <row r="1050" spans="1:11" ht="15" customHeight="1" x14ac:dyDescent="0.45">
      <c r="A1050" s="240">
        <v>1077</v>
      </c>
      <c r="B1050" s="241" t="s">
        <v>510</v>
      </c>
      <c r="C1050" s="241" t="s">
        <v>512</v>
      </c>
      <c r="D1050" s="241" t="s">
        <v>514</v>
      </c>
      <c r="E1050" s="241">
        <v>0</v>
      </c>
      <c r="F1050" s="252">
        <v>43034</v>
      </c>
      <c r="G1050" s="261">
        <f ca="1">IF(ISBLANK(I1050),TODAY()-F1050,I1050-F1050)</f>
        <v>7</v>
      </c>
      <c r="H1050" s="253" t="s">
        <v>5493</v>
      </c>
      <c r="I1050" s="228">
        <v>43041</v>
      </c>
      <c r="J1050" s="254" t="s">
        <v>5160</v>
      </c>
    </row>
    <row r="1051" spans="1:11" ht="15" customHeight="1" x14ac:dyDescent="0.45">
      <c r="A1051" s="225">
        <v>1078</v>
      </c>
      <c r="B1051" s="226" t="s">
        <v>510</v>
      </c>
      <c r="C1051" s="226" t="s">
        <v>507</v>
      </c>
      <c r="D1051" s="226" t="s">
        <v>509</v>
      </c>
      <c r="E1051" s="226">
        <v>0</v>
      </c>
      <c r="F1051" s="252">
        <v>43034</v>
      </c>
      <c r="G1051" s="261">
        <f ca="1">IF(ISBLANK(I1051),TODAY()-F1051,I1051-F1051)</f>
        <v>7</v>
      </c>
      <c r="H1051" s="253" t="s">
        <v>5493</v>
      </c>
      <c r="I1051" s="228">
        <v>43041</v>
      </c>
      <c r="J1051" s="254" t="s">
        <v>5160</v>
      </c>
    </row>
    <row r="1052" spans="1:11" ht="15" customHeight="1" x14ac:dyDescent="0.45">
      <c r="A1052" s="225">
        <v>1082</v>
      </c>
      <c r="B1052" s="226" t="s">
        <v>1806</v>
      </c>
      <c r="C1052" s="226" t="s">
        <v>1896</v>
      </c>
      <c r="D1052" s="226" t="s">
        <v>1898</v>
      </c>
      <c r="E1052" s="226">
        <v>0</v>
      </c>
      <c r="F1052" s="252">
        <v>43034</v>
      </c>
      <c r="G1052" s="261">
        <f ca="1">IF(ISBLANK(I1052),TODAY()-F1052,I1052-F1052)</f>
        <v>7</v>
      </c>
      <c r="H1052" s="253" t="s">
        <v>5493</v>
      </c>
      <c r="I1052" s="228">
        <v>43041</v>
      </c>
      <c r="J1052" s="254" t="s">
        <v>5160</v>
      </c>
    </row>
    <row r="1053" spans="1:11" ht="15" customHeight="1" x14ac:dyDescent="0.45">
      <c r="A1053" s="225">
        <v>1083</v>
      </c>
      <c r="B1053" s="226" t="s">
        <v>1806</v>
      </c>
      <c r="C1053" s="226" t="s">
        <v>1803</v>
      </c>
      <c r="D1053" s="226" t="s">
        <v>1805</v>
      </c>
      <c r="E1053" s="226">
        <v>0</v>
      </c>
      <c r="F1053" s="340">
        <v>43034</v>
      </c>
      <c r="G1053" s="261">
        <f ca="1">IF(ISBLANK(I1053),TODAY()-F1053,I1053-F1053)</f>
        <v>7</v>
      </c>
      <c r="H1053" s="253" t="s">
        <v>64</v>
      </c>
      <c r="I1053" s="228">
        <v>43041</v>
      </c>
      <c r="J1053" s="254" t="s">
        <v>5160</v>
      </c>
    </row>
    <row r="1054" spans="1:11" ht="15" customHeight="1" x14ac:dyDescent="0.45">
      <c r="A1054" s="225">
        <v>1085</v>
      </c>
      <c r="B1054" s="226" t="s">
        <v>5837</v>
      </c>
      <c r="C1054" s="226" t="s">
        <v>2061</v>
      </c>
      <c r="D1054" s="226" t="s">
        <v>2063</v>
      </c>
      <c r="E1054" s="226">
        <v>0</v>
      </c>
      <c r="F1054" s="340">
        <v>43034</v>
      </c>
      <c r="G1054" s="261">
        <f ca="1">IF(ISBLANK(I1054),TODAY()-F1054,I1054-F1054)</f>
        <v>7</v>
      </c>
      <c r="H1054" s="253" t="s">
        <v>5493</v>
      </c>
      <c r="I1054" s="228">
        <v>43041</v>
      </c>
      <c r="J1054" s="254" t="s">
        <v>5160</v>
      </c>
    </row>
    <row r="1055" spans="1:11" ht="15" customHeight="1" x14ac:dyDescent="0.45">
      <c r="A1055" s="225">
        <v>1086</v>
      </c>
      <c r="B1055" s="226" t="s">
        <v>5838</v>
      </c>
      <c r="C1055" s="226" t="s">
        <v>2066</v>
      </c>
      <c r="D1055" s="226" t="s">
        <v>2068</v>
      </c>
      <c r="E1055" s="226">
        <v>0</v>
      </c>
      <c r="F1055" s="252">
        <v>43034</v>
      </c>
      <c r="G1055" s="261">
        <f ca="1">IF(ISBLANK(I1055),TODAY()-F1055,I1055-F1055)</f>
        <v>7</v>
      </c>
      <c r="H1055" s="253" t="s">
        <v>5493</v>
      </c>
      <c r="I1055" s="228">
        <v>43041</v>
      </c>
      <c r="J1055" s="254" t="s">
        <v>5160</v>
      </c>
    </row>
    <row r="1056" spans="1:11" ht="15" customHeight="1" x14ac:dyDescent="0.45">
      <c r="A1056" s="240">
        <v>1087</v>
      </c>
      <c r="B1056" s="241" t="s">
        <v>2074</v>
      </c>
      <c r="C1056" s="241" t="s">
        <v>2071</v>
      </c>
      <c r="D1056" s="241" t="s">
        <v>2073</v>
      </c>
      <c r="E1056" s="241">
        <v>0</v>
      </c>
      <c r="F1056" s="252">
        <v>43034</v>
      </c>
      <c r="G1056" s="261">
        <f ca="1">IF(ISBLANK(I1056),TODAY()-F1056,I1056-F1056)</f>
        <v>7</v>
      </c>
      <c r="H1056" s="253" t="s">
        <v>5493</v>
      </c>
      <c r="I1056" s="228">
        <v>43041</v>
      </c>
      <c r="J1056" s="381" t="s">
        <v>5160</v>
      </c>
    </row>
    <row r="1057" spans="1:10" ht="15" customHeight="1" x14ac:dyDescent="0.45">
      <c r="A1057" s="240">
        <v>1088</v>
      </c>
      <c r="B1057" s="241" t="s">
        <v>575</v>
      </c>
      <c r="C1057" s="241" t="s">
        <v>598</v>
      </c>
      <c r="D1057" s="241" t="s">
        <v>600</v>
      </c>
      <c r="E1057" s="241">
        <v>0</v>
      </c>
      <c r="F1057" s="252">
        <v>43034</v>
      </c>
      <c r="G1057" s="261">
        <f ca="1">IF(ISBLANK(I1057),TODAY()-F1057,I1057-F1057)</f>
        <v>7</v>
      </c>
      <c r="H1057" s="253" t="s">
        <v>64</v>
      </c>
      <c r="I1057" s="228">
        <v>43041</v>
      </c>
      <c r="J1057" s="381" t="s">
        <v>5160</v>
      </c>
    </row>
    <row r="1058" spans="1:10" ht="15" customHeight="1" x14ac:dyDescent="0.45">
      <c r="A1058" s="240">
        <v>1089</v>
      </c>
      <c r="B1058" s="241" t="s">
        <v>575</v>
      </c>
      <c r="C1058" s="241" t="s">
        <v>622</v>
      </c>
      <c r="D1058" s="241" t="s">
        <v>624</v>
      </c>
      <c r="E1058" s="241">
        <v>0</v>
      </c>
      <c r="F1058" s="252">
        <v>43034</v>
      </c>
      <c r="G1058" s="261">
        <f ca="1">IF(ISBLANK(I1058),TODAY()-F1058,I1058-F1058)</f>
        <v>7</v>
      </c>
      <c r="H1058" s="253" t="s">
        <v>64</v>
      </c>
      <c r="I1058" s="228">
        <v>43041</v>
      </c>
      <c r="J1058" s="254" t="s">
        <v>5160</v>
      </c>
    </row>
    <row r="1059" spans="1:10" ht="15" customHeight="1" x14ac:dyDescent="0.45">
      <c r="A1059" s="240">
        <v>1090</v>
      </c>
      <c r="B1059" s="241" t="s">
        <v>575</v>
      </c>
      <c r="C1059" s="241" t="s">
        <v>626</v>
      </c>
      <c r="D1059" s="241" t="s">
        <v>628</v>
      </c>
      <c r="E1059" s="241">
        <v>0</v>
      </c>
      <c r="F1059" s="252">
        <v>43034</v>
      </c>
      <c r="G1059" s="261">
        <f ca="1">IF(ISBLANK(I1059),TODAY()-F1059,I1059-F1059)</f>
        <v>7</v>
      </c>
      <c r="H1059" s="349" t="s">
        <v>64</v>
      </c>
      <c r="I1059" s="366">
        <v>43041</v>
      </c>
      <c r="J1059" s="381" t="s">
        <v>5160</v>
      </c>
    </row>
    <row r="1060" spans="1:10" ht="15" customHeight="1" x14ac:dyDescent="0.45">
      <c r="A1060" s="240">
        <v>1091</v>
      </c>
      <c r="B1060" s="241" t="s">
        <v>575</v>
      </c>
      <c r="C1060" s="241" t="s">
        <v>630</v>
      </c>
      <c r="D1060" s="241" t="s">
        <v>632</v>
      </c>
      <c r="E1060" s="241">
        <v>0</v>
      </c>
      <c r="F1060" s="252">
        <v>43034</v>
      </c>
      <c r="G1060" s="261">
        <f ca="1">IF(ISBLANK(I1060),TODAY()-F1060,I1060-F1060)</f>
        <v>7</v>
      </c>
      <c r="H1060" s="253" t="s">
        <v>64</v>
      </c>
      <c r="I1060" s="228">
        <v>43041</v>
      </c>
      <c r="J1060" s="254" t="s">
        <v>5160</v>
      </c>
    </row>
    <row r="1061" spans="1:10" ht="15" customHeight="1" x14ac:dyDescent="0.45">
      <c r="A1061" s="240">
        <v>1092</v>
      </c>
      <c r="B1061" s="241" t="s">
        <v>575</v>
      </c>
      <c r="C1061" s="241" t="s">
        <v>586</v>
      </c>
      <c r="D1061" s="241" t="s">
        <v>588</v>
      </c>
      <c r="E1061" s="241">
        <v>0</v>
      </c>
      <c r="F1061" s="252">
        <v>43034</v>
      </c>
      <c r="G1061" s="261">
        <f ca="1">IF(ISBLANK(I1061),TODAY()-F1061,I1061-F1061)</f>
        <v>7</v>
      </c>
      <c r="H1061" s="253" t="s">
        <v>64</v>
      </c>
      <c r="I1061" s="228">
        <v>43041</v>
      </c>
      <c r="J1061" s="254" t="s">
        <v>5160</v>
      </c>
    </row>
    <row r="1062" spans="1:10" ht="15" customHeight="1" x14ac:dyDescent="0.45">
      <c r="A1062" s="240">
        <v>1093</v>
      </c>
      <c r="B1062" s="241" t="s">
        <v>575</v>
      </c>
      <c r="C1062" s="241" t="s">
        <v>602</v>
      </c>
      <c r="D1062" s="241" t="s">
        <v>604</v>
      </c>
      <c r="E1062" s="241">
        <v>0</v>
      </c>
      <c r="F1062" s="340">
        <v>43034</v>
      </c>
      <c r="G1062" s="261">
        <f ca="1">IF(ISBLANK(I1062),TODAY()-F1062,I1062-F1062)</f>
        <v>7</v>
      </c>
      <c r="H1062" s="253" t="s">
        <v>5493</v>
      </c>
      <c r="I1062" s="228">
        <v>43041</v>
      </c>
      <c r="J1062" s="254" t="s">
        <v>5160</v>
      </c>
    </row>
    <row r="1063" spans="1:10" ht="15" customHeight="1" x14ac:dyDescent="0.45">
      <c r="A1063" s="240">
        <v>1094</v>
      </c>
      <c r="B1063" s="241" t="s">
        <v>575</v>
      </c>
      <c r="C1063" s="241" t="s">
        <v>577</v>
      </c>
      <c r="D1063" s="241" t="s">
        <v>579</v>
      </c>
      <c r="E1063" s="241">
        <v>0</v>
      </c>
      <c r="F1063" s="340">
        <v>43034</v>
      </c>
      <c r="G1063" s="261">
        <f ca="1">IF(ISBLANK(I1063),TODAY()-F1063,I1063-F1063)</f>
        <v>7</v>
      </c>
      <c r="H1063" s="253" t="s">
        <v>64</v>
      </c>
      <c r="I1063" s="228">
        <v>43041</v>
      </c>
      <c r="J1063" s="254" t="s">
        <v>5160</v>
      </c>
    </row>
    <row r="1064" spans="1:10" ht="15" customHeight="1" x14ac:dyDescent="0.45">
      <c r="A1064" s="240">
        <v>1095</v>
      </c>
      <c r="B1064" s="241" t="s">
        <v>575</v>
      </c>
      <c r="C1064" s="241" t="s">
        <v>572</v>
      </c>
      <c r="D1064" s="241" t="s">
        <v>574</v>
      </c>
      <c r="E1064" s="241">
        <v>0</v>
      </c>
      <c r="F1064" s="340">
        <v>43034</v>
      </c>
      <c r="G1064" s="261">
        <f ca="1">IF(ISBLANK(I1064),TODAY()-F1064,I1064-F1064)</f>
        <v>7</v>
      </c>
      <c r="H1064" s="253" t="s">
        <v>64</v>
      </c>
      <c r="I1064" s="228">
        <v>43041</v>
      </c>
      <c r="J1064" s="254" t="s">
        <v>5160</v>
      </c>
    </row>
    <row r="1065" spans="1:10" ht="15" customHeight="1" x14ac:dyDescent="0.45">
      <c r="A1065" s="240">
        <v>1096</v>
      </c>
      <c r="B1065" s="241" t="s">
        <v>2213</v>
      </c>
      <c r="C1065" s="241" t="s">
        <v>2210</v>
      </c>
      <c r="D1065" s="241" t="s">
        <v>2212</v>
      </c>
      <c r="E1065" s="241">
        <v>0</v>
      </c>
      <c r="F1065" s="340">
        <v>43034</v>
      </c>
      <c r="G1065" s="261">
        <f ca="1">IF(ISBLANK(I1065),TODAY()-F1065,I1065-F1065)</f>
        <v>7</v>
      </c>
      <c r="H1065" s="253" t="s">
        <v>64</v>
      </c>
      <c r="I1065" s="228">
        <v>43041</v>
      </c>
      <c r="J1065" s="254" t="s">
        <v>5160</v>
      </c>
    </row>
    <row r="1066" spans="1:10" ht="15" customHeight="1" x14ac:dyDescent="0.45">
      <c r="A1066" s="240">
        <v>1097</v>
      </c>
      <c r="B1066" s="241" t="s">
        <v>2213</v>
      </c>
      <c r="C1066" s="241" t="s">
        <v>2306</v>
      </c>
      <c r="D1066" s="241" t="s">
        <v>2308</v>
      </c>
      <c r="E1066" s="241">
        <v>0</v>
      </c>
      <c r="F1066" s="340">
        <v>43034</v>
      </c>
      <c r="G1066" s="261">
        <f ca="1">IF(ISBLANK(I1066),TODAY()-F1066,I1066-F1066)</f>
        <v>7</v>
      </c>
      <c r="H1066" s="253" t="s">
        <v>64</v>
      </c>
      <c r="I1066" s="228">
        <v>43041</v>
      </c>
      <c r="J1066" s="254" t="s">
        <v>5160</v>
      </c>
    </row>
    <row r="1067" spans="1:10" ht="15" customHeight="1" x14ac:dyDescent="0.45">
      <c r="A1067" s="240">
        <v>1098</v>
      </c>
      <c r="B1067" s="241" t="s">
        <v>5839</v>
      </c>
      <c r="C1067" s="241" t="s">
        <v>4992</v>
      </c>
      <c r="D1067" s="241" t="s">
        <v>5729</v>
      </c>
      <c r="E1067" s="241">
        <v>0</v>
      </c>
      <c r="F1067" s="252">
        <v>43034</v>
      </c>
      <c r="G1067" s="261">
        <f ca="1">IF(ISBLANK(I1067),TODAY()-F1067,I1067-F1067)</f>
        <v>7</v>
      </c>
      <c r="H1067" s="253" t="s">
        <v>5493</v>
      </c>
      <c r="I1067" s="228">
        <v>43041</v>
      </c>
      <c r="J1067" s="254" t="s">
        <v>5160</v>
      </c>
    </row>
    <row r="1068" spans="1:10" ht="15" customHeight="1" x14ac:dyDescent="0.45">
      <c r="A1068" s="240">
        <v>1099</v>
      </c>
      <c r="B1068" s="241" t="s">
        <v>5839</v>
      </c>
      <c r="C1068" s="241" t="s">
        <v>5727</v>
      </c>
      <c r="D1068" s="241" t="s">
        <v>5728</v>
      </c>
      <c r="E1068" s="241">
        <v>0</v>
      </c>
      <c r="F1068" s="252">
        <v>43034</v>
      </c>
      <c r="G1068" s="261">
        <f ca="1">IF(ISBLANK(I1068),TODAY()-F1068,I1068-F1068)</f>
        <v>7</v>
      </c>
      <c r="H1068" s="253" t="s">
        <v>5493</v>
      </c>
      <c r="I1068" s="228">
        <v>43041</v>
      </c>
      <c r="J1068" s="254" t="s">
        <v>5160</v>
      </c>
    </row>
    <row r="1069" spans="1:10" ht="15" customHeight="1" x14ac:dyDescent="0.45">
      <c r="A1069" s="240">
        <v>1100</v>
      </c>
      <c r="B1069" s="241" t="s">
        <v>5839</v>
      </c>
      <c r="C1069" s="241" t="s">
        <v>4995</v>
      </c>
      <c r="D1069" s="241" t="s">
        <v>5731</v>
      </c>
      <c r="E1069" s="241">
        <v>0</v>
      </c>
      <c r="F1069" s="340">
        <v>43034</v>
      </c>
      <c r="G1069" s="261">
        <f ca="1">IF(ISBLANK(I1069),TODAY()-F1069,I1069-F1069)</f>
        <v>7</v>
      </c>
      <c r="H1069" s="253" t="s">
        <v>5493</v>
      </c>
      <c r="I1069" s="228">
        <v>43041</v>
      </c>
      <c r="J1069" s="254" t="s">
        <v>5160</v>
      </c>
    </row>
    <row r="1070" spans="1:10" ht="15" customHeight="1" x14ac:dyDescent="0.45">
      <c r="A1070" s="240">
        <v>1101</v>
      </c>
      <c r="B1070" s="241" t="s">
        <v>1336</v>
      </c>
      <c r="C1070" s="241" t="s">
        <v>1333</v>
      </c>
      <c r="D1070" s="241" t="s">
        <v>1335</v>
      </c>
      <c r="E1070" s="241">
        <v>0</v>
      </c>
      <c r="F1070" s="340">
        <v>43034</v>
      </c>
      <c r="G1070" s="261">
        <f ca="1">IF(ISBLANK(I1070),TODAY()-F1070,I1070-F1070)</f>
        <v>7</v>
      </c>
      <c r="H1070" s="253" t="s">
        <v>64</v>
      </c>
      <c r="I1070" s="228">
        <v>43041</v>
      </c>
      <c r="J1070" s="254" t="s">
        <v>5160</v>
      </c>
    </row>
    <row r="1071" spans="1:10" ht="15" customHeight="1" x14ac:dyDescent="0.45">
      <c r="A1071" s="240">
        <v>1103</v>
      </c>
      <c r="B1071" s="241" t="s">
        <v>1654</v>
      </c>
      <c r="C1071" s="241" t="s">
        <v>1651</v>
      </c>
      <c r="D1071" s="241" t="s">
        <v>1653</v>
      </c>
      <c r="E1071" s="241">
        <v>0</v>
      </c>
      <c r="F1071" s="340">
        <v>43034</v>
      </c>
      <c r="G1071" s="261">
        <f ca="1">IF(ISBLANK(I1071),TODAY()-F1071,I1071-F1071)</f>
        <v>7</v>
      </c>
      <c r="H1071" s="253" t="s">
        <v>64</v>
      </c>
      <c r="I1071" s="228">
        <v>43041</v>
      </c>
      <c r="J1071" s="254" t="s">
        <v>5160</v>
      </c>
    </row>
    <row r="1072" spans="1:10" ht="15" customHeight="1" x14ac:dyDescent="0.45">
      <c r="A1072" s="225">
        <v>1110</v>
      </c>
      <c r="B1072" s="226" t="s">
        <v>1341</v>
      </c>
      <c r="C1072" s="226" t="s">
        <v>1338</v>
      </c>
      <c r="D1072" s="226" t="s">
        <v>1340</v>
      </c>
      <c r="E1072" s="226">
        <v>0</v>
      </c>
      <c r="F1072" s="340">
        <v>43034</v>
      </c>
      <c r="G1072" s="261">
        <f ca="1">IF(ISBLANK(I1072),TODAY()-F1072,I1072-F1072)</f>
        <v>7</v>
      </c>
      <c r="H1072" s="253" t="s">
        <v>64</v>
      </c>
      <c r="I1072" s="228">
        <v>43041</v>
      </c>
      <c r="J1072" s="254" t="s">
        <v>5160</v>
      </c>
    </row>
    <row r="1073" spans="1:10" ht="15" customHeight="1" x14ac:dyDescent="0.45">
      <c r="A1073" s="225">
        <v>1113</v>
      </c>
      <c r="B1073" s="226" t="s">
        <v>729</v>
      </c>
      <c r="C1073" s="226" t="s">
        <v>762</v>
      </c>
      <c r="D1073" s="226" t="s">
        <v>764</v>
      </c>
      <c r="E1073" s="226">
        <v>0</v>
      </c>
      <c r="F1073" s="340">
        <v>43034</v>
      </c>
      <c r="G1073" s="261">
        <f ca="1">IF(ISBLANK(I1073),TODAY()-F1073,I1073-F1073)</f>
        <v>7</v>
      </c>
      <c r="H1073" s="253" t="s">
        <v>64</v>
      </c>
      <c r="I1073" s="228">
        <v>43041</v>
      </c>
      <c r="J1073" s="254" t="s">
        <v>5160</v>
      </c>
    </row>
    <row r="1074" spans="1:10" ht="15" customHeight="1" x14ac:dyDescent="0.45">
      <c r="A1074" s="225">
        <v>1114</v>
      </c>
      <c r="B1074" s="226" t="s">
        <v>729</v>
      </c>
      <c r="C1074" s="226" t="s">
        <v>726</v>
      </c>
      <c r="D1074" s="226" t="s">
        <v>728</v>
      </c>
      <c r="E1074" s="226">
        <v>0</v>
      </c>
      <c r="F1074" s="340">
        <v>43034</v>
      </c>
      <c r="G1074" s="261">
        <f ca="1">IF(ISBLANK(I1074),TODAY()-F1074,I1074-F1074)</f>
        <v>7</v>
      </c>
      <c r="H1074" s="253" t="s">
        <v>64</v>
      </c>
      <c r="I1074" s="228">
        <v>43041</v>
      </c>
      <c r="J1074" s="254" t="s">
        <v>5160</v>
      </c>
    </row>
    <row r="1075" spans="1:10" ht="15" customHeight="1" x14ac:dyDescent="0.45">
      <c r="A1075" s="225">
        <v>1118</v>
      </c>
      <c r="B1075" s="226" t="s">
        <v>5845</v>
      </c>
      <c r="C1075" s="226" t="s">
        <v>1907</v>
      </c>
      <c r="D1075" s="226" t="s">
        <v>1909</v>
      </c>
      <c r="E1075" s="226">
        <v>0</v>
      </c>
      <c r="F1075" s="340">
        <v>43034</v>
      </c>
      <c r="G1075" s="261">
        <f ca="1">IF(ISBLANK(I1075),TODAY()-F1075,I1075-F1075)</f>
        <v>7</v>
      </c>
      <c r="H1075" s="253" t="s">
        <v>64</v>
      </c>
      <c r="I1075" s="228">
        <v>43041</v>
      </c>
      <c r="J1075" s="254" t="s">
        <v>5160</v>
      </c>
    </row>
    <row r="1076" spans="1:10" ht="15" customHeight="1" x14ac:dyDescent="0.45">
      <c r="A1076" s="225">
        <v>1119</v>
      </c>
      <c r="B1076" s="226" t="s">
        <v>1744</v>
      </c>
      <c r="C1076" s="226" t="s">
        <v>1749</v>
      </c>
      <c r="D1076" s="226" t="s">
        <v>1751</v>
      </c>
      <c r="E1076" s="226">
        <v>0</v>
      </c>
      <c r="F1076" s="340">
        <v>43034</v>
      </c>
      <c r="G1076" s="261">
        <f ca="1">IF(ISBLANK(I1076),TODAY()-F1076,I1076-F1076)</f>
        <v>7</v>
      </c>
      <c r="H1076" s="253" t="s">
        <v>5493</v>
      </c>
      <c r="I1076" s="228">
        <v>43041</v>
      </c>
      <c r="J1076" s="254" t="s">
        <v>5160</v>
      </c>
    </row>
    <row r="1077" spans="1:10" ht="15" customHeight="1" x14ac:dyDescent="0.45">
      <c r="A1077" s="225">
        <v>1120</v>
      </c>
      <c r="B1077" s="226" t="s">
        <v>1744</v>
      </c>
      <c r="C1077" s="226" t="s">
        <v>1741</v>
      </c>
      <c r="D1077" s="226" t="s">
        <v>1743</v>
      </c>
      <c r="E1077" s="226">
        <v>0</v>
      </c>
      <c r="F1077" s="340">
        <v>43034</v>
      </c>
      <c r="G1077" s="261">
        <f ca="1">IF(ISBLANK(I1077),TODAY()-F1077,I1077-F1077)</f>
        <v>7</v>
      </c>
      <c r="H1077" s="253" t="s">
        <v>5493</v>
      </c>
      <c r="I1077" s="228">
        <v>43041</v>
      </c>
      <c r="J1077" s="254" t="s">
        <v>5160</v>
      </c>
    </row>
    <row r="1078" spans="1:10" ht="15" customHeight="1" x14ac:dyDescent="0.45">
      <c r="A1078" s="225">
        <v>1127</v>
      </c>
      <c r="B1078" s="226" t="s">
        <v>684</v>
      </c>
      <c r="C1078" s="226" t="s">
        <v>690</v>
      </c>
      <c r="D1078" s="226" t="s">
        <v>692</v>
      </c>
      <c r="E1078" s="226">
        <v>0</v>
      </c>
      <c r="F1078" s="340">
        <v>43034</v>
      </c>
      <c r="G1078" s="261">
        <f ca="1">IF(ISBLANK(I1078),TODAY()-F1078,I1078-F1078)</f>
        <v>7</v>
      </c>
      <c r="H1078" s="253" t="s">
        <v>64</v>
      </c>
      <c r="I1078" s="228">
        <v>43041</v>
      </c>
      <c r="J1078" s="254" t="s">
        <v>5160</v>
      </c>
    </row>
    <row r="1079" spans="1:10" ht="15" customHeight="1" x14ac:dyDescent="0.45">
      <c r="A1079" s="225">
        <v>1128</v>
      </c>
      <c r="B1079" s="226" t="s">
        <v>684</v>
      </c>
      <c r="C1079" s="226" t="s">
        <v>681</v>
      </c>
      <c r="D1079" s="226" t="s">
        <v>683</v>
      </c>
      <c r="E1079" s="226">
        <v>0</v>
      </c>
      <c r="F1079" s="340">
        <v>43034</v>
      </c>
      <c r="G1079" s="261">
        <f ca="1">IF(ISBLANK(I1079),TODAY()-F1079,I1079-F1079)</f>
        <v>7</v>
      </c>
      <c r="H1079" s="253" t="s">
        <v>64</v>
      </c>
      <c r="I1079" s="228">
        <v>43041</v>
      </c>
      <c r="J1079" s="254" t="s">
        <v>5160</v>
      </c>
    </row>
    <row r="1080" spans="1:10" ht="15" customHeight="1" x14ac:dyDescent="0.45">
      <c r="A1080" s="240">
        <v>1027</v>
      </c>
      <c r="B1080" s="241" t="s">
        <v>5820</v>
      </c>
      <c r="C1080" s="241" t="s">
        <v>2167</v>
      </c>
      <c r="D1080" s="241" t="s">
        <v>2169</v>
      </c>
      <c r="E1080" s="241" t="s">
        <v>164</v>
      </c>
      <c r="F1080" s="341">
        <v>43038</v>
      </c>
      <c r="G1080" s="261">
        <f ca="1">IF(ISBLANK(I1080),TODAY()-F1080,I1080-F1080)</f>
        <v>14</v>
      </c>
      <c r="H1080" s="233" t="s">
        <v>5296</v>
      </c>
      <c r="I1080" s="153">
        <v>43052</v>
      </c>
      <c r="J1080" s="231" t="s">
        <v>5051</v>
      </c>
    </row>
    <row r="1081" spans="1:10" ht="15" customHeight="1" x14ac:dyDescent="0.45">
      <c r="A1081" s="240">
        <v>1028</v>
      </c>
      <c r="B1081" s="241" t="s">
        <v>5820</v>
      </c>
      <c r="C1081" s="241" t="s">
        <v>2098</v>
      </c>
      <c r="D1081" s="241" t="s">
        <v>2100</v>
      </c>
      <c r="E1081" s="241" t="s">
        <v>164</v>
      </c>
      <c r="F1081" s="341">
        <v>43038</v>
      </c>
      <c r="G1081" s="261">
        <f ca="1">IF(ISBLANK(I1081),TODAY()-F1081,I1081-F1081)</f>
        <v>14</v>
      </c>
      <c r="H1081" s="233" t="s">
        <v>5296</v>
      </c>
      <c r="I1081" s="153">
        <v>43052</v>
      </c>
      <c r="J1081" s="231" t="s">
        <v>5051</v>
      </c>
    </row>
    <row r="1082" spans="1:10" ht="15" customHeight="1" x14ac:dyDescent="0.45">
      <c r="A1082" s="240">
        <v>1029</v>
      </c>
      <c r="B1082" s="241" t="s">
        <v>5820</v>
      </c>
      <c r="C1082" s="241" t="s">
        <v>2127</v>
      </c>
      <c r="D1082" s="241" t="s">
        <v>2129</v>
      </c>
      <c r="E1082" s="241" t="s">
        <v>164</v>
      </c>
      <c r="F1082" s="131">
        <v>43038</v>
      </c>
      <c r="G1082" s="261">
        <f ca="1">IF(ISBLANK(I1082),TODAY()-F1082,I1082-F1082)</f>
        <v>14</v>
      </c>
      <c r="H1082" s="233" t="s">
        <v>5296</v>
      </c>
      <c r="I1082" s="153">
        <v>43052</v>
      </c>
      <c r="J1082" s="231" t="s">
        <v>5113</v>
      </c>
    </row>
    <row r="1083" spans="1:10" ht="15" customHeight="1" x14ac:dyDescent="0.45">
      <c r="A1083" s="240">
        <v>1030</v>
      </c>
      <c r="B1083" s="241" t="s">
        <v>5820</v>
      </c>
      <c r="C1083" s="241" t="s">
        <v>2135</v>
      </c>
      <c r="D1083" s="241" t="s">
        <v>2137</v>
      </c>
      <c r="E1083" s="241" t="s">
        <v>164</v>
      </c>
      <c r="F1083" s="131">
        <v>43038</v>
      </c>
      <c r="G1083" s="261">
        <f ca="1">IF(ISBLANK(I1083),TODAY()-F1083,I1083-F1083)</f>
        <v>14</v>
      </c>
      <c r="H1083" s="233" t="s">
        <v>5296</v>
      </c>
      <c r="I1083" s="153">
        <v>43052</v>
      </c>
      <c r="J1083" s="231" t="s">
        <v>5051</v>
      </c>
    </row>
    <row r="1084" spans="1:10" ht="15" customHeight="1" x14ac:dyDescent="0.45">
      <c r="A1084" s="240">
        <v>1031</v>
      </c>
      <c r="B1084" s="241" t="s">
        <v>5820</v>
      </c>
      <c r="C1084" s="241" t="s">
        <v>2131</v>
      </c>
      <c r="D1084" s="241" t="s">
        <v>2133</v>
      </c>
      <c r="E1084" s="241" t="s">
        <v>164</v>
      </c>
      <c r="F1084" s="131">
        <v>43038</v>
      </c>
      <c r="G1084" s="261">
        <f ca="1">IF(ISBLANK(I1084),TODAY()-F1084,I1084-F1084)</f>
        <v>14</v>
      </c>
      <c r="H1084" s="233" t="s">
        <v>5296</v>
      </c>
      <c r="I1084" s="153">
        <v>43052</v>
      </c>
      <c r="J1084" s="231" t="s">
        <v>5051</v>
      </c>
    </row>
    <row r="1085" spans="1:10" ht="15" customHeight="1" x14ac:dyDescent="0.45">
      <c r="A1085" s="240">
        <v>1032</v>
      </c>
      <c r="B1085" s="241" t="s">
        <v>5821</v>
      </c>
      <c r="C1085" s="241" t="s">
        <v>971</v>
      </c>
      <c r="D1085" s="241" t="s">
        <v>973</v>
      </c>
      <c r="E1085" s="241" t="s">
        <v>160</v>
      </c>
      <c r="F1085" s="341">
        <v>43038</v>
      </c>
      <c r="G1085" s="261">
        <f ca="1">IF(ISBLANK(I1085),TODAY()-F1085,I1085-F1085)</f>
        <v>28</v>
      </c>
      <c r="H1085" s="233" t="s">
        <v>5296</v>
      </c>
      <c r="I1085" s="153">
        <v>43066</v>
      </c>
      <c r="J1085" s="231" t="s">
        <v>5113</v>
      </c>
    </row>
    <row r="1086" spans="1:10" ht="15" customHeight="1" x14ac:dyDescent="0.45">
      <c r="A1086" s="240">
        <v>1033</v>
      </c>
      <c r="B1086" s="241" t="s">
        <v>5821</v>
      </c>
      <c r="C1086" s="241" t="s">
        <v>995</v>
      </c>
      <c r="D1086" s="241" t="s">
        <v>997</v>
      </c>
      <c r="E1086" s="241" t="s">
        <v>160</v>
      </c>
      <c r="F1086" s="341">
        <v>43038</v>
      </c>
      <c r="G1086" s="261">
        <f ca="1">IF(ISBLANK(I1086),TODAY()-F1086,I1086-F1086)</f>
        <v>28</v>
      </c>
      <c r="H1086" s="233" t="s">
        <v>5296</v>
      </c>
      <c r="I1086" s="153">
        <v>43066</v>
      </c>
      <c r="J1086" s="231" t="s">
        <v>5113</v>
      </c>
    </row>
    <row r="1087" spans="1:10" ht="15" customHeight="1" x14ac:dyDescent="0.45">
      <c r="A1087" s="240">
        <v>1034</v>
      </c>
      <c r="B1087" s="241" t="s">
        <v>5822</v>
      </c>
      <c r="C1087" s="241" t="s">
        <v>618</v>
      </c>
      <c r="D1087" s="241" t="s">
        <v>620</v>
      </c>
      <c r="E1087" s="241" t="s">
        <v>160</v>
      </c>
      <c r="F1087" s="131">
        <v>43038</v>
      </c>
      <c r="G1087" s="261">
        <f ca="1">IF(ISBLANK(I1087),TODAY()-F1087,I1087-F1087)</f>
        <v>3</v>
      </c>
      <c r="H1087" s="262" t="s">
        <v>65</v>
      </c>
      <c r="I1087" s="153">
        <v>43041</v>
      </c>
      <c r="J1087" s="263" t="s">
        <v>5160</v>
      </c>
    </row>
    <row r="1088" spans="1:10" ht="15" customHeight="1" x14ac:dyDescent="0.45">
      <c r="A1088" s="225">
        <v>1041</v>
      </c>
      <c r="B1088" s="226" t="s">
        <v>5823</v>
      </c>
      <c r="C1088" s="226" t="s">
        <v>1089</v>
      </c>
      <c r="D1088" s="226" t="s">
        <v>1091</v>
      </c>
      <c r="E1088" s="226" t="s">
        <v>65</v>
      </c>
      <c r="F1088" s="341">
        <v>43038</v>
      </c>
      <c r="G1088" s="261">
        <f ca="1">IF(ISBLANK(I1088),TODAY()-F1088,I1088-F1088)</f>
        <v>53</v>
      </c>
      <c r="H1088" s="233" t="s">
        <v>5296</v>
      </c>
      <c r="I1088" s="153">
        <v>43091</v>
      </c>
      <c r="J1088" s="231" t="s">
        <v>5113</v>
      </c>
    </row>
    <row r="1089" spans="1:10" ht="15" customHeight="1" x14ac:dyDescent="0.45">
      <c r="A1089" s="225">
        <v>1042</v>
      </c>
      <c r="B1089" s="226" t="s">
        <v>5823</v>
      </c>
      <c r="C1089" s="226" t="s">
        <v>1081</v>
      </c>
      <c r="D1089" s="226" t="s">
        <v>1083</v>
      </c>
      <c r="E1089" s="226" t="s">
        <v>65</v>
      </c>
      <c r="F1089" s="341">
        <v>43038</v>
      </c>
      <c r="G1089" s="261">
        <f ca="1">IF(ISBLANK(I1089),TODAY()-F1089,I1089-F1089)</f>
        <v>53</v>
      </c>
      <c r="H1089" s="233" t="s">
        <v>5296</v>
      </c>
      <c r="I1089" s="153">
        <v>43091</v>
      </c>
      <c r="J1089" s="231" t="s">
        <v>5113</v>
      </c>
    </row>
    <row r="1090" spans="1:10" ht="15" customHeight="1" x14ac:dyDescent="0.45">
      <c r="A1090" s="225">
        <v>1043</v>
      </c>
      <c r="B1090" s="226" t="s">
        <v>5823</v>
      </c>
      <c r="C1090" s="226" t="s">
        <v>1085</v>
      </c>
      <c r="D1090" s="226" t="s">
        <v>1087</v>
      </c>
      <c r="E1090" s="226" t="s">
        <v>65</v>
      </c>
      <c r="F1090" s="341">
        <v>43038</v>
      </c>
      <c r="G1090" s="261">
        <f ca="1">IF(ISBLANK(I1090),TODAY()-F1090,I1090-F1090)</f>
        <v>53</v>
      </c>
      <c r="H1090" s="233" t="s">
        <v>5296</v>
      </c>
      <c r="I1090" s="153">
        <v>43091</v>
      </c>
      <c r="J1090" s="231" t="s">
        <v>5113</v>
      </c>
    </row>
    <row r="1091" spans="1:10" ht="15" customHeight="1" x14ac:dyDescent="0.45">
      <c r="A1091" s="225">
        <v>1044</v>
      </c>
      <c r="B1091" s="226" t="s">
        <v>5823</v>
      </c>
      <c r="C1091" s="226" t="s">
        <v>1077</v>
      </c>
      <c r="D1091" s="226" t="s">
        <v>1079</v>
      </c>
      <c r="E1091" s="226" t="s">
        <v>65</v>
      </c>
      <c r="F1091" s="341">
        <v>43038</v>
      </c>
      <c r="G1091" s="261">
        <f ca="1">IF(ISBLANK(I1091),TODAY()-F1091,I1091-F1091)</f>
        <v>53</v>
      </c>
      <c r="H1091" s="233" t="s">
        <v>5296</v>
      </c>
      <c r="I1091" s="153">
        <v>43091</v>
      </c>
      <c r="J1091" s="231" t="s">
        <v>5113</v>
      </c>
    </row>
    <row r="1092" spans="1:10" ht="15" customHeight="1" x14ac:dyDescent="0.45">
      <c r="A1092" s="225">
        <v>1045</v>
      </c>
      <c r="B1092" s="226" t="s">
        <v>5823</v>
      </c>
      <c r="C1092" s="226" t="s">
        <v>1072</v>
      </c>
      <c r="D1092" s="226" t="s">
        <v>1074</v>
      </c>
      <c r="E1092" s="226" t="s">
        <v>65</v>
      </c>
      <c r="F1092" s="341">
        <v>43038</v>
      </c>
      <c r="G1092" s="261">
        <f ca="1">IF(ISBLANK(I1092),TODAY()-F1092,I1092-F1092)</f>
        <v>53</v>
      </c>
      <c r="H1092" s="233" t="s">
        <v>5296</v>
      </c>
      <c r="I1092" s="153">
        <v>43091</v>
      </c>
      <c r="J1092" s="231" t="s">
        <v>5113</v>
      </c>
    </row>
    <row r="1093" spans="1:10" ht="15" customHeight="1" x14ac:dyDescent="0.45">
      <c r="A1093" s="225">
        <v>1050</v>
      </c>
      <c r="B1093" s="226" t="s">
        <v>5824</v>
      </c>
      <c r="C1093" s="226" t="s">
        <v>1630</v>
      </c>
      <c r="D1093" s="226" t="s">
        <v>1632</v>
      </c>
      <c r="E1093" s="226" t="s">
        <v>164</v>
      </c>
      <c r="F1093" s="341">
        <v>43038</v>
      </c>
      <c r="G1093" s="261">
        <f ca="1">IF(ISBLANK(I1093),TODAY()-F1093,I1093-F1093)</f>
        <v>3</v>
      </c>
      <c r="H1093" s="262" t="s">
        <v>2702</v>
      </c>
      <c r="I1093" s="153">
        <v>43041</v>
      </c>
      <c r="J1093" s="263" t="s">
        <v>5160</v>
      </c>
    </row>
    <row r="1094" spans="1:10" ht="15" customHeight="1" x14ac:dyDescent="0.45">
      <c r="A1094" s="225">
        <v>1051</v>
      </c>
      <c r="B1094" s="226" t="s">
        <v>5825</v>
      </c>
      <c r="C1094" s="226" t="s">
        <v>1546</v>
      </c>
      <c r="D1094" s="226" t="s">
        <v>1548</v>
      </c>
      <c r="E1094" s="226" t="s">
        <v>65</v>
      </c>
      <c r="F1094" s="341">
        <v>43038</v>
      </c>
      <c r="G1094" s="261">
        <f ca="1">IF(ISBLANK(I1094),TODAY()-F1094,I1094-F1094)</f>
        <v>3</v>
      </c>
      <c r="H1094" s="262" t="s">
        <v>65</v>
      </c>
      <c r="I1094" s="153">
        <v>43041</v>
      </c>
      <c r="J1094" s="263" t="s">
        <v>5160</v>
      </c>
    </row>
    <row r="1095" spans="1:10" ht="15" customHeight="1" x14ac:dyDescent="0.45">
      <c r="A1095" s="225">
        <v>1059</v>
      </c>
      <c r="B1095" s="226" t="s">
        <v>5827</v>
      </c>
      <c r="C1095" s="226" t="s">
        <v>1106</v>
      </c>
      <c r="D1095" s="226" t="s">
        <v>1108</v>
      </c>
      <c r="E1095" s="226" t="s">
        <v>65</v>
      </c>
      <c r="F1095" s="341">
        <v>43038</v>
      </c>
      <c r="G1095" s="261">
        <f ca="1">IF(ISBLANK(I1095),TODAY()-F1095,I1095-F1095)</f>
        <v>28</v>
      </c>
      <c r="H1095" s="262" t="s">
        <v>5296</v>
      </c>
      <c r="I1095" s="153">
        <v>43066</v>
      </c>
      <c r="J1095" s="263" t="s">
        <v>5113</v>
      </c>
    </row>
    <row r="1096" spans="1:10" ht="15" customHeight="1" x14ac:dyDescent="0.45">
      <c r="A1096" s="225">
        <v>1060</v>
      </c>
      <c r="B1096" s="226" t="s">
        <v>5827</v>
      </c>
      <c r="C1096" s="226" t="s">
        <v>1102</v>
      </c>
      <c r="D1096" s="226" t="s">
        <v>1104</v>
      </c>
      <c r="E1096" s="226" t="s">
        <v>65</v>
      </c>
      <c r="F1096" s="341">
        <v>43038</v>
      </c>
      <c r="G1096" s="261">
        <f ca="1">IF(ISBLANK(I1096),TODAY()-F1096,I1096-F1096)</f>
        <v>28</v>
      </c>
      <c r="H1096" s="262" t="s">
        <v>5296</v>
      </c>
      <c r="I1096" s="153">
        <v>43066</v>
      </c>
      <c r="J1096" s="263" t="s">
        <v>5113</v>
      </c>
    </row>
    <row r="1097" spans="1:10" ht="15" customHeight="1" x14ac:dyDescent="0.45">
      <c r="A1097" s="225">
        <v>1061</v>
      </c>
      <c r="B1097" s="226" t="s">
        <v>5827</v>
      </c>
      <c r="C1097" s="226" t="s">
        <v>1098</v>
      </c>
      <c r="D1097" s="226" t="s">
        <v>1100</v>
      </c>
      <c r="E1097" s="226" t="s">
        <v>65</v>
      </c>
      <c r="F1097" s="341">
        <v>43038</v>
      </c>
      <c r="G1097" s="261">
        <f ca="1">IF(ISBLANK(I1097),TODAY()-F1097,I1097-F1097)</f>
        <v>28</v>
      </c>
      <c r="H1097" s="262" t="s">
        <v>5296</v>
      </c>
      <c r="I1097" s="153">
        <v>43066</v>
      </c>
      <c r="J1097" s="263" t="s">
        <v>5113</v>
      </c>
    </row>
    <row r="1098" spans="1:10" ht="15" customHeight="1" x14ac:dyDescent="0.45">
      <c r="A1098" s="225">
        <v>1062</v>
      </c>
      <c r="B1098" s="226" t="s">
        <v>5827</v>
      </c>
      <c r="C1098" s="226" t="s">
        <v>1093</v>
      </c>
      <c r="D1098" s="226" t="s">
        <v>1095</v>
      </c>
      <c r="E1098" s="226" t="s">
        <v>65</v>
      </c>
      <c r="F1098" s="341">
        <v>43038</v>
      </c>
      <c r="G1098" s="261">
        <f ca="1">IF(ISBLANK(I1098),TODAY()-F1098,I1098-F1098)</f>
        <v>28</v>
      </c>
      <c r="H1098" s="262" t="s">
        <v>5296</v>
      </c>
      <c r="I1098" s="153">
        <v>43066</v>
      </c>
      <c r="J1098" s="263" t="s">
        <v>5113</v>
      </c>
    </row>
    <row r="1099" spans="1:10" ht="15" customHeight="1" x14ac:dyDescent="0.45">
      <c r="A1099" s="225">
        <v>1063</v>
      </c>
      <c r="B1099" s="226" t="s">
        <v>5828</v>
      </c>
      <c r="C1099" s="226" t="s">
        <v>1471</v>
      </c>
      <c r="D1099" s="226" t="s">
        <v>1473</v>
      </c>
      <c r="E1099" s="226" t="s">
        <v>65</v>
      </c>
      <c r="F1099" s="341">
        <v>43038</v>
      </c>
      <c r="G1099" s="261">
        <f ca="1">IF(ISBLANK(I1099),TODAY()-F1099,I1099-F1099)</f>
        <v>3</v>
      </c>
      <c r="H1099" s="253" t="s">
        <v>160</v>
      </c>
      <c r="I1099" s="228">
        <v>43041</v>
      </c>
      <c r="J1099" s="254" t="s">
        <v>5160</v>
      </c>
    </row>
    <row r="1100" spans="1:10" ht="15" customHeight="1" x14ac:dyDescent="0.45">
      <c r="A1100" s="225">
        <v>1066</v>
      </c>
      <c r="B1100" s="226" t="s">
        <v>5829</v>
      </c>
      <c r="C1100" s="226" t="s">
        <v>5830</v>
      </c>
      <c r="D1100" s="226" t="s">
        <v>1665</v>
      </c>
      <c r="E1100" s="226" t="s">
        <v>65</v>
      </c>
      <c r="F1100" s="341">
        <v>43038</v>
      </c>
      <c r="G1100" s="261">
        <f ca="1">IF(ISBLANK(I1100),TODAY()-F1100,I1100-F1100)</f>
        <v>94</v>
      </c>
      <c r="H1100" s="262" t="s">
        <v>5296</v>
      </c>
      <c r="I1100" s="153">
        <v>43132</v>
      </c>
      <c r="J1100" s="263" t="s">
        <v>5113</v>
      </c>
    </row>
    <row r="1101" spans="1:10" ht="15" customHeight="1" x14ac:dyDescent="0.45">
      <c r="A1101" s="225">
        <v>1067</v>
      </c>
      <c r="B1101" s="226" t="s">
        <v>5829</v>
      </c>
      <c r="C1101" s="226" t="s">
        <v>1614</v>
      </c>
      <c r="D1101" s="226" t="s">
        <v>1616</v>
      </c>
      <c r="E1101" s="226" t="s">
        <v>65</v>
      </c>
      <c r="F1101" s="341">
        <v>43038</v>
      </c>
      <c r="G1101" s="261">
        <f ca="1">IF(ISBLANK(I1101),TODAY()-F1101,I1101-F1101)</f>
        <v>3</v>
      </c>
      <c r="H1101" s="253" t="s">
        <v>65</v>
      </c>
      <c r="I1101" s="228">
        <v>43041</v>
      </c>
      <c r="J1101" s="254" t="s">
        <v>5160</v>
      </c>
    </row>
    <row r="1102" spans="1:10" ht="15" customHeight="1" x14ac:dyDescent="0.45">
      <c r="A1102" s="225">
        <v>1068</v>
      </c>
      <c r="B1102" s="226" t="s">
        <v>5831</v>
      </c>
      <c r="C1102" s="226" t="s">
        <v>1696</v>
      </c>
      <c r="D1102" s="226" t="s">
        <v>1698</v>
      </c>
      <c r="E1102" s="226" t="s">
        <v>65</v>
      </c>
      <c r="F1102" s="341">
        <v>43038</v>
      </c>
      <c r="G1102" s="261">
        <f ca="1">IF(ISBLANK(I1102),TODAY()-F1102,I1102-F1102)</f>
        <v>94</v>
      </c>
      <c r="H1102" s="262" t="s">
        <v>5296</v>
      </c>
      <c r="I1102" s="153">
        <v>43132</v>
      </c>
      <c r="J1102" s="263" t="s">
        <v>5113</v>
      </c>
    </row>
    <row r="1103" spans="1:10" ht="15" customHeight="1" x14ac:dyDescent="0.45">
      <c r="A1103" s="225">
        <v>1069</v>
      </c>
      <c r="B1103" s="226" t="s">
        <v>5831</v>
      </c>
      <c r="C1103" s="226" t="s">
        <v>1693</v>
      </c>
      <c r="D1103" s="226" t="s">
        <v>1695</v>
      </c>
      <c r="E1103" s="226" t="s">
        <v>65</v>
      </c>
      <c r="F1103" s="341">
        <v>43038</v>
      </c>
      <c r="G1103" s="261">
        <f ca="1">IF(ISBLANK(I1103),TODAY()-F1103,I1103-F1103)</f>
        <v>94</v>
      </c>
      <c r="H1103" s="262" t="s">
        <v>5296</v>
      </c>
      <c r="I1103" s="153">
        <v>43132</v>
      </c>
      <c r="J1103" s="263" t="s">
        <v>5113</v>
      </c>
    </row>
    <row r="1104" spans="1:10" ht="15" customHeight="1" x14ac:dyDescent="0.45">
      <c r="A1104" s="225">
        <v>1070</v>
      </c>
      <c r="B1104" s="226" t="s">
        <v>5831</v>
      </c>
      <c r="C1104" s="226" t="s">
        <v>1690</v>
      </c>
      <c r="D1104" s="226" t="s">
        <v>1692</v>
      </c>
      <c r="E1104" s="226" t="s">
        <v>65</v>
      </c>
      <c r="F1104" s="341">
        <v>43038</v>
      </c>
      <c r="G1104" s="261">
        <f ca="1">IF(ISBLANK(I1104),TODAY()-F1104,I1104-F1104)</f>
        <v>81</v>
      </c>
      <c r="H1104" s="262" t="s">
        <v>5296</v>
      </c>
      <c r="I1104" s="153">
        <v>43119</v>
      </c>
      <c r="J1104" s="263" t="s">
        <v>5113</v>
      </c>
    </row>
    <row r="1105" spans="1:10" ht="15" customHeight="1" x14ac:dyDescent="0.45">
      <c r="A1105" s="225">
        <v>1071</v>
      </c>
      <c r="B1105" s="226" t="s">
        <v>5831</v>
      </c>
      <c r="C1105" s="226" t="s">
        <v>1687</v>
      </c>
      <c r="D1105" s="226" t="s">
        <v>1689</v>
      </c>
      <c r="E1105" s="226" t="s">
        <v>65</v>
      </c>
      <c r="F1105" s="131">
        <v>43038</v>
      </c>
      <c r="G1105" s="261">
        <f ca="1">IF(ISBLANK(I1105),TODAY()-F1105,I1105-F1105)</f>
        <v>81</v>
      </c>
      <c r="H1105" s="262" t="s">
        <v>5296</v>
      </c>
      <c r="I1105" s="153">
        <v>43119</v>
      </c>
      <c r="J1105" s="263" t="s">
        <v>5113</v>
      </c>
    </row>
    <row r="1106" spans="1:10" ht="15" customHeight="1" x14ac:dyDescent="0.45">
      <c r="A1106" s="225">
        <v>1072</v>
      </c>
      <c r="B1106" s="226" t="s">
        <v>5831</v>
      </c>
      <c r="C1106" s="226" t="s">
        <v>2678</v>
      </c>
      <c r="D1106" s="226" t="s">
        <v>1685</v>
      </c>
      <c r="E1106" s="226" t="s">
        <v>65</v>
      </c>
      <c r="F1106" s="341">
        <v>43038</v>
      </c>
      <c r="G1106" s="261">
        <f ca="1">IF(ISBLANK(I1106),TODAY()-F1106,I1106-F1106)</f>
        <v>81</v>
      </c>
      <c r="H1106" s="262" t="s">
        <v>5296</v>
      </c>
      <c r="I1106" s="153">
        <v>43119</v>
      </c>
      <c r="J1106" s="263" t="s">
        <v>5113</v>
      </c>
    </row>
    <row r="1107" spans="1:10" ht="15" customHeight="1" x14ac:dyDescent="0.45">
      <c r="A1107" s="240">
        <v>1073</v>
      </c>
      <c r="B1107" s="241" t="s">
        <v>5831</v>
      </c>
      <c r="C1107" s="241" t="s">
        <v>1681</v>
      </c>
      <c r="D1107" s="241" t="s">
        <v>1683</v>
      </c>
      <c r="E1107" s="241" t="s">
        <v>65</v>
      </c>
      <c r="F1107" s="131">
        <v>43038</v>
      </c>
      <c r="G1107" s="261">
        <f ca="1">IF(ISBLANK(I1107),TODAY()-F1107,I1107-F1107)</f>
        <v>84</v>
      </c>
      <c r="H1107" s="262" t="s">
        <v>5296</v>
      </c>
      <c r="I1107" s="153">
        <v>43122</v>
      </c>
      <c r="J1107" s="263" t="s">
        <v>5113</v>
      </c>
    </row>
    <row r="1108" spans="1:10" ht="15" customHeight="1" x14ac:dyDescent="0.45">
      <c r="A1108" s="240">
        <v>1074</v>
      </c>
      <c r="B1108" s="241" t="s">
        <v>5832</v>
      </c>
      <c r="C1108" s="241" t="s">
        <v>375</v>
      </c>
      <c r="D1108" s="241" t="s">
        <v>5833</v>
      </c>
      <c r="E1108" s="241" t="s">
        <v>160</v>
      </c>
      <c r="F1108" s="131">
        <v>43038</v>
      </c>
      <c r="G1108" s="261">
        <f ca="1">IF(ISBLANK(I1108),TODAY()-F1108,I1108-F1108)</f>
        <v>28</v>
      </c>
      <c r="H1108" s="262" t="s">
        <v>5296</v>
      </c>
      <c r="I1108" s="153">
        <v>43066</v>
      </c>
      <c r="J1108" s="263" t="s">
        <v>5051</v>
      </c>
    </row>
    <row r="1109" spans="1:10" ht="15" customHeight="1" x14ac:dyDescent="0.45">
      <c r="A1109" s="240">
        <v>1075</v>
      </c>
      <c r="B1109" s="241" t="s">
        <v>5832</v>
      </c>
      <c r="C1109" s="241" t="s">
        <v>354</v>
      </c>
      <c r="D1109" s="241" t="s">
        <v>356</v>
      </c>
      <c r="E1109" s="241" t="s">
        <v>160</v>
      </c>
      <c r="F1109" s="131">
        <v>43038</v>
      </c>
      <c r="G1109" s="261">
        <f ca="1">IF(ISBLANK(I1109),TODAY()-F1109,I1109-F1109)</f>
        <v>28</v>
      </c>
      <c r="H1109" s="262" t="s">
        <v>5296</v>
      </c>
      <c r="I1109" s="153">
        <v>43066</v>
      </c>
      <c r="J1109" s="263" t="s">
        <v>5113</v>
      </c>
    </row>
    <row r="1110" spans="1:10" ht="15" customHeight="1" x14ac:dyDescent="0.45">
      <c r="A1110" s="240">
        <v>1076</v>
      </c>
      <c r="B1110" s="241" t="s">
        <v>5832</v>
      </c>
      <c r="C1110" s="241" t="s">
        <v>371</v>
      </c>
      <c r="D1110" s="241" t="s">
        <v>373</v>
      </c>
      <c r="E1110" s="241" t="s">
        <v>160</v>
      </c>
      <c r="F1110" s="131">
        <v>43038</v>
      </c>
      <c r="G1110" s="261">
        <f ca="1">IF(ISBLANK(I1110),TODAY()-F1110,I1110-F1110)</f>
        <v>3</v>
      </c>
      <c r="H1110" s="253" t="s">
        <v>65</v>
      </c>
      <c r="I1110" s="228">
        <v>43041</v>
      </c>
      <c r="J1110" s="254" t="s">
        <v>5160</v>
      </c>
    </row>
    <row r="1111" spans="1:10" ht="15" customHeight="1" x14ac:dyDescent="0.45">
      <c r="A1111" s="225">
        <v>1079</v>
      </c>
      <c r="B1111" s="226" t="s">
        <v>5834</v>
      </c>
      <c r="C1111" s="226" t="s">
        <v>363</v>
      </c>
      <c r="D1111" s="226" t="s">
        <v>365</v>
      </c>
      <c r="E1111" s="226" t="s">
        <v>5003</v>
      </c>
      <c r="F1111" s="131">
        <v>43038</v>
      </c>
      <c r="G1111" s="261">
        <f ca="1">IF(ISBLANK(I1111),TODAY()-F1111,I1111-F1111)</f>
        <v>3</v>
      </c>
      <c r="H1111" s="253" t="s">
        <v>65</v>
      </c>
      <c r="I1111" s="228">
        <v>43041</v>
      </c>
      <c r="J1111" s="254" t="s">
        <v>5160</v>
      </c>
    </row>
    <row r="1112" spans="1:10" ht="15" customHeight="1" x14ac:dyDescent="0.45">
      <c r="A1112" s="225">
        <v>1080</v>
      </c>
      <c r="B1112" s="226" t="s">
        <v>5835</v>
      </c>
      <c r="C1112" s="226" t="s">
        <v>1976</v>
      </c>
      <c r="D1112" s="226" t="s">
        <v>1978</v>
      </c>
      <c r="E1112" s="226" t="s">
        <v>160</v>
      </c>
      <c r="F1112" s="131">
        <v>43038</v>
      </c>
      <c r="G1112" s="261">
        <f ca="1">IF(ISBLANK(I1112),TODAY()-F1112,I1112-F1112)</f>
        <v>21</v>
      </c>
      <c r="H1112" s="262" t="s">
        <v>5296</v>
      </c>
      <c r="I1112" s="153">
        <v>43059</v>
      </c>
      <c r="J1112" s="263" t="s">
        <v>5113</v>
      </c>
    </row>
    <row r="1113" spans="1:10" ht="15" customHeight="1" x14ac:dyDescent="0.45">
      <c r="A1113" s="225">
        <v>1081</v>
      </c>
      <c r="B1113" s="226" t="s">
        <v>5835</v>
      </c>
      <c r="C1113" s="226" t="s">
        <v>1885</v>
      </c>
      <c r="D1113" s="226" t="s">
        <v>1887</v>
      </c>
      <c r="E1113" s="226" t="s">
        <v>160</v>
      </c>
      <c r="F1113" s="341">
        <v>43038</v>
      </c>
      <c r="G1113" s="261">
        <f ca="1">IF(ISBLANK(I1113),TODAY()-F1113,I1113-F1113)</f>
        <v>14</v>
      </c>
      <c r="H1113" s="267" t="s">
        <v>5296</v>
      </c>
      <c r="I1113" s="153">
        <v>43052</v>
      </c>
      <c r="J1113" s="263" t="s">
        <v>5113</v>
      </c>
    </row>
    <row r="1114" spans="1:10" ht="15" customHeight="1" x14ac:dyDescent="0.45">
      <c r="A1114" s="225">
        <v>1084</v>
      </c>
      <c r="B1114" s="226" t="s">
        <v>5836</v>
      </c>
      <c r="C1114" s="226" t="s">
        <v>2218</v>
      </c>
      <c r="D1114" s="226" t="s">
        <v>2220</v>
      </c>
      <c r="E1114" s="226" t="s">
        <v>65</v>
      </c>
      <c r="F1114" s="131">
        <v>43038</v>
      </c>
      <c r="G1114" s="261">
        <f ca="1">IF(ISBLANK(I1114),TODAY()-F1114,I1114-F1114)</f>
        <v>3</v>
      </c>
      <c r="H1114" s="253" t="s">
        <v>5003</v>
      </c>
      <c r="I1114" s="228">
        <v>43041</v>
      </c>
      <c r="J1114" s="254" t="s">
        <v>5113</v>
      </c>
    </row>
    <row r="1115" spans="1:10" ht="15" customHeight="1" x14ac:dyDescent="0.45">
      <c r="A1115" s="240">
        <v>1102</v>
      </c>
      <c r="B1115" s="241" t="s">
        <v>5840</v>
      </c>
      <c r="C1115" s="241" t="s">
        <v>669</v>
      </c>
      <c r="D1115" s="241" t="s">
        <v>671</v>
      </c>
      <c r="E1115" s="241" t="s">
        <v>164</v>
      </c>
      <c r="F1115" s="131">
        <v>43038</v>
      </c>
      <c r="G1115" s="261">
        <f ca="1">IF(ISBLANK(I1115),TODAY()-F1115,I1115-F1115)</f>
        <v>28</v>
      </c>
      <c r="H1115" s="267" t="s">
        <v>5296</v>
      </c>
      <c r="I1115" s="153">
        <v>43066</v>
      </c>
      <c r="J1115" s="263" t="s">
        <v>5113</v>
      </c>
    </row>
    <row r="1116" spans="1:10" ht="15" customHeight="1" x14ac:dyDescent="0.45">
      <c r="A1116" s="240">
        <v>1104</v>
      </c>
      <c r="B1116" s="241" t="s">
        <v>5841</v>
      </c>
      <c r="C1116" s="241" t="s">
        <v>908</v>
      </c>
      <c r="D1116" s="241" t="s">
        <v>910</v>
      </c>
      <c r="E1116" s="241" t="s">
        <v>160</v>
      </c>
      <c r="F1116" s="341">
        <v>43038</v>
      </c>
      <c r="G1116" s="261">
        <f ca="1">IF(ISBLANK(I1116),TODAY()-F1116,I1116-F1116)</f>
        <v>3</v>
      </c>
      <c r="H1116" s="253" t="s">
        <v>64</v>
      </c>
      <c r="I1116" s="228">
        <v>43041</v>
      </c>
      <c r="J1116" s="254" t="s">
        <v>5160</v>
      </c>
    </row>
    <row r="1117" spans="1:10" ht="15" customHeight="1" x14ac:dyDescent="0.45">
      <c r="A1117" s="240">
        <v>1105</v>
      </c>
      <c r="B1117" s="241" t="s">
        <v>5841</v>
      </c>
      <c r="C1117" s="241" t="s">
        <v>904</v>
      </c>
      <c r="D1117" s="241" t="s">
        <v>906</v>
      </c>
      <c r="E1117" s="241" t="s">
        <v>160</v>
      </c>
      <c r="F1117" s="341">
        <v>43038</v>
      </c>
      <c r="G1117" s="261">
        <f ca="1">IF(ISBLANK(I1117),TODAY()-F1117,I1117-F1117)</f>
        <v>28</v>
      </c>
      <c r="H1117" s="262" t="s">
        <v>5296</v>
      </c>
      <c r="I1117" s="153">
        <v>43066</v>
      </c>
      <c r="J1117" s="263" t="s">
        <v>5113</v>
      </c>
    </row>
    <row r="1118" spans="1:10" ht="15" customHeight="1" x14ac:dyDescent="0.45">
      <c r="A1118" s="240">
        <v>1106</v>
      </c>
      <c r="B1118" s="241" t="s">
        <v>5841</v>
      </c>
      <c r="C1118" s="241" t="s">
        <v>900</v>
      </c>
      <c r="D1118" s="241" t="s">
        <v>902</v>
      </c>
      <c r="E1118" s="241" t="s">
        <v>160</v>
      </c>
      <c r="F1118" s="131">
        <v>43038</v>
      </c>
      <c r="G1118" s="261">
        <f ca="1">IF(ISBLANK(I1118),TODAY()-F1118,I1118-F1118)</f>
        <v>28</v>
      </c>
      <c r="H1118" s="262" t="s">
        <v>5296</v>
      </c>
      <c r="I1118" s="153">
        <v>43066</v>
      </c>
      <c r="J1118" s="263" t="s">
        <v>5113</v>
      </c>
    </row>
    <row r="1119" spans="1:10" ht="15" customHeight="1" x14ac:dyDescent="0.45">
      <c r="A1119" s="240">
        <v>1107</v>
      </c>
      <c r="B1119" s="241" t="s">
        <v>5841</v>
      </c>
      <c r="C1119" s="241" t="s">
        <v>912</v>
      </c>
      <c r="D1119" s="241" t="s">
        <v>914</v>
      </c>
      <c r="E1119" s="241" t="s">
        <v>160</v>
      </c>
      <c r="F1119" s="131">
        <v>43038</v>
      </c>
      <c r="G1119" s="261">
        <f ca="1">IF(ISBLANK(I1119),TODAY()-F1119,I1119-F1119)</f>
        <v>3</v>
      </c>
      <c r="H1119" s="262" t="s">
        <v>5296</v>
      </c>
      <c r="I1119" s="153">
        <v>43041</v>
      </c>
      <c r="J1119" s="263" t="s">
        <v>5113</v>
      </c>
    </row>
    <row r="1120" spans="1:10" ht="15" customHeight="1" x14ac:dyDescent="0.45">
      <c r="A1120" s="240">
        <v>1108</v>
      </c>
      <c r="B1120" s="241" t="s">
        <v>5841</v>
      </c>
      <c r="C1120" s="241" t="s">
        <v>889</v>
      </c>
      <c r="D1120" s="241" t="s">
        <v>891</v>
      </c>
      <c r="E1120" s="241" t="s">
        <v>160</v>
      </c>
      <c r="F1120" s="131">
        <v>43038</v>
      </c>
      <c r="G1120" s="261">
        <f ca="1">IF(ISBLANK(I1120),TODAY()-F1120,I1120-F1120)</f>
        <v>28</v>
      </c>
      <c r="H1120" s="262" t="s">
        <v>5296</v>
      </c>
      <c r="I1120" s="153">
        <v>43066</v>
      </c>
      <c r="J1120" s="263" t="s">
        <v>5051</v>
      </c>
    </row>
    <row r="1121" spans="1:10" ht="15" customHeight="1" x14ac:dyDescent="0.45">
      <c r="A1121" s="225">
        <v>1109</v>
      </c>
      <c r="B1121" s="226" t="s">
        <v>5841</v>
      </c>
      <c r="C1121" s="226" t="s">
        <v>894</v>
      </c>
      <c r="D1121" s="226" t="s">
        <v>896</v>
      </c>
      <c r="E1121" s="226" t="s">
        <v>160</v>
      </c>
      <c r="F1121" s="341">
        <v>43038</v>
      </c>
      <c r="G1121" s="261">
        <f ca="1">IF(ISBLANK(I1121),TODAY()-F1121,I1121-F1121)</f>
        <v>28</v>
      </c>
      <c r="H1121" s="262" t="s">
        <v>5296</v>
      </c>
      <c r="I1121" s="153">
        <v>43066</v>
      </c>
      <c r="J1121" s="263" t="s">
        <v>5051</v>
      </c>
    </row>
    <row r="1122" spans="1:10" ht="15" customHeight="1" x14ac:dyDescent="0.45">
      <c r="A1122" s="225">
        <v>1111</v>
      </c>
      <c r="B1122" s="226" t="s">
        <v>5842</v>
      </c>
      <c r="C1122" s="226" t="s">
        <v>920</v>
      </c>
      <c r="D1122" s="226" t="s">
        <v>922</v>
      </c>
      <c r="E1122" s="226" t="s">
        <v>160</v>
      </c>
      <c r="F1122" s="341">
        <v>43038</v>
      </c>
      <c r="G1122" s="261">
        <f ca="1">IF(ISBLANK(I1122),TODAY()-F1122,I1122-F1122)</f>
        <v>3</v>
      </c>
      <c r="H1122" s="253" t="s">
        <v>5002</v>
      </c>
      <c r="I1122" s="228">
        <v>43041</v>
      </c>
      <c r="J1122" s="254" t="s">
        <v>5160</v>
      </c>
    </row>
    <row r="1123" spans="1:10" ht="15" customHeight="1" x14ac:dyDescent="0.45">
      <c r="A1123" s="225">
        <v>1112</v>
      </c>
      <c r="B1123" s="226" t="s">
        <v>5842</v>
      </c>
      <c r="C1123" s="226" t="s">
        <v>916</v>
      </c>
      <c r="D1123" s="226" t="s">
        <v>918</v>
      </c>
      <c r="E1123" s="226" t="s">
        <v>160</v>
      </c>
      <c r="F1123" s="341">
        <v>43038</v>
      </c>
      <c r="G1123" s="261">
        <f ca="1">IF(ISBLANK(I1123),TODAY()-F1123,I1123-F1123)</f>
        <v>28</v>
      </c>
      <c r="H1123" s="262" t="s">
        <v>5296</v>
      </c>
      <c r="I1123" s="153">
        <v>43066</v>
      </c>
      <c r="J1123" s="263" t="s">
        <v>5113</v>
      </c>
    </row>
    <row r="1124" spans="1:10" ht="15" customHeight="1" x14ac:dyDescent="0.45">
      <c r="A1124" s="225">
        <v>1115</v>
      </c>
      <c r="B1124" s="226" t="s">
        <v>5843</v>
      </c>
      <c r="C1124" s="226" t="s">
        <v>980</v>
      </c>
      <c r="D1124" s="226" t="s">
        <v>982</v>
      </c>
      <c r="E1124" s="226" t="s">
        <v>160</v>
      </c>
      <c r="F1124" s="131">
        <v>43038</v>
      </c>
      <c r="G1124" s="261">
        <f ca="1">IF(ISBLANK(I1124),TODAY()-F1124,I1124-F1124)</f>
        <v>14</v>
      </c>
      <c r="H1124" s="262" t="s">
        <v>5296</v>
      </c>
      <c r="I1124" s="153">
        <v>43052</v>
      </c>
      <c r="J1124" s="263" t="s">
        <v>5051</v>
      </c>
    </row>
    <row r="1125" spans="1:10" ht="15" customHeight="1" x14ac:dyDescent="0.45">
      <c r="A1125" s="225">
        <v>1116</v>
      </c>
      <c r="B1125" s="226" t="s">
        <v>5843</v>
      </c>
      <c r="C1125" s="226" t="s">
        <v>986</v>
      </c>
      <c r="D1125" s="226" t="s">
        <v>988</v>
      </c>
      <c r="E1125" s="226" t="s">
        <v>160</v>
      </c>
      <c r="F1125" s="131">
        <v>43038</v>
      </c>
      <c r="G1125" s="261">
        <f ca="1">IF(ISBLANK(I1125),TODAY()-F1125,I1125-F1125)</f>
        <v>14</v>
      </c>
      <c r="H1125" s="262" t="s">
        <v>5296</v>
      </c>
      <c r="I1125" s="153">
        <v>43052</v>
      </c>
      <c r="J1125" s="263" t="s">
        <v>5113</v>
      </c>
    </row>
    <row r="1126" spans="1:10" ht="15" customHeight="1" x14ac:dyDescent="0.45">
      <c r="A1126" s="225">
        <v>1117</v>
      </c>
      <c r="B1126" s="226" t="s">
        <v>5844</v>
      </c>
      <c r="C1126" s="226" t="s">
        <v>1596</v>
      </c>
      <c r="D1126" s="226" t="s">
        <v>1598</v>
      </c>
      <c r="E1126" s="226" t="s">
        <v>160</v>
      </c>
      <c r="F1126" s="131">
        <v>43038</v>
      </c>
      <c r="G1126" s="261">
        <f ca="1">IF(ISBLANK(I1126),TODAY()-F1126,I1126-F1126)</f>
        <v>28</v>
      </c>
      <c r="H1126" s="262" t="s">
        <v>5296</v>
      </c>
      <c r="I1126" s="153">
        <v>43066</v>
      </c>
      <c r="J1126" s="263" t="s">
        <v>5051</v>
      </c>
    </row>
    <row r="1127" spans="1:10" ht="15" customHeight="1" x14ac:dyDescent="0.45">
      <c r="A1127" s="225">
        <v>1121</v>
      </c>
      <c r="B1127" s="226" t="s">
        <v>5846</v>
      </c>
      <c r="C1127" s="226" t="s">
        <v>1302</v>
      </c>
      <c r="D1127" s="226" t="s">
        <v>1304</v>
      </c>
      <c r="E1127" s="226" t="s">
        <v>65</v>
      </c>
      <c r="F1127" s="131">
        <v>43038</v>
      </c>
      <c r="G1127" s="261">
        <f ca="1">IF(ISBLANK(I1127),TODAY()-F1127,I1127-F1127)</f>
        <v>3</v>
      </c>
      <c r="H1127" s="253" t="s">
        <v>65</v>
      </c>
      <c r="I1127" s="228">
        <v>43041</v>
      </c>
      <c r="J1127" s="254" t="s">
        <v>5160</v>
      </c>
    </row>
    <row r="1128" spans="1:10" ht="15" customHeight="1" x14ac:dyDescent="0.45">
      <c r="A1128" s="225">
        <v>1122</v>
      </c>
      <c r="B1128" s="226" t="s">
        <v>1331</v>
      </c>
      <c r="C1128" s="226" t="s">
        <v>1365</v>
      </c>
      <c r="D1128" s="226" t="s">
        <v>1367</v>
      </c>
      <c r="E1128" s="226">
        <v>0</v>
      </c>
      <c r="F1128" s="268">
        <v>43038</v>
      </c>
      <c r="G1128" s="261">
        <f ca="1">IF(ISBLANK(I1128),TODAY()-F1128,I1128-F1128)</f>
        <v>3</v>
      </c>
      <c r="H1128" s="253" t="s">
        <v>64</v>
      </c>
      <c r="I1128" s="228">
        <v>43041</v>
      </c>
      <c r="J1128" s="254" t="s">
        <v>5160</v>
      </c>
    </row>
    <row r="1129" spans="1:10" ht="15" customHeight="1" x14ac:dyDescent="0.45">
      <c r="A1129" s="225">
        <v>1123</v>
      </c>
      <c r="B1129" s="226" t="s">
        <v>1331</v>
      </c>
      <c r="C1129" s="226" t="s">
        <v>1359</v>
      </c>
      <c r="D1129" s="226" t="s">
        <v>1361</v>
      </c>
      <c r="E1129" s="226">
        <v>0</v>
      </c>
      <c r="F1129" s="268">
        <v>43038</v>
      </c>
      <c r="G1129" s="261">
        <f ca="1">IF(ISBLANK(I1129),TODAY()-F1129,I1129-F1129)</f>
        <v>3</v>
      </c>
      <c r="H1129" s="253" t="s">
        <v>64</v>
      </c>
      <c r="I1129" s="228">
        <v>43041</v>
      </c>
      <c r="J1129" s="254" t="s">
        <v>5160</v>
      </c>
    </row>
    <row r="1130" spans="1:10" ht="15" customHeight="1" x14ac:dyDescent="0.45">
      <c r="A1130" s="225">
        <v>1124</v>
      </c>
      <c r="B1130" s="226" t="s">
        <v>1331</v>
      </c>
      <c r="C1130" s="226" t="s">
        <v>1328</v>
      </c>
      <c r="D1130" s="226" t="s">
        <v>1330</v>
      </c>
      <c r="E1130" s="226">
        <v>0</v>
      </c>
      <c r="F1130" s="344">
        <v>43038</v>
      </c>
      <c r="G1130" s="261">
        <f ca="1">IF(ISBLANK(I1130),TODAY()-F1130,I1130-F1130)</f>
        <v>3</v>
      </c>
      <c r="H1130" s="253" t="s">
        <v>64</v>
      </c>
      <c r="I1130" s="228">
        <v>43041</v>
      </c>
      <c r="J1130" s="254" t="s">
        <v>5160</v>
      </c>
    </row>
    <row r="1131" spans="1:10" ht="15" customHeight="1" x14ac:dyDescent="0.45">
      <c r="A1131" s="225">
        <v>1125</v>
      </c>
      <c r="B1131" s="226" t="s">
        <v>5847</v>
      </c>
      <c r="C1131" s="226" t="s">
        <v>1369</v>
      </c>
      <c r="D1131" s="226" t="s">
        <v>1371</v>
      </c>
      <c r="E1131" s="226" t="s">
        <v>160</v>
      </c>
      <c r="F1131" s="341">
        <v>43038</v>
      </c>
      <c r="G1131" s="261">
        <f ca="1">IF(ISBLANK(I1131),TODAY()-F1131,I1131-F1131)</f>
        <v>3</v>
      </c>
      <c r="H1131" s="253" t="s">
        <v>65</v>
      </c>
      <c r="I1131" s="228">
        <v>43041</v>
      </c>
      <c r="J1131" s="254" t="s">
        <v>5160</v>
      </c>
    </row>
    <row r="1132" spans="1:10" ht="15" customHeight="1" x14ac:dyDescent="0.45">
      <c r="A1132" s="225">
        <v>1126</v>
      </c>
      <c r="B1132" s="226" t="s">
        <v>5847</v>
      </c>
      <c r="C1132" s="226" t="s">
        <v>1355</v>
      </c>
      <c r="D1132" s="226" t="s">
        <v>1357</v>
      </c>
      <c r="E1132" s="226" t="s">
        <v>160</v>
      </c>
      <c r="F1132" s="131">
        <v>43038</v>
      </c>
      <c r="G1132" s="261">
        <f ca="1">IF(ISBLANK(I1132),TODAY()-F1132,I1132-F1132)</f>
        <v>3</v>
      </c>
      <c r="H1132" s="253" t="s">
        <v>65</v>
      </c>
      <c r="I1132" s="228">
        <v>43041</v>
      </c>
      <c r="J1132" s="254" t="s">
        <v>5160</v>
      </c>
    </row>
    <row r="1133" spans="1:10" ht="15" customHeight="1" x14ac:dyDescent="0.45">
      <c r="A1133" s="225">
        <v>1129</v>
      </c>
      <c r="B1133" s="226" t="s">
        <v>5848</v>
      </c>
      <c r="C1133" s="226" t="s">
        <v>686</v>
      </c>
      <c r="D1133" s="226" t="s">
        <v>688</v>
      </c>
      <c r="E1133" s="226" t="s">
        <v>160</v>
      </c>
      <c r="F1133" s="131">
        <v>43038</v>
      </c>
      <c r="G1133" s="261">
        <f ca="1">IF(ISBLANK(I1133),TODAY()-F1133,I1133-F1133)</f>
        <v>3</v>
      </c>
      <c r="H1133" s="253" t="s">
        <v>2702</v>
      </c>
      <c r="I1133" s="228">
        <v>43041</v>
      </c>
      <c r="J1133" s="381" t="s">
        <v>5160</v>
      </c>
    </row>
    <row r="1134" spans="1:10" ht="15" customHeight="1" x14ac:dyDescent="0.45">
      <c r="A1134" s="225">
        <v>1130</v>
      </c>
      <c r="B1134" s="226" t="s">
        <v>5849</v>
      </c>
      <c r="C1134" s="226" t="s">
        <v>2085</v>
      </c>
      <c r="D1134" s="226" t="s">
        <v>2087</v>
      </c>
      <c r="E1134" s="226" t="s">
        <v>65</v>
      </c>
      <c r="F1134" s="131">
        <v>43040</v>
      </c>
      <c r="G1134" s="261">
        <f ca="1">IF(ISBLANK(I1134),TODAY()-F1134,I1134-F1134)</f>
        <v>1</v>
      </c>
      <c r="H1134" s="247" t="s">
        <v>65</v>
      </c>
      <c r="I1134" s="228">
        <v>43041</v>
      </c>
      <c r="J1134" s="257" t="s">
        <v>5160</v>
      </c>
    </row>
    <row r="1135" spans="1:10" ht="15" customHeight="1" x14ac:dyDescent="0.45">
      <c r="A1135" s="225">
        <v>1131</v>
      </c>
      <c r="B1135" s="226" t="s">
        <v>5849</v>
      </c>
      <c r="C1135" s="226" t="s">
        <v>2081</v>
      </c>
      <c r="D1135" s="226" t="s">
        <v>2083</v>
      </c>
      <c r="E1135" s="226" t="s">
        <v>65</v>
      </c>
      <c r="F1135" s="131">
        <v>43040</v>
      </c>
      <c r="G1135" s="261">
        <f ca="1">IF(ISBLANK(I1135),TODAY()-F1135,I1135-F1135)</f>
        <v>1</v>
      </c>
      <c r="H1135" s="247" t="s">
        <v>160</v>
      </c>
      <c r="I1135" s="228">
        <v>43041</v>
      </c>
      <c r="J1135" s="257" t="s">
        <v>5160</v>
      </c>
    </row>
    <row r="1136" spans="1:10" ht="15" customHeight="1" x14ac:dyDescent="0.45">
      <c r="A1136" s="225">
        <v>1132</v>
      </c>
      <c r="B1136" s="226" t="s">
        <v>5849</v>
      </c>
      <c r="C1136" s="226" t="s">
        <v>2076</v>
      </c>
      <c r="D1136" s="226" t="s">
        <v>2078</v>
      </c>
      <c r="E1136" s="226" t="s">
        <v>65</v>
      </c>
      <c r="F1136" s="131">
        <v>43040</v>
      </c>
      <c r="G1136" s="261">
        <f ca="1">IF(ISBLANK(I1136),TODAY()-F1136,I1136-F1136)</f>
        <v>1</v>
      </c>
      <c r="H1136" s="247" t="s">
        <v>65</v>
      </c>
      <c r="I1136" s="228">
        <v>43041</v>
      </c>
      <c r="J1136" s="229" t="s">
        <v>5160</v>
      </c>
    </row>
    <row r="1137" spans="1:11" ht="15" customHeight="1" x14ac:dyDescent="0.45">
      <c r="A1137" s="225">
        <v>1133</v>
      </c>
      <c r="B1137" s="226" t="s">
        <v>1706</v>
      </c>
      <c r="C1137" s="226" t="s">
        <v>1703</v>
      </c>
      <c r="D1137" s="226" t="s">
        <v>1705</v>
      </c>
      <c r="E1137" s="241">
        <v>0</v>
      </c>
      <c r="F1137" s="245">
        <v>43040</v>
      </c>
      <c r="G1137" s="261">
        <f ca="1">IF(ISBLANK(I1137),TODAY()-F1137,I1137-F1137)</f>
        <v>1</v>
      </c>
      <c r="H1137" s="247" t="s">
        <v>5493</v>
      </c>
      <c r="I1137" s="228">
        <v>43041</v>
      </c>
      <c r="J1137" s="257" t="s">
        <v>5160</v>
      </c>
    </row>
    <row r="1138" spans="1:11" ht="15" customHeight="1" x14ac:dyDescent="0.45">
      <c r="A1138" s="225">
        <v>1134</v>
      </c>
      <c r="B1138" s="226" t="s">
        <v>5850</v>
      </c>
      <c r="C1138" s="226" t="s">
        <v>1726</v>
      </c>
      <c r="D1138" s="226" t="s">
        <v>1728</v>
      </c>
      <c r="E1138" s="226" t="s">
        <v>160</v>
      </c>
      <c r="F1138" s="131">
        <v>43040</v>
      </c>
      <c r="G1138" s="261">
        <f ca="1">IF(ISBLANK(I1138),TODAY()-F1138,I1138-F1138)</f>
        <v>47</v>
      </c>
      <c r="H1138" s="233" t="s">
        <v>160</v>
      </c>
      <c r="I1138" s="153">
        <v>43087</v>
      </c>
      <c r="J1138" s="231" t="s">
        <v>5113</v>
      </c>
    </row>
    <row r="1139" spans="1:11" ht="15" customHeight="1" x14ac:dyDescent="0.45">
      <c r="A1139" s="225">
        <v>1135</v>
      </c>
      <c r="B1139" s="226" t="s">
        <v>5851</v>
      </c>
      <c r="C1139" s="226" t="s">
        <v>1989</v>
      </c>
      <c r="D1139" s="226" t="s">
        <v>1991</v>
      </c>
      <c r="E1139" s="226" t="s">
        <v>65</v>
      </c>
      <c r="F1139" s="131">
        <v>43040</v>
      </c>
      <c r="G1139" s="261">
        <f ca="1">IF(ISBLANK(I1139),TODAY()-F1139,I1139-F1139)</f>
        <v>22</v>
      </c>
      <c r="H1139" s="353" t="s">
        <v>164</v>
      </c>
      <c r="I1139" s="370">
        <v>43062</v>
      </c>
      <c r="J1139" s="266" t="s">
        <v>5160</v>
      </c>
    </row>
    <row r="1140" spans="1:11" ht="15" customHeight="1" x14ac:dyDescent="0.45">
      <c r="A1140" s="225">
        <v>1136</v>
      </c>
      <c r="B1140" s="226" t="s">
        <v>705</v>
      </c>
      <c r="C1140" s="226" t="s">
        <v>758</v>
      </c>
      <c r="D1140" s="226" t="s">
        <v>760</v>
      </c>
      <c r="E1140" s="226">
        <v>0</v>
      </c>
      <c r="F1140" s="230">
        <v>43040</v>
      </c>
      <c r="G1140" s="261">
        <f ca="1">IF(ISBLANK(I1140),TODAY()-F1140,I1140-F1140)</f>
        <v>169</v>
      </c>
      <c r="H1140" s="179" t="s">
        <v>5296</v>
      </c>
      <c r="I1140" s="180">
        <v>43209</v>
      </c>
      <c r="J1140" s="171" t="s">
        <v>5403</v>
      </c>
      <c r="K1140" s="106" t="s">
        <v>5404</v>
      </c>
    </row>
    <row r="1141" spans="1:11" ht="15" customHeight="1" x14ac:dyDescent="0.45">
      <c r="A1141" s="225">
        <v>1137</v>
      </c>
      <c r="B1141" s="226" t="s">
        <v>705</v>
      </c>
      <c r="C1141" s="226" t="s">
        <v>722</v>
      </c>
      <c r="D1141" s="226" t="s">
        <v>724</v>
      </c>
      <c r="E1141" s="226">
        <v>0</v>
      </c>
      <c r="F1141" s="230">
        <v>43040</v>
      </c>
      <c r="G1141" s="261">
        <f ca="1">IF(ISBLANK(I1141),TODAY()-F1141,I1141-F1141)</f>
        <v>169</v>
      </c>
      <c r="H1141" s="179" t="s">
        <v>5296</v>
      </c>
      <c r="I1141" s="180">
        <v>43209</v>
      </c>
      <c r="J1141" s="171" t="s">
        <v>5403</v>
      </c>
      <c r="K1141" s="106" t="s">
        <v>5404</v>
      </c>
    </row>
    <row r="1142" spans="1:11" ht="15" customHeight="1" x14ac:dyDescent="0.45">
      <c r="A1142" s="225">
        <v>1138</v>
      </c>
      <c r="B1142" s="226" t="s">
        <v>705</v>
      </c>
      <c r="C1142" s="226" t="s">
        <v>754</v>
      </c>
      <c r="D1142" s="226" t="s">
        <v>756</v>
      </c>
      <c r="E1142" s="226">
        <v>0</v>
      </c>
      <c r="F1142" s="230">
        <v>43040</v>
      </c>
      <c r="G1142" s="261">
        <f ca="1">IF(ISBLANK(I1142),TODAY()-F1142,I1142-F1142)</f>
        <v>169</v>
      </c>
      <c r="H1142" s="179" t="s">
        <v>5296</v>
      </c>
      <c r="I1142" s="180">
        <v>43209</v>
      </c>
      <c r="J1142" s="171" t="s">
        <v>5403</v>
      </c>
      <c r="K1142" s="106" t="s">
        <v>5404</v>
      </c>
    </row>
    <row r="1143" spans="1:11" ht="15" customHeight="1" x14ac:dyDescent="0.45">
      <c r="A1143" s="225">
        <v>1139</v>
      </c>
      <c r="B1143" s="226" t="s">
        <v>705</v>
      </c>
      <c r="C1143" s="226" t="s">
        <v>746</v>
      </c>
      <c r="D1143" s="226" t="s">
        <v>748</v>
      </c>
      <c r="E1143" s="226">
        <v>0</v>
      </c>
      <c r="F1143" s="230">
        <v>43040</v>
      </c>
      <c r="G1143" s="261">
        <f ca="1">IF(ISBLANK(I1143),TODAY()-F1143,I1143-F1143)</f>
        <v>169</v>
      </c>
      <c r="H1143" s="179" t="s">
        <v>5296</v>
      </c>
      <c r="I1143" s="180">
        <v>43209</v>
      </c>
      <c r="J1143" s="171" t="s">
        <v>5403</v>
      </c>
      <c r="K1143" s="106" t="s">
        <v>5404</v>
      </c>
    </row>
    <row r="1144" spans="1:11" ht="15" customHeight="1" x14ac:dyDescent="0.45">
      <c r="A1144" s="225">
        <v>1140</v>
      </c>
      <c r="B1144" s="226" t="s">
        <v>705</v>
      </c>
      <c r="C1144" s="226" t="s">
        <v>707</v>
      </c>
      <c r="D1144" s="226" t="s">
        <v>709</v>
      </c>
      <c r="E1144" s="226">
        <v>0</v>
      </c>
      <c r="F1144" s="230">
        <v>43040</v>
      </c>
      <c r="G1144" s="261">
        <f ca="1">IF(ISBLANK(I1144),TODAY()-F1144,I1144-F1144)</f>
        <v>169</v>
      </c>
      <c r="H1144" s="179" t="s">
        <v>5296</v>
      </c>
      <c r="I1144" s="180">
        <v>43209</v>
      </c>
      <c r="J1144" s="171" t="s">
        <v>5403</v>
      </c>
      <c r="K1144" s="106" t="s">
        <v>5404</v>
      </c>
    </row>
    <row r="1145" spans="1:11" ht="15" customHeight="1" x14ac:dyDescent="0.45">
      <c r="A1145" s="225">
        <v>1141</v>
      </c>
      <c r="B1145" s="226" t="s">
        <v>705</v>
      </c>
      <c r="C1145" s="226" t="s">
        <v>742</v>
      </c>
      <c r="D1145" s="226" t="s">
        <v>744</v>
      </c>
      <c r="E1145" s="226">
        <v>0</v>
      </c>
      <c r="F1145" s="230">
        <v>43040</v>
      </c>
      <c r="G1145" s="261">
        <f ca="1">IF(ISBLANK(I1145),TODAY()-F1145,I1145-F1145)</f>
        <v>169</v>
      </c>
      <c r="H1145" s="179" t="s">
        <v>5296</v>
      </c>
      <c r="I1145" s="180">
        <v>43209</v>
      </c>
      <c r="J1145" s="171" t="s">
        <v>5403</v>
      </c>
      <c r="K1145" s="106" t="s">
        <v>5404</v>
      </c>
    </row>
    <row r="1146" spans="1:11" ht="15" customHeight="1" x14ac:dyDescent="0.45">
      <c r="A1146" s="225">
        <v>1142</v>
      </c>
      <c r="B1146" s="226" t="s">
        <v>705</v>
      </c>
      <c r="C1146" s="226" t="s">
        <v>702</v>
      </c>
      <c r="D1146" s="226" t="s">
        <v>704</v>
      </c>
      <c r="E1146" s="226">
        <v>0</v>
      </c>
      <c r="F1146" s="230">
        <v>43040</v>
      </c>
      <c r="G1146" s="261">
        <f ca="1">IF(ISBLANK(I1146),TODAY()-F1146,I1146-F1146)</f>
        <v>169</v>
      </c>
      <c r="H1146" s="170" t="s">
        <v>5296</v>
      </c>
      <c r="I1146" s="127">
        <v>43209</v>
      </c>
      <c r="J1146" s="156" t="s">
        <v>5403</v>
      </c>
      <c r="K1146" s="106" t="s">
        <v>5404</v>
      </c>
    </row>
    <row r="1147" spans="1:11" ht="15" customHeight="1" x14ac:dyDescent="0.45">
      <c r="A1147" s="225">
        <v>1143</v>
      </c>
      <c r="B1147" s="226" t="s">
        <v>5852</v>
      </c>
      <c r="C1147" s="226" t="s">
        <v>503</v>
      </c>
      <c r="D1147" s="226" t="s">
        <v>505</v>
      </c>
      <c r="E1147" s="226" t="s">
        <v>65</v>
      </c>
      <c r="F1147" s="131">
        <v>43040</v>
      </c>
      <c r="G1147" s="261">
        <f ca="1">IF(ISBLANK(I1147),TODAY()-F1147,I1147-F1147)</f>
        <v>22</v>
      </c>
      <c r="H1147" s="262" t="s">
        <v>65</v>
      </c>
      <c r="I1147" s="265">
        <v>43062</v>
      </c>
      <c r="J1147" s="263" t="s">
        <v>5160</v>
      </c>
    </row>
    <row r="1148" spans="1:11" ht="15" customHeight="1" x14ac:dyDescent="0.45">
      <c r="A1148" s="225">
        <v>1144</v>
      </c>
      <c r="B1148" s="226" t="s">
        <v>5852</v>
      </c>
      <c r="C1148" s="226" t="s">
        <v>498</v>
      </c>
      <c r="D1148" s="226" t="s">
        <v>500</v>
      </c>
      <c r="E1148" s="226" t="s">
        <v>65</v>
      </c>
      <c r="F1148" s="131">
        <v>43040</v>
      </c>
      <c r="G1148" s="261">
        <f ca="1">IF(ISBLANK(I1148),TODAY()-F1148,I1148-F1148)</f>
        <v>22</v>
      </c>
      <c r="H1148" s="262" t="s">
        <v>65</v>
      </c>
      <c r="I1148" s="265">
        <v>43062</v>
      </c>
      <c r="J1148" s="263" t="s">
        <v>5160</v>
      </c>
    </row>
    <row r="1149" spans="1:11" ht="15" customHeight="1" x14ac:dyDescent="0.45">
      <c r="A1149" s="225">
        <v>1145</v>
      </c>
      <c r="B1149" s="226" t="s">
        <v>1649</v>
      </c>
      <c r="C1149" s="226" t="s">
        <v>1659</v>
      </c>
      <c r="D1149" s="226" t="s">
        <v>1661</v>
      </c>
      <c r="E1149" s="241">
        <v>0</v>
      </c>
      <c r="F1149" s="245">
        <v>43040</v>
      </c>
      <c r="G1149" s="261">
        <f ca="1">IF(ISBLANK(I1149),TODAY()-F1149,I1149-F1149)</f>
        <v>1</v>
      </c>
      <c r="H1149" s="247" t="s">
        <v>64</v>
      </c>
      <c r="I1149" s="228">
        <v>43041</v>
      </c>
      <c r="J1149" s="229" t="s">
        <v>5160</v>
      </c>
    </row>
    <row r="1150" spans="1:11" ht="15" customHeight="1" x14ac:dyDescent="0.45">
      <c r="A1150" s="225">
        <v>1146</v>
      </c>
      <c r="B1150" s="226" t="s">
        <v>1649</v>
      </c>
      <c r="C1150" s="226" t="s">
        <v>1646</v>
      </c>
      <c r="D1150" s="226" t="s">
        <v>1648</v>
      </c>
      <c r="E1150" s="241">
        <v>0</v>
      </c>
      <c r="F1150" s="245">
        <v>43040</v>
      </c>
      <c r="G1150" s="261">
        <f ca="1">IF(ISBLANK(I1150),TODAY()-F1150,I1150-F1150)</f>
        <v>1</v>
      </c>
      <c r="H1150" s="232" t="s">
        <v>64</v>
      </c>
      <c r="I1150" s="366">
        <v>43041</v>
      </c>
      <c r="J1150" s="257" t="s">
        <v>5160</v>
      </c>
    </row>
    <row r="1151" spans="1:11" ht="15" customHeight="1" x14ac:dyDescent="0.45">
      <c r="A1151" s="225">
        <v>1147</v>
      </c>
      <c r="B1151" s="226" t="s">
        <v>1816</v>
      </c>
      <c r="C1151" s="226" t="s">
        <v>1956</v>
      </c>
      <c r="D1151" s="226" t="s">
        <v>1958</v>
      </c>
      <c r="E1151" s="226">
        <v>0</v>
      </c>
      <c r="F1151" s="230">
        <v>43040</v>
      </c>
      <c r="G1151" s="261">
        <f ca="1">IF(ISBLANK(I1151),TODAY()-F1151,I1151-F1151)</f>
        <v>169</v>
      </c>
      <c r="H1151" s="179" t="s">
        <v>5296</v>
      </c>
      <c r="I1151" s="180">
        <v>43209</v>
      </c>
      <c r="J1151" s="171" t="s">
        <v>5403</v>
      </c>
      <c r="K1151" s="106" t="s">
        <v>5404</v>
      </c>
    </row>
    <row r="1152" spans="1:11" ht="15" customHeight="1" x14ac:dyDescent="0.45">
      <c r="A1152" s="225">
        <v>1148</v>
      </c>
      <c r="B1152" s="226" t="s">
        <v>1816</v>
      </c>
      <c r="C1152" s="226" t="s">
        <v>1953</v>
      </c>
      <c r="D1152" s="226" t="s">
        <v>1955</v>
      </c>
      <c r="E1152" s="226">
        <v>0</v>
      </c>
      <c r="F1152" s="230">
        <v>43040</v>
      </c>
      <c r="G1152" s="261">
        <f ca="1">IF(ISBLANK(I1152),TODAY()-F1152,I1152-F1152)</f>
        <v>169</v>
      </c>
      <c r="H1152" s="179" t="s">
        <v>5296</v>
      </c>
      <c r="I1152" s="180">
        <v>43209</v>
      </c>
      <c r="J1152" s="171" t="s">
        <v>5403</v>
      </c>
      <c r="K1152" s="106" t="s">
        <v>5404</v>
      </c>
    </row>
    <row r="1153" spans="1:11" ht="15" customHeight="1" x14ac:dyDescent="0.45">
      <c r="A1153" s="225">
        <v>1149</v>
      </c>
      <c r="B1153" s="226" t="s">
        <v>1816</v>
      </c>
      <c r="C1153" s="226" t="s">
        <v>1950</v>
      </c>
      <c r="D1153" s="226" t="s">
        <v>1952</v>
      </c>
      <c r="E1153" s="226">
        <v>0</v>
      </c>
      <c r="F1153" s="230">
        <v>43040</v>
      </c>
      <c r="G1153" s="261">
        <f ca="1">IF(ISBLANK(I1153),TODAY()-F1153,I1153-F1153)</f>
        <v>169</v>
      </c>
      <c r="H1153" s="170" t="s">
        <v>5296</v>
      </c>
      <c r="I1153" s="127">
        <v>43209</v>
      </c>
      <c r="J1153" s="171" t="s">
        <v>5403</v>
      </c>
      <c r="K1153" s="106" t="s">
        <v>5404</v>
      </c>
    </row>
    <row r="1154" spans="1:11" ht="15" customHeight="1" x14ac:dyDescent="0.45">
      <c r="A1154" s="225">
        <v>1150</v>
      </c>
      <c r="B1154" s="226" t="s">
        <v>1816</v>
      </c>
      <c r="C1154" s="226" t="s">
        <v>1913</v>
      </c>
      <c r="D1154" s="226" t="s">
        <v>1915</v>
      </c>
      <c r="E1154" s="226">
        <v>0</v>
      </c>
      <c r="F1154" s="230">
        <v>43040</v>
      </c>
      <c r="G1154" s="261">
        <f ca="1">IF(ISBLANK(I1154),TODAY()-F1154,I1154-F1154)</f>
        <v>160</v>
      </c>
      <c r="H1154" s="347" t="s">
        <v>5296</v>
      </c>
      <c r="I1154" s="198">
        <v>43200</v>
      </c>
      <c r="J1154" s="221" t="s">
        <v>5113</v>
      </c>
    </row>
    <row r="1155" spans="1:11" ht="15" customHeight="1" x14ac:dyDescent="0.45">
      <c r="A1155" s="225">
        <v>1151</v>
      </c>
      <c r="B1155" s="226" t="s">
        <v>1816</v>
      </c>
      <c r="C1155" s="226" t="s">
        <v>1903</v>
      </c>
      <c r="D1155" s="226" t="s">
        <v>1905</v>
      </c>
      <c r="E1155" s="226">
        <v>0</v>
      </c>
      <c r="F1155" s="230">
        <v>43040</v>
      </c>
      <c r="G1155" s="261">
        <f ca="1">IF(ISBLANK(I1155),TODAY()-F1155,I1155-F1155)</f>
        <v>169</v>
      </c>
      <c r="H1155" s="179" t="s">
        <v>5296</v>
      </c>
      <c r="I1155" s="180">
        <v>43209</v>
      </c>
      <c r="J1155" s="171" t="s">
        <v>5403</v>
      </c>
      <c r="K1155" s="106" t="s">
        <v>5404</v>
      </c>
    </row>
    <row r="1156" spans="1:11" ht="15" customHeight="1" x14ac:dyDescent="0.45">
      <c r="A1156" s="225">
        <v>1152</v>
      </c>
      <c r="B1156" s="226" t="s">
        <v>1816</v>
      </c>
      <c r="C1156" s="226" t="s">
        <v>1900</v>
      </c>
      <c r="D1156" s="226" t="s">
        <v>1902</v>
      </c>
      <c r="E1156" s="226">
        <v>0</v>
      </c>
      <c r="F1156" s="230">
        <v>43040</v>
      </c>
      <c r="G1156" s="261">
        <f ca="1">IF(ISBLANK(I1156),TODAY()-F1156,I1156-F1156)</f>
        <v>169</v>
      </c>
      <c r="H1156" s="179" t="s">
        <v>5296</v>
      </c>
      <c r="I1156" s="180">
        <v>43209</v>
      </c>
      <c r="J1156" s="171" t="s">
        <v>5403</v>
      </c>
      <c r="K1156" s="106" t="s">
        <v>5404</v>
      </c>
    </row>
    <row r="1157" spans="1:11" ht="15" customHeight="1" x14ac:dyDescent="0.45">
      <c r="A1157" s="225">
        <v>1153</v>
      </c>
      <c r="B1157" s="226" t="s">
        <v>1816</v>
      </c>
      <c r="C1157" s="226" t="s">
        <v>1881</v>
      </c>
      <c r="D1157" s="226" t="s">
        <v>1883</v>
      </c>
      <c r="E1157" s="226">
        <v>0</v>
      </c>
      <c r="F1157" s="230">
        <v>43040</v>
      </c>
      <c r="G1157" s="261">
        <f ca="1">IF(ISBLANK(I1157),TODAY()-F1157,I1157-F1157)</f>
        <v>169</v>
      </c>
      <c r="H1157" s="170" t="s">
        <v>5296</v>
      </c>
      <c r="I1157" s="127">
        <v>43209</v>
      </c>
      <c r="J1157" s="171" t="s">
        <v>5403</v>
      </c>
      <c r="K1157" s="106" t="s">
        <v>5404</v>
      </c>
    </row>
    <row r="1158" spans="1:11" ht="15" customHeight="1" x14ac:dyDescent="0.45">
      <c r="A1158" s="225">
        <v>1154</v>
      </c>
      <c r="B1158" s="226" t="s">
        <v>1816</v>
      </c>
      <c r="C1158" s="226" t="s">
        <v>1830</v>
      </c>
      <c r="D1158" s="226" t="s">
        <v>1832</v>
      </c>
      <c r="E1158" s="226">
        <v>0</v>
      </c>
      <c r="F1158" s="230">
        <v>43040</v>
      </c>
      <c r="G1158" s="261">
        <f ca="1">IF(ISBLANK(I1158),TODAY()-F1158,I1158-F1158)</f>
        <v>14</v>
      </c>
      <c r="H1158" s="347" t="s">
        <v>5296</v>
      </c>
      <c r="I1158" s="198">
        <v>43054</v>
      </c>
      <c r="J1158" s="221" t="s">
        <v>5051</v>
      </c>
    </row>
    <row r="1159" spans="1:11" ht="15" customHeight="1" x14ac:dyDescent="0.45">
      <c r="A1159" s="225">
        <v>1155</v>
      </c>
      <c r="B1159" s="226" t="s">
        <v>1816</v>
      </c>
      <c r="C1159" s="226" t="s">
        <v>1813</v>
      </c>
      <c r="D1159" s="226" t="s">
        <v>1815</v>
      </c>
      <c r="E1159" s="226">
        <v>0</v>
      </c>
      <c r="F1159" s="230">
        <v>43040</v>
      </c>
      <c r="G1159" s="261">
        <f ca="1">IF(ISBLANK(I1159),TODAY()-F1159,I1159-F1159)</f>
        <v>169</v>
      </c>
      <c r="H1159" s="170" t="s">
        <v>5296</v>
      </c>
      <c r="I1159" s="127">
        <v>43209</v>
      </c>
      <c r="J1159" s="156" t="s">
        <v>5403</v>
      </c>
      <c r="K1159" s="106" t="s">
        <v>5404</v>
      </c>
    </row>
    <row r="1160" spans="1:11" ht="15" customHeight="1" x14ac:dyDescent="0.45">
      <c r="A1160" s="225">
        <v>1156</v>
      </c>
      <c r="B1160" s="226" t="s">
        <v>5853</v>
      </c>
      <c r="C1160" s="226" t="s">
        <v>1983</v>
      </c>
      <c r="D1160" s="226" t="s">
        <v>1985</v>
      </c>
      <c r="E1160" s="241">
        <v>0</v>
      </c>
      <c r="F1160" s="245">
        <v>43040</v>
      </c>
      <c r="G1160" s="261">
        <f ca="1">IF(ISBLANK(I1160),TODAY()-F1160,I1160-F1160)</f>
        <v>1</v>
      </c>
      <c r="H1160" s="247" t="s">
        <v>5493</v>
      </c>
      <c r="I1160" s="228">
        <v>43041</v>
      </c>
      <c r="J1160" s="257" t="s">
        <v>5160</v>
      </c>
    </row>
    <row r="1161" spans="1:11" ht="15" customHeight="1" x14ac:dyDescent="0.45">
      <c r="A1161" s="225">
        <v>1157</v>
      </c>
      <c r="B1161" s="226" t="s">
        <v>804</v>
      </c>
      <c r="C1161" s="226" t="s">
        <v>818</v>
      </c>
      <c r="D1161" s="226" t="s">
        <v>820</v>
      </c>
      <c r="E1161" s="226">
        <v>0</v>
      </c>
      <c r="F1161" s="230">
        <v>43040</v>
      </c>
      <c r="G1161" s="261">
        <f ca="1">IF(ISBLANK(I1161),TODAY()-F1161,I1161-F1161)</f>
        <v>2</v>
      </c>
      <c r="H1161" s="247" t="s">
        <v>64</v>
      </c>
      <c r="I1161" s="228">
        <v>43042</v>
      </c>
      <c r="J1161" s="257" t="s">
        <v>5160</v>
      </c>
    </row>
    <row r="1162" spans="1:11" ht="15" customHeight="1" x14ac:dyDescent="0.45">
      <c r="A1162" s="225">
        <v>1158</v>
      </c>
      <c r="B1162" s="226" t="s">
        <v>804</v>
      </c>
      <c r="C1162" s="226" t="s">
        <v>801</v>
      </c>
      <c r="D1162" s="226" t="s">
        <v>803</v>
      </c>
      <c r="E1162" s="226">
        <v>0</v>
      </c>
      <c r="F1162" s="230">
        <v>43040</v>
      </c>
      <c r="G1162" s="261">
        <f ca="1">IF(ISBLANK(I1162),TODAY()-F1162,I1162-F1162)</f>
        <v>2</v>
      </c>
      <c r="H1162" s="247" t="s">
        <v>5493</v>
      </c>
      <c r="I1162" s="228">
        <v>43042</v>
      </c>
      <c r="J1162" s="257" t="s">
        <v>5160</v>
      </c>
    </row>
    <row r="1163" spans="1:11" ht="15" customHeight="1" x14ac:dyDescent="0.45">
      <c r="A1163" s="225">
        <v>1159</v>
      </c>
      <c r="B1163" s="226" t="s">
        <v>804</v>
      </c>
      <c r="C1163" s="226" t="s">
        <v>797</v>
      </c>
      <c r="D1163" s="226" t="s">
        <v>799</v>
      </c>
      <c r="E1163" s="226">
        <v>0</v>
      </c>
      <c r="F1163" s="230">
        <v>43040</v>
      </c>
      <c r="G1163" s="261">
        <f ca="1">IF(ISBLANK(I1163),TODAY()-F1163,I1163-F1163)</f>
        <v>2</v>
      </c>
      <c r="H1163" s="247" t="s">
        <v>5493</v>
      </c>
      <c r="I1163" s="228">
        <v>43042</v>
      </c>
      <c r="J1163" s="257" t="s">
        <v>5160</v>
      </c>
    </row>
    <row r="1164" spans="1:11" ht="15" customHeight="1" x14ac:dyDescent="0.45">
      <c r="A1164" s="225">
        <v>1160</v>
      </c>
      <c r="B1164" s="226" t="s">
        <v>804</v>
      </c>
      <c r="C1164" s="226" t="s">
        <v>822</v>
      </c>
      <c r="D1164" s="226" t="s">
        <v>824</v>
      </c>
      <c r="E1164" s="226">
        <v>0</v>
      </c>
      <c r="F1164" s="230">
        <v>43040</v>
      </c>
      <c r="G1164" s="261">
        <f ca="1">IF(ISBLANK(I1164),TODAY()-F1164,I1164-F1164)</f>
        <v>2</v>
      </c>
      <c r="H1164" s="247" t="s">
        <v>64</v>
      </c>
      <c r="I1164" s="228">
        <v>43042</v>
      </c>
      <c r="J1164" s="257" t="s">
        <v>5160</v>
      </c>
    </row>
    <row r="1165" spans="1:11" ht="15" customHeight="1" x14ac:dyDescent="0.45">
      <c r="A1165" s="225">
        <v>1161</v>
      </c>
      <c r="B1165" s="226" t="s">
        <v>804</v>
      </c>
      <c r="C1165" s="226" t="s">
        <v>788</v>
      </c>
      <c r="D1165" s="226" t="s">
        <v>790</v>
      </c>
      <c r="E1165" s="226">
        <v>0</v>
      </c>
      <c r="F1165" s="230">
        <v>43040</v>
      </c>
      <c r="G1165" s="261">
        <f ca="1">IF(ISBLANK(I1165),TODAY()-F1165,I1165-F1165)</f>
        <v>2</v>
      </c>
      <c r="H1165" s="247" t="s">
        <v>5493</v>
      </c>
      <c r="I1165" s="228">
        <v>43042</v>
      </c>
      <c r="J1165" s="257" t="s">
        <v>5160</v>
      </c>
    </row>
    <row r="1166" spans="1:11" ht="15" customHeight="1" x14ac:dyDescent="0.45">
      <c r="A1166" s="225">
        <v>1162</v>
      </c>
      <c r="B1166" s="226" t="s">
        <v>804</v>
      </c>
      <c r="C1166" s="226" t="s">
        <v>793</v>
      </c>
      <c r="D1166" s="226" t="s">
        <v>795</v>
      </c>
      <c r="E1166" s="226">
        <v>0</v>
      </c>
      <c r="F1166" s="230">
        <v>43040</v>
      </c>
      <c r="G1166" s="261">
        <f ca="1">IF(ISBLANK(I1166),TODAY()-F1166,I1166-F1166)</f>
        <v>2</v>
      </c>
      <c r="H1166" s="247" t="s">
        <v>5493</v>
      </c>
      <c r="I1166" s="228">
        <v>43042</v>
      </c>
      <c r="J1166" s="257" t="s">
        <v>5160</v>
      </c>
    </row>
    <row r="1167" spans="1:11" ht="15" customHeight="1" x14ac:dyDescent="0.45">
      <c r="A1167" s="225">
        <v>1163</v>
      </c>
      <c r="B1167" s="226" t="s">
        <v>804</v>
      </c>
      <c r="C1167" s="226" t="s">
        <v>807</v>
      </c>
      <c r="D1167" s="226" t="s">
        <v>809</v>
      </c>
      <c r="E1167" s="226">
        <v>0</v>
      </c>
      <c r="F1167" s="230">
        <v>43040</v>
      </c>
      <c r="G1167" s="261">
        <f ca="1">IF(ISBLANK(I1167),TODAY()-F1167,I1167-F1167)</f>
        <v>2</v>
      </c>
      <c r="H1167" s="247" t="s">
        <v>64</v>
      </c>
      <c r="I1167" s="228">
        <v>43042</v>
      </c>
      <c r="J1167" s="257" t="s">
        <v>5160</v>
      </c>
    </row>
    <row r="1168" spans="1:11" ht="15" customHeight="1" x14ac:dyDescent="0.45">
      <c r="A1168" s="225">
        <v>1164</v>
      </c>
      <c r="B1168" s="226" t="s">
        <v>5854</v>
      </c>
      <c r="C1168" s="226" t="s">
        <v>1352</v>
      </c>
      <c r="D1168" s="226" t="s">
        <v>1354</v>
      </c>
      <c r="E1168" s="226" t="s">
        <v>160</v>
      </c>
      <c r="F1168" s="131">
        <v>43040</v>
      </c>
      <c r="G1168" s="261">
        <f ca="1">IF(ISBLANK(I1168),TODAY()-F1168,I1168-F1168)</f>
        <v>1</v>
      </c>
      <c r="H1168" s="233" t="s">
        <v>65</v>
      </c>
      <c r="I1168" s="153">
        <v>43041</v>
      </c>
      <c r="J1168" s="221" t="s">
        <v>5160</v>
      </c>
    </row>
    <row r="1169" spans="1:11" ht="15" customHeight="1" x14ac:dyDescent="0.45">
      <c r="A1169" s="225">
        <v>1165</v>
      </c>
      <c r="B1169" s="226" t="s">
        <v>5854</v>
      </c>
      <c r="C1169" s="226" t="s">
        <v>1362</v>
      </c>
      <c r="D1169" s="226" t="s">
        <v>1364</v>
      </c>
      <c r="E1169" s="226" t="s">
        <v>160</v>
      </c>
      <c r="F1169" s="131">
        <v>43040</v>
      </c>
      <c r="G1169" s="261">
        <f ca="1">IF(ISBLANK(I1169),TODAY()-F1169,I1169-F1169)</f>
        <v>1</v>
      </c>
      <c r="H1169" s="233" t="s">
        <v>65</v>
      </c>
      <c r="I1169" s="153">
        <v>43041</v>
      </c>
      <c r="J1169" s="221" t="s">
        <v>5160</v>
      </c>
    </row>
    <row r="1170" spans="1:11" ht="15" customHeight="1" x14ac:dyDescent="0.45">
      <c r="A1170" s="225">
        <v>1166</v>
      </c>
      <c r="B1170" s="226" t="s">
        <v>5854</v>
      </c>
      <c r="C1170" s="226" t="s">
        <v>1315</v>
      </c>
      <c r="D1170" s="226" t="s">
        <v>1317</v>
      </c>
      <c r="E1170" s="226" t="s">
        <v>160</v>
      </c>
      <c r="F1170" s="131">
        <v>43040</v>
      </c>
      <c r="G1170" s="261">
        <f ca="1">IF(ISBLANK(I1170),TODAY()-F1170,I1170-F1170)</f>
        <v>1</v>
      </c>
      <c r="H1170" s="233" t="s">
        <v>65</v>
      </c>
      <c r="I1170" s="153">
        <v>43041</v>
      </c>
      <c r="J1170" s="221" t="s">
        <v>5160</v>
      </c>
    </row>
    <row r="1171" spans="1:11" ht="15" customHeight="1" x14ac:dyDescent="0.45">
      <c r="A1171" s="225">
        <v>1167</v>
      </c>
      <c r="B1171" s="226" t="s">
        <v>5855</v>
      </c>
      <c r="C1171" s="226" t="s">
        <v>813</v>
      </c>
      <c r="D1171" s="226" t="s">
        <v>815</v>
      </c>
      <c r="E1171" s="226" t="s">
        <v>160</v>
      </c>
      <c r="F1171" s="131">
        <v>43040</v>
      </c>
      <c r="G1171" s="261">
        <f ca="1">IF(ISBLANK(I1171),TODAY()-F1171,I1171-F1171)</f>
        <v>47</v>
      </c>
      <c r="H1171" s="233" t="s">
        <v>160</v>
      </c>
      <c r="I1171" s="153">
        <v>43087</v>
      </c>
      <c r="J1171" s="221" t="s">
        <v>5160</v>
      </c>
    </row>
    <row r="1172" spans="1:11" ht="15" customHeight="1" x14ac:dyDescent="0.45">
      <c r="A1172" s="225">
        <v>1168</v>
      </c>
      <c r="B1172" s="226" t="s">
        <v>5856</v>
      </c>
      <c r="C1172" s="226" t="s">
        <v>1343</v>
      </c>
      <c r="D1172" s="226" t="s">
        <v>1345</v>
      </c>
      <c r="E1172" s="241">
        <v>0</v>
      </c>
      <c r="F1172" s="245">
        <v>43040</v>
      </c>
      <c r="G1172" s="261">
        <f ca="1">IF(ISBLANK(I1172),TODAY()-F1172,I1172-F1172)</f>
        <v>47</v>
      </c>
      <c r="H1172" s="247" t="s">
        <v>65</v>
      </c>
      <c r="I1172" s="228">
        <v>43087</v>
      </c>
      <c r="J1172" s="229" t="s">
        <v>5160</v>
      </c>
    </row>
    <row r="1173" spans="1:11" ht="15" customHeight="1" x14ac:dyDescent="0.45">
      <c r="A1173" s="225">
        <v>1169</v>
      </c>
      <c r="B1173" s="226" t="s">
        <v>429</v>
      </c>
      <c r="C1173" s="226" t="s">
        <v>426</v>
      </c>
      <c r="D1173" s="226" t="s">
        <v>428</v>
      </c>
      <c r="E1173" s="241">
        <v>0</v>
      </c>
      <c r="F1173" s="245">
        <v>43040</v>
      </c>
      <c r="G1173" s="261">
        <f ca="1">IF(ISBLANK(I1173),TODAY()-F1173,I1173-F1173)</f>
        <v>1</v>
      </c>
      <c r="H1173" s="247" t="s">
        <v>64</v>
      </c>
      <c r="I1173" s="228">
        <v>43041</v>
      </c>
      <c r="J1173" s="229" t="s">
        <v>5160</v>
      </c>
    </row>
    <row r="1174" spans="1:11" ht="15" customHeight="1" x14ac:dyDescent="0.45">
      <c r="A1174" s="225">
        <v>1170</v>
      </c>
      <c r="B1174" s="226" t="s">
        <v>5857</v>
      </c>
      <c r="C1174" s="226" t="s">
        <v>1551</v>
      </c>
      <c r="D1174" s="226" t="s">
        <v>1553</v>
      </c>
      <c r="E1174" s="241">
        <v>0</v>
      </c>
      <c r="F1174" s="245">
        <v>43040</v>
      </c>
      <c r="G1174" s="261">
        <f ca="1">IF(ISBLANK(I1174),TODAY()-F1174,I1174-F1174)</f>
        <v>1</v>
      </c>
      <c r="H1174" s="247" t="s">
        <v>64</v>
      </c>
      <c r="I1174" s="228">
        <v>43041</v>
      </c>
      <c r="J1174" s="257" t="s">
        <v>5160</v>
      </c>
    </row>
    <row r="1175" spans="1:11" ht="15" customHeight="1" x14ac:dyDescent="0.45">
      <c r="A1175" s="225">
        <v>1171</v>
      </c>
      <c r="B1175" s="226" t="s">
        <v>5858</v>
      </c>
      <c r="C1175" s="226" t="s">
        <v>1994</v>
      </c>
      <c r="D1175" s="226" t="s">
        <v>1996</v>
      </c>
      <c r="E1175" s="226" t="s">
        <v>65</v>
      </c>
      <c r="F1175" s="131">
        <v>43040</v>
      </c>
      <c r="G1175" s="261">
        <f ca="1">IF(ISBLANK(I1175),TODAY()-F1175,I1175-F1175)</f>
        <v>51</v>
      </c>
      <c r="H1175" s="347" t="s">
        <v>5296</v>
      </c>
      <c r="I1175" s="198">
        <v>43091</v>
      </c>
      <c r="J1175" s="221" t="s">
        <v>5113</v>
      </c>
    </row>
    <row r="1176" spans="1:11" ht="15" customHeight="1" x14ac:dyDescent="0.45">
      <c r="A1176" s="225">
        <v>1172</v>
      </c>
      <c r="B1176" s="226" t="s">
        <v>5859</v>
      </c>
      <c r="C1176" s="226" t="s">
        <v>232</v>
      </c>
      <c r="D1176" s="226" t="s">
        <v>234</v>
      </c>
      <c r="E1176" s="226">
        <v>0</v>
      </c>
      <c r="F1176" s="230">
        <v>43040</v>
      </c>
      <c r="G1176" s="261">
        <f ca="1">IF(ISBLANK(I1176),TODAY()-F1176,I1176-F1176)</f>
        <v>169</v>
      </c>
      <c r="H1176" s="179" t="s">
        <v>5296</v>
      </c>
      <c r="I1176" s="180">
        <v>43209</v>
      </c>
      <c r="J1176" s="171" t="s">
        <v>5403</v>
      </c>
      <c r="K1176" s="106" t="s">
        <v>5404</v>
      </c>
    </row>
    <row r="1177" spans="1:11" ht="15" customHeight="1" x14ac:dyDescent="0.45">
      <c r="A1177" s="225">
        <v>1173</v>
      </c>
      <c r="B1177" s="226" t="s">
        <v>953</v>
      </c>
      <c r="C1177" s="226" t="s">
        <v>967</v>
      </c>
      <c r="D1177" s="226" t="s">
        <v>969</v>
      </c>
      <c r="E1177" s="226">
        <v>0</v>
      </c>
      <c r="F1177" s="230">
        <v>43040</v>
      </c>
      <c r="G1177" s="261">
        <f ca="1">IF(ISBLANK(I1177),TODAY()-F1177,I1177-F1177)</f>
        <v>169</v>
      </c>
      <c r="H1177" s="179" t="s">
        <v>5296</v>
      </c>
      <c r="I1177" s="180">
        <v>43209</v>
      </c>
      <c r="J1177" s="171" t="s">
        <v>5403</v>
      </c>
      <c r="K1177" s="106" t="s">
        <v>5404</v>
      </c>
    </row>
    <row r="1178" spans="1:11" ht="15" customHeight="1" x14ac:dyDescent="0.45">
      <c r="A1178" s="225">
        <v>1174</v>
      </c>
      <c r="B1178" s="226" t="s">
        <v>953</v>
      </c>
      <c r="C1178" s="226" t="s">
        <v>950</v>
      </c>
      <c r="D1178" s="226" t="s">
        <v>952</v>
      </c>
      <c r="E1178" s="226">
        <v>0</v>
      </c>
      <c r="F1178" s="230">
        <v>43040</v>
      </c>
      <c r="G1178" s="261">
        <f ca="1">IF(ISBLANK(I1178),TODAY()-F1178,I1178-F1178)</f>
        <v>169</v>
      </c>
      <c r="H1178" s="170" t="s">
        <v>5296</v>
      </c>
      <c r="I1178" s="127">
        <v>43209</v>
      </c>
      <c r="J1178" s="171" t="s">
        <v>5403</v>
      </c>
      <c r="K1178" s="106" t="s">
        <v>5404</v>
      </c>
    </row>
    <row r="1179" spans="1:11" ht="15" customHeight="1" x14ac:dyDescent="0.45">
      <c r="A1179" s="225">
        <v>1175</v>
      </c>
      <c r="B1179" s="226" t="s">
        <v>953</v>
      </c>
      <c r="C1179" s="226" t="s">
        <v>940</v>
      </c>
      <c r="D1179" s="226" t="s">
        <v>942</v>
      </c>
      <c r="E1179" s="226">
        <v>0</v>
      </c>
      <c r="F1179" s="230">
        <v>43040</v>
      </c>
      <c r="G1179" s="261">
        <f ca="1">IF(ISBLANK(I1179),TODAY()-F1179,I1179-F1179)</f>
        <v>127</v>
      </c>
      <c r="H1179" s="347" t="s">
        <v>5296</v>
      </c>
      <c r="I1179" s="198">
        <v>43167</v>
      </c>
      <c r="J1179" s="221" t="s">
        <v>5113</v>
      </c>
    </row>
    <row r="1180" spans="1:11" ht="15" customHeight="1" x14ac:dyDescent="0.45">
      <c r="A1180" s="225">
        <v>1176</v>
      </c>
      <c r="B1180" s="226" t="s">
        <v>953</v>
      </c>
      <c r="C1180" s="226" t="s">
        <v>955</v>
      </c>
      <c r="D1180" s="226" t="s">
        <v>957</v>
      </c>
      <c r="E1180" s="226">
        <v>0</v>
      </c>
      <c r="F1180" s="230">
        <v>43040</v>
      </c>
      <c r="G1180" s="261">
        <f ca="1">IF(ISBLANK(I1180),TODAY()-F1180,I1180-F1180)</f>
        <v>169</v>
      </c>
      <c r="H1180" s="170" t="s">
        <v>5296</v>
      </c>
      <c r="I1180" s="127">
        <v>43209</v>
      </c>
      <c r="J1180" s="171" t="s">
        <v>5403</v>
      </c>
      <c r="K1180" s="106" t="s">
        <v>5404</v>
      </c>
    </row>
    <row r="1181" spans="1:11" ht="15" customHeight="1" x14ac:dyDescent="0.45">
      <c r="A1181" s="225">
        <v>1177</v>
      </c>
      <c r="B1181" s="226" t="s">
        <v>2239</v>
      </c>
      <c r="C1181" s="226" t="s">
        <v>2332</v>
      </c>
      <c r="D1181" s="226" t="s">
        <v>2334</v>
      </c>
      <c r="E1181" s="226">
        <v>0</v>
      </c>
      <c r="F1181" s="230">
        <v>43040</v>
      </c>
      <c r="G1181" s="261">
        <f ca="1">IF(ISBLANK(I1181),TODAY()-F1181,I1181-F1181)</f>
        <v>2</v>
      </c>
      <c r="H1181" s="247" t="s">
        <v>64</v>
      </c>
      <c r="I1181" s="228">
        <v>43042</v>
      </c>
      <c r="J1181" s="257" t="s">
        <v>5160</v>
      </c>
    </row>
    <row r="1182" spans="1:11" ht="15" customHeight="1" x14ac:dyDescent="0.45">
      <c r="A1182" s="225">
        <v>1178</v>
      </c>
      <c r="B1182" s="226" t="s">
        <v>2239</v>
      </c>
      <c r="C1182" s="226" t="s">
        <v>2329</v>
      </c>
      <c r="D1182" s="226" t="s">
        <v>2331</v>
      </c>
      <c r="E1182" s="226">
        <v>0</v>
      </c>
      <c r="F1182" s="230">
        <v>43040</v>
      </c>
      <c r="G1182" s="261">
        <f ca="1">IF(ISBLANK(I1182),TODAY()-F1182,I1182-F1182)</f>
        <v>2</v>
      </c>
      <c r="H1182" s="247" t="s">
        <v>64</v>
      </c>
      <c r="I1182" s="228">
        <v>43042</v>
      </c>
      <c r="J1182" s="257" t="s">
        <v>5160</v>
      </c>
    </row>
    <row r="1183" spans="1:11" ht="15" customHeight="1" x14ac:dyDescent="0.45">
      <c r="A1183" s="225">
        <v>1179</v>
      </c>
      <c r="B1183" s="226" t="s">
        <v>2239</v>
      </c>
      <c r="C1183" s="226" t="s">
        <v>5860</v>
      </c>
      <c r="D1183" s="226" t="s">
        <v>2324</v>
      </c>
      <c r="E1183" s="226">
        <v>0</v>
      </c>
      <c r="F1183" s="230">
        <v>43040</v>
      </c>
      <c r="G1183" s="261">
        <f ca="1">IF(ISBLANK(I1183),TODAY()-F1183,I1183-F1183)</f>
        <v>2</v>
      </c>
      <c r="H1183" s="247" t="s">
        <v>64</v>
      </c>
      <c r="I1183" s="228">
        <v>43042</v>
      </c>
      <c r="J1183" s="257" t="s">
        <v>5160</v>
      </c>
    </row>
    <row r="1184" spans="1:11" ht="15" customHeight="1" x14ac:dyDescent="0.45">
      <c r="A1184" s="225">
        <v>1180</v>
      </c>
      <c r="B1184" s="226" t="s">
        <v>2239</v>
      </c>
      <c r="C1184" s="226" t="s">
        <v>2318</v>
      </c>
      <c r="D1184" s="226" t="s">
        <v>2320</v>
      </c>
      <c r="E1184" s="226">
        <v>0</v>
      </c>
      <c r="F1184" s="230">
        <v>43040</v>
      </c>
      <c r="G1184" s="261">
        <f ca="1">IF(ISBLANK(I1184),TODAY()-F1184,I1184-F1184)</f>
        <v>2</v>
      </c>
      <c r="H1184" s="247" t="s">
        <v>64</v>
      </c>
      <c r="I1184" s="228">
        <v>43042</v>
      </c>
      <c r="J1184" s="257" t="s">
        <v>5160</v>
      </c>
    </row>
    <row r="1185" spans="1:11" ht="15" customHeight="1" x14ac:dyDescent="0.45">
      <c r="A1185" s="225">
        <v>1181</v>
      </c>
      <c r="B1185" s="226" t="s">
        <v>2239</v>
      </c>
      <c r="C1185" s="226" t="s">
        <v>2248</v>
      </c>
      <c r="D1185" s="226" t="s">
        <v>2250</v>
      </c>
      <c r="E1185" s="226">
        <v>0</v>
      </c>
      <c r="F1185" s="230">
        <v>43040</v>
      </c>
      <c r="G1185" s="261">
        <f ca="1">IF(ISBLANK(I1185),TODAY()-F1185,I1185-F1185)</f>
        <v>2</v>
      </c>
      <c r="H1185" s="247" t="s">
        <v>64</v>
      </c>
      <c r="I1185" s="228">
        <v>43042</v>
      </c>
      <c r="J1185" s="257" t="s">
        <v>5160</v>
      </c>
    </row>
    <row r="1186" spans="1:11" ht="15" customHeight="1" x14ac:dyDescent="0.45">
      <c r="A1186" s="225">
        <v>1182</v>
      </c>
      <c r="B1186" s="226" t="s">
        <v>2239</v>
      </c>
      <c r="C1186" s="226" t="s">
        <v>2245</v>
      </c>
      <c r="D1186" s="226" t="s">
        <v>2247</v>
      </c>
      <c r="E1186" s="226">
        <v>0</v>
      </c>
      <c r="F1186" s="230">
        <v>43040</v>
      </c>
      <c r="G1186" s="261">
        <f ca="1">IF(ISBLANK(I1186),TODAY()-F1186,I1186-F1186)</f>
        <v>2</v>
      </c>
      <c r="H1186" s="247" t="s">
        <v>64</v>
      </c>
      <c r="I1186" s="228">
        <v>43042</v>
      </c>
      <c r="J1186" s="257" t="s">
        <v>5160</v>
      </c>
    </row>
    <row r="1187" spans="1:11" ht="15" customHeight="1" x14ac:dyDescent="0.45">
      <c r="A1187" s="225">
        <v>1183</v>
      </c>
      <c r="B1187" s="226" t="s">
        <v>2239</v>
      </c>
      <c r="C1187" s="226" t="s">
        <v>2236</v>
      </c>
      <c r="D1187" s="226" t="s">
        <v>2238</v>
      </c>
      <c r="E1187" s="226">
        <v>0</v>
      </c>
      <c r="F1187" s="230">
        <v>43040</v>
      </c>
      <c r="G1187" s="261">
        <f ca="1">IF(ISBLANK(I1187),TODAY()-F1187,I1187-F1187)</f>
        <v>2</v>
      </c>
      <c r="H1187" s="247" t="s">
        <v>64</v>
      </c>
      <c r="I1187" s="228">
        <v>43042</v>
      </c>
      <c r="J1187" s="257" t="s">
        <v>5160</v>
      </c>
    </row>
    <row r="1188" spans="1:11" ht="15" customHeight="1" x14ac:dyDescent="0.45">
      <c r="A1188" s="225">
        <v>1184</v>
      </c>
      <c r="B1188" s="226" t="s">
        <v>2239</v>
      </c>
      <c r="C1188" s="226" t="s">
        <v>2231</v>
      </c>
      <c r="D1188" s="226" t="s">
        <v>2233</v>
      </c>
      <c r="E1188" s="226">
        <v>0</v>
      </c>
      <c r="F1188" s="230">
        <v>43040</v>
      </c>
      <c r="G1188" s="261">
        <f ca="1">IF(ISBLANK(I1188),TODAY()-F1188,I1188-F1188)</f>
        <v>2</v>
      </c>
      <c r="H1188" s="247" t="s">
        <v>64</v>
      </c>
      <c r="I1188" s="228">
        <v>43042</v>
      </c>
      <c r="J1188" s="257" t="s">
        <v>5160</v>
      </c>
    </row>
    <row r="1189" spans="1:11" ht="15" customHeight="1" x14ac:dyDescent="0.45">
      <c r="A1189" s="225">
        <v>1185</v>
      </c>
      <c r="B1189" s="226" t="s">
        <v>2205</v>
      </c>
      <c r="C1189" s="226" t="s">
        <v>2326</v>
      </c>
      <c r="D1189" s="226" t="s">
        <v>2328</v>
      </c>
      <c r="E1189" s="226">
        <v>0</v>
      </c>
      <c r="F1189" s="230">
        <v>43040</v>
      </c>
      <c r="G1189" s="261">
        <f ca="1">IF(ISBLANK(I1189),TODAY()-F1189,I1189-F1189)</f>
        <v>2</v>
      </c>
      <c r="H1189" s="247" t="s">
        <v>64</v>
      </c>
      <c r="I1189" s="228">
        <v>43042</v>
      </c>
      <c r="J1189" s="257" t="s">
        <v>5160</v>
      </c>
    </row>
    <row r="1190" spans="1:11" ht="15" customHeight="1" x14ac:dyDescent="0.45">
      <c r="A1190" s="225">
        <v>1186</v>
      </c>
      <c r="B1190" s="226" t="s">
        <v>2205</v>
      </c>
      <c r="C1190" s="226" t="s">
        <v>2297</v>
      </c>
      <c r="D1190" s="226" t="s">
        <v>2299</v>
      </c>
      <c r="E1190" s="226">
        <v>0</v>
      </c>
      <c r="F1190" s="230">
        <v>43040</v>
      </c>
      <c r="G1190" s="261">
        <f ca="1">IF(ISBLANK(I1190),TODAY()-F1190,I1190-F1190)</f>
        <v>14</v>
      </c>
      <c r="H1190" s="233" t="s">
        <v>5296</v>
      </c>
      <c r="I1190" s="153">
        <v>43054</v>
      </c>
      <c r="J1190" s="221" t="s">
        <v>5113</v>
      </c>
    </row>
    <row r="1191" spans="1:11" ht="15" customHeight="1" x14ac:dyDescent="0.45">
      <c r="A1191" s="225">
        <v>1187</v>
      </c>
      <c r="B1191" s="226" t="s">
        <v>2205</v>
      </c>
      <c r="C1191" s="226" t="s">
        <v>2241</v>
      </c>
      <c r="D1191" s="226" t="s">
        <v>2243</v>
      </c>
      <c r="E1191" s="226">
        <v>0</v>
      </c>
      <c r="F1191" s="230">
        <v>43040</v>
      </c>
      <c r="G1191" s="261">
        <f ca="1">IF(ISBLANK(I1191),TODAY()-F1191,I1191-F1191)</f>
        <v>2</v>
      </c>
      <c r="H1191" s="247" t="s">
        <v>64</v>
      </c>
      <c r="I1191" s="228">
        <v>43042</v>
      </c>
      <c r="J1191" s="257" t="s">
        <v>5160</v>
      </c>
    </row>
    <row r="1192" spans="1:11" ht="15" customHeight="1" x14ac:dyDescent="0.45">
      <c r="A1192" s="225">
        <v>1188</v>
      </c>
      <c r="B1192" s="226" t="s">
        <v>2205</v>
      </c>
      <c r="C1192" s="226" t="s">
        <v>2202</v>
      </c>
      <c r="D1192" s="226" t="s">
        <v>2204</v>
      </c>
      <c r="E1192" s="226">
        <v>0</v>
      </c>
      <c r="F1192" s="230">
        <v>43040</v>
      </c>
      <c r="G1192" s="261">
        <f ca="1">IF(ISBLANK(I1192),TODAY()-F1192,I1192-F1192)</f>
        <v>2</v>
      </c>
      <c r="H1192" s="247" t="s">
        <v>64</v>
      </c>
      <c r="I1192" s="228">
        <v>43042</v>
      </c>
      <c r="J1192" s="229" t="s">
        <v>5160</v>
      </c>
    </row>
    <row r="1193" spans="1:11" ht="15" customHeight="1" x14ac:dyDescent="0.45">
      <c r="A1193" s="225">
        <v>1189</v>
      </c>
      <c r="B1193" s="226" t="s">
        <v>5861</v>
      </c>
      <c r="C1193" s="226" t="s">
        <v>1476</v>
      </c>
      <c r="D1193" s="226" t="s">
        <v>1478</v>
      </c>
      <c r="E1193" s="241">
        <v>0</v>
      </c>
      <c r="F1193" s="245">
        <v>43040</v>
      </c>
      <c r="G1193" s="261">
        <f ca="1">IF(ISBLANK(I1193),TODAY()-F1193,I1193-F1193)</f>
        <v>1</v>
      </c>
      <c r="H1193" s="247" t="s">
        <v>5344</v>
      </c>
      <c r="I1193" s="228">
        <v>43041</v>
      </c>
      <c r="J1193" s="257" t="s">
        <v>5160</v>
      </c>
    </row>
    <row r="1194" spans="1:11" ht="15" customHeight="1" x14ac:dyDescent="0.45">
      <c r="A1194" s="225">
        <v>1190</v>
      </c>
      <c r="B1194" s="226" t="s">
        <v>5862</v>
      </c>
      <c r="C1194" s="226" t="s">
        <v>976</v>
      </c>
      <c r="D1194" s="226" t="s">
        <v>978</v>
      </c>
      <c r="E1194" s="226">
        <v>0</v>
      </c>
      <c r="F1194" s="230">
        <v>43040</v>
      </c>
      <c r="G1194" s="261">
        <f ca="1">IF(ISBLANK(I1194),TODAY()-F1194,I1194-F1194)</f>
        <v>2</v>
      </c>
      <c r="H1194" s="247" t="s">
        <v>64</v>
      </c>
      <c r="I1194" s="228">
        <v>43042</v>
      </c>
      <c r="J1194" s="257" t="s">
        <v>5160</v>
      </c>
    </row>
    <row r="1195" spans="1:11" ht="15" customHeight="1" x14ac:dyDescent="0.45">
      <c r="A1195" s="225">
        <v>1191</v>
      </c>
      <c r="B1195" s="226" t="s">
        <v>5862</v>
      </c>
      <c r="C1195" s="226" t="s">
        <v>946</v>
      </c>
      <c r="D1195" s="226" t="s">
        <v>948</v>
      </c>
      <c r="E1195" s="226">
        <v>0</v>
      </c>
      <c r="F1195" s="230">
        <v>43040</v>
      </c>
      <c r="G1195" s="261">
        <f ca="1">IF(ISBLANK(I1195),TODAY()-F1195,I1195-F1195)</f>
        <v>2</v>
      </c>
      <c r="H1195" s="247" t="s">
        <v>5493</v>
      </c>
      <c r="I1195" s="228">
        <v>43042</v>
      </c>
      <c r="J1195" s="229" t="s">
        <v>5160</v>
      </c>
    </row>
    <row r="1196" spans="1:11" ht="15" customHeight="1" x14ac:dyDescent="0.45">
      <c r="A1196" s="225">
        <v>1193</v>
      </c>
      <c r="B1196" s="226" t="s">
        <v>353</v>
      </c>
      <c r="C1196" s="226" t="s">
        <v>367</v>
      </c>
      <c r="D1196" s="226" t="s">
        <v>369</v>
      </c>
      <c r="E1196" s="226">
        <v>0</v>
      </c>
      <c r="F1196" s="230">
        <v>43040</v>
      </c>
      <c r="G1196" s="261">
        <f ca="1">IF(ISBLANK(I1196),TODAY()-F1196,I1196-F1196)</f>
        <v>169</v>
      </c>
      <c r="H1196" s="179" t="s">
        <v>5296</v>
      </c>
      <c r="I1196" s="180">
        <v>43209</v>
      </c>
      <c r="J1196" s="171" t="s">
        <v>5403</v>
      </c>
      <c r="K1196" s="106" t="s">
        <v>5404</v>
      </c>
    </row>
    <row r="1197" spans="1:11" ht="15" customHeight="1" x14ac:dyDescent="0.45">
      <c r="A1197" s="225">
        <v>1194</v>
      </c>
      <c r="B1197" s="226" t="s">
        <v>353</v>
      </c>
      <c r="C1197" s="226" t="s">
        <v>350</v>
      </c>
      <c r="D1197" s="226" t="s">
        <v>352</v>
      </c>
      <c r="E1197" s="226">
        <v>0</v>
      </c>
      <c r="F1197" s="230">
        <v>43040</v>
      </c>
      <c r="G1197" s="261">
        <f ca="1">IF(ISBLANK(I1197),TODAY()-F1197,I1197-F1197)</f>
        <v>169</v>
      </c>
      <c r="H1197" s="179" t="s">
        <v>5296</v>
      </c>
      <c r="I1197" s="180">
        <v>43209</v>
      </c>
      <c r="J1197" s="171" t="s">
        <v>5403</v>
      </c>
      <c r="K1197" s="106" t="s">
        <v>5404</v>
      </c>
    </row>
    <row r="1198" spans="1:11" ht="15" customHeight="1" x14ac:dyDescent="0.45">
      <c r="A1198" s="225">
        <v>1195</v>
      </c>
      <c r="B1198" s="226" t="s">
        <v>5864</v>
      </c>
      <c r="C1198" s="226" t="s">
        <v>697</v>
      </c>
      <c r="D1198" s="226" t="s">
        <v>699</v>
      </c>
      <c r="E1198" s="226">
        <v>0</v>
      </c>
      <c r="F1198" s="230">
        <v>43040</v>
      </c>
      <c r="G1198" s="261">
        <f ca="1">IF(ISBLANK(I1198),TODAY()-F1198,I1198-F1198)</f>
        <v>44</v>
      </c>
      <c r="H1198" s="233" t="s">
        <v>5296</v>
      </c>
      <c r="I1198" s="153">
        <v>43084</v>
      </c>
      <c r="J1198" s="221" t="s">
        <v>5113</v>
      </c>
    </row>
    <row r="1199" spans="1:11" ht="15" customHeight="1" x14ac:dyDescent="0.45">
      <c r="A1199" s="225">
        <v>1201</v>
      </c>
      <c r="B1199" s="226" t="s">
        <v>641</v>
      </c>
      <c r="C1199" s="226" t="s">
        <v>638</v>
      </c>
      <c r="D1199" s="226" t="s">
        <v>640</v>
      </c>
      <c r="E1199" s="241">
        <v>0</v>
      </c>
      <c r="F1199" s="245">
        <v>43040</v>
      </c>
      <c r="G1199" s="261">
        <f ca="1">IF(ISBLANK(I1199),TODAY()-F1199,I1199-F1199)</f>
        <v>1</v>
      </c>
      <c r="H1199" s="247" t="s">
        <v>64</v>
      </c>
      <c r="I1199" s="228">
        <v>43041</v>
      </c>
      <c r="J1199" s="257" t="s">
        <v>5160</v>
      </c>
    </row>
    <row r="1200" spans="1:11" ht="15" customHeight="1" x14ac:dyDescent="0.45">
      <c r="A1200" s="225">
        <v>1206</v>
      </c>
      <c r="B1200" s="226" t="s">
        <v>656</v>
      </c>
      <c r="C1200" s="226" t="s">
        <v>662</v>
      </c>
      <c r="D1200" s="226" t="s">
        <v>664</v>
      </c>
      <c r="E1200" s="226">
        <v>1</v>
      </c>
      <c r="F1200" s="230">
        <v>43040</v>
      </c>
      <c r="G1200" s="261">
        <f ca="1">IF(ISBLANK(I1200),TODAY()-F1200,I1200-F1200)</f>
        <v>169</v>
      </c>
      <c r="H1200" s="170" t="s">
        <v>5296</v>
      </c>
      <c r="I1200" s="127">
        <v>43209</v>
      </c>
      <c r="J1200" s="171" t="s">
        <v>5403</v>
      </c>
      <c r="K1200" s="106" t="s">
        <v>5404</v>
      </c>
    </row>
    <row r="1201" spans="1:11" ht="15" customHeight="1" x14ac:dyDescent="0.45">
      <c r="A1201" s="225">
        <v>1207</v>
      </c>
      <c r="B1201" s="226" t="s">
        <v>656</v>
      </c>
      <c r="C1201" s="226" t="s">
        <v>653</v>
      </c>
      <c r="D1201" s="226" t="s">
        <v>655</v>
      </c>
      <c r="E1201" s="226">
        <v>1</v>
      </c>
      <c r="F1201" s="230">
        <v>43040</v>
      </c>
      <c r="G1201" s="261">
        <f ca="1">IF(ISBLANK(I1201),TODAY()-F1201,I1201-F1201)</f>
        <v>169</v>
      </c>
      <c r="H1201" s="170" t="s">
        <v>5296</v>
      </c>
      <c r="I1201" s="127">
        <v>43209</v>
      </c>
      <c r="J1201" s="171" t="s">
        <v>5403</v>
      </c>
      <c r="K1201" s="106" t="s">
        <v>5404</v>
      </c>
    </row>
    <row r="1202" spans="1:11" ht="15" customHeight="1" x14ac:dyDescent="0.45">
      <c r="A1202" s="225">
        <v>1208</v>
      </c>
      <c r="B1202" s="226" t="s">
        <v>656</v>
      </c>
      <c r="C1202" s="226" t="s">
        <v>677</v>
      </c>
      <c r="D1202" s="226" t="s">
        <v>679</v>
      </c>
      <c r="E1202" s="226">
        <v>0</v>
      </c>
      <c r="F1202" s="230">
        <v>43040</v>
      </c>
      <c r="G1202" s="261">
        <f ca="1">IF(ISBLANK(I1202),TODAY()-F1202,I1202-F1202)</f>
        <v>169</v>
      </c>
      <c r="H1202" s="170" t="s">
        <v>5296</v>
      </c>
      <c r="I1202" s="127">
        <v>43209</v>
      </c>
      <c r="J1202" s="171" t="s">
        <v>5403</v>
      </c>
      <c r="K1202" s="106" t="s">
        <v>5404</v>
      </c>
    </row>
    <row r="1203" spans="1:11" ht="15" customHeight="1" x14ac:dyDescent="0.45">
      <c r="A1203" s="225">
        <v>1192</v>
      </c>
      <c r="B1203" s="226" t="s">
        <v>5863</v>
      </c>
      <c r="C1203" s="226" t="s">
        <v>1008</v>
      </c>
      <c r="D1203" s="226" t="s">
        <v>1010</v>
      </c>
      <c r="E1203" s="226" t="s">
        <v>160</v>
      </c>
      <c r="F1203" s="131">
        <v>43041</v>
      </c>
      <c r="G1203" s="261">
        <f ca="1">IF(ISBLANK(I1203),TODAY()-F1203,I1203-F1203)</f>
        <v>21</v>
      </c>
      <c r="H1203" s="253" t="s">
        <v>2702</v>
      </c>
      <c r="I1203" s="264">
        <v>43062</v>
      </c>
      <c r="J1203" s="381" t="s">
        <v>5160</v>
      </c>
    </row>
    <row r="1204" spans="1:11" ht="15" customHeight="1" x14ac:dyDescent="0.45">
      <c r="A1204" s="225">
        <v>1202</v>
      </c>
      <c r="B1204" s="226" t="s">
        <v>5867</v>
      </c>
      <c r="C1204" s="226" t="s">
        <v>1979</v>
      </c>
      <c r="D1204" s="226" t="s">
        <v>1981</v>
      </c>
      <c r="E1204" s="226" t="s">
        <v>160</v>
      </c>
      <c r="F1204" s="245">
        <v>43041</v>
      </c>
      <c r="G1204" s="261">
        <f ca="1">IF(ISBLANK(I1204),TODAY()-F1204,I1204-F1204)</f>
        <v>21</v>
      </c>
      <c r="H1204" s="262" t="s">
        <v>65</v>
      </c>
      <c r="I1204" s="265">
        <v>43062</v>
      </c>
      <c r="J1204" s="263" t="s">
        <v>5160</v>
      </c>
    </row>
    <row r="1205" spans="1:11" ht="15" customHeight="1" x14ac:dyDescent="0.45">
      <c r="A1205" s="225">
        <v>1203</v>
      </c>
      <c r="B1205" s="226" t="s">
        <v>5867</v>
      </c>
      <c r="C1205" s="226" t="s">
        <v>1943</v>
      </c>
      <c r="D1205" s="226" t="s">
        <v>1945</v>
      </c>
      <c r="E1205" s="226" t="s">
        <v>160</v>
      </c>
      <c r="F1205" s="245">
        <v>43041</v>
      </c>
      <c r="G1205" s="261">
        <f ca="1">IF(ISBLANK(I1205),TODAY()-F1205,I1205-F1205)</f>
        <v>21</v>
      </c>
      <c r="H1205" s="262" t="s">
        <v>160</v>
      </c>
      <c r="I1205" s="265">
        <v>43062</v>
      </c>
      <c r="J1205" s="263" t="s">
        <v>5160</v>
      </c>
    </row>
    <row r="1206" spans="1:11" ht="15" customHeight="1" x14ac:dyDescent="0.45">
      <c r="A1206" s="225">
        <v>1204</v>
      </c>
      <c r="B1206" s="226" t="s">
        <v>5867</v>
      </c>
      <c r="C1206" s="226" t="s">
        <v>1927</v>
      </c>
      <c r="D1206" s="226" t="s">
        <v>1929</v>
      </c>
      <c r="E1206" s="226" t="s">
        <v>65</v>
      </c>
      <c r="F1206" s="245">
        <v>43041</v>
      </c>
      <c r="G1206" s="261">
        <f ca="1">IF(ISBLANK(I1206),TODAY()-F1206,I1206-F1206)</f>
        <v>57</v>
      </c>
      <c r="H1206" s="272" t="s">
        <v>164</v>
      </c>
      <c r="I1206" s="213">
        <v>43098</v>
      </c>
      <c r="J1206" s="206" t="s">
        <v>5113</v>
      </c>
    </row>
    <row r="1207" spans="1:11" ht="15" customHeight="1" x14ac:dyDescent="0.45">
      <c r="A1207" s="225">
        <v>1205</v>
      </c>
      <c r="B1207" s="226" t="s">
        <v>5867</v>
      </c>
      <c r="C1207" s="226" t="s">
        <v>1857</v>
      </c>
      <c r="D1207" s="226" t="s">
        <v>1859</v>
      </c>
      <c r="E1207" s="226" t="s">
        <v>160</v>
      </c>
      <c r="F1207" s="245">
        <v>43041</v>
      </c>
      <c r="G1207" s="261">
        <f ca="1">IF(ISBLANK(I1207),TODAY()-F1207,I1207-F1207)</f>
        <v>21</v>
      </c>
      <c r="H1207" s="253" t="s">
        <v>2702</v>
      </c>
      <c r="I1207" s="264">
        <v>43062</v>
      </c>
      <c r="J1207" s="381" t="s">
        <v>5160</v>
      </c>
    </row>
    <row r="1208" spans="1:11" ht="15" customHeight="1" x14ac:dyDescent="0.45">
      <c r="A1208" s="225">
        <v>1196</v>
      </c>
      <c r="B1208" s="226" t="s">
        <v>5865</v>
      </c>
      <c r="C1208" s="226" t="s">
        <v>1761</v>
      </c>
      <c r="D1208" s="226" t="s">
        <v>1763</v>
      </c>
      <c r="E1208" s="226" t="s">
        <v>65</v>
      </c>
      <c r="F1208" s="131">
        <v>43042</v>
      </c>
      <c r="G1208" s="261">
        <f ca="1">IF(ISBLANK(I1208),TODAY()-F1208,I1208-F1208)</f>
        <v>56</v>
      </c>
      <c r="H1208" s="269" t="s">
        <v>164</v>
      </c>
      <c r="I1208" s="270">
        <v>43098</v>
      </c>
      <c r="J1208" s="382" t="s">
        <v>5113</v>
      </c>
    </row>
    <row r="1209" spans="1:11" ht="15" customHeight="1" x14ac:dyDescent="0.45">
      <c r="A1209" s="225">
        <v>1197</v>
      </c>
      <c r="B1209" s="226" t="s">
        <v>5865</v>
      </c>
      <c r="C1209" s="226" t="s">
        <v>1738</v>
      </c>
      <c r="D1209" s="226" t="s">
        <v>1740</v>
      </c>
      <c r="E1209" s="226" t="s">
        <v>160</v>
      </c>
      <c r="F1209" s="131">
        <v>43042</v>
      </c>
      <c r="G1209" s="261">
        <f ca="1">IF(ISBLANK(I1209),TODAY()-F1209,I1209-F1209)</f>
        <v>56</v>
      </c>
      <c r="H1209" s="360" t="s">
        <v>65</v>
      </c>
      <c r="I1209" s="215">
        <v>43098</v>
      </c>
      <c r="J1209" s="216" t="s">
        <v>5113</v>
      </c>
    </row>
    <row r="1210" spans="1:11" ht="15" customHeight="1" x14ac:dyDescent="0.45">
      <c r="A1210" s="225">
        <v>1198</v>
      </c>
      <c r="B1210" s="226" t="s">
        <v>5865</v>
      </c>
      <c r="C1210" s="226" t="s">
        <v>1764</v>
      </c>
      <c r="D1210" s="226" t="s">
        <v>1766</v>
      </c>
      <c r="E1210" s="226" t="s">
        <v>65</v>
      </c>
      <c r="F1210" s="131">
        <v>43042</v>
      </c>
      <c r="G1210" s="261">
        <f ca="1">IF(ISBLANK(I1210),TODAY()-F1210,I1210-F1210)</f>
        <v>56</v>
      </c>
      <c r="H1210" s="350" t="s">
        <v>65</v>
      </c>
      <c r="I1210" s="368">
        <v>43098</v>
      </c>
      <c r="J1210" s="271" t="s">
        <v>5113</v>
      </c>
    </row>
    <row r="1211" spans="1:11" ht="15" customHeight="1" x14ac:dyDescent="0.45">
      <c r="A1211" s="225">
        <v>1199</v>
      </c>
      <c r="B1211" s="226" t="s">
        <v>5865</v>
      </c>
      <c r="C1211" s="226" t="s">
        <v>1711</v>
      </c>
      <c r="D1211" s="226" t="s">
        <v>5866</v>
      </c>
      <c r="E1211" s="226" t="s">
        <v>65</v>
      </c>
      <c r="F1211" s="131">
        <v>43042</v>
      </c>
      <c r="G1211" s="261">
        <f ca="1">IF(ISBLANK(I1211),TODAY()-F1211,I1211-F1211)</f>
        <v>56</v>
      </c>
      <c r="H1211" s="350" t="s">
        <v>65</v>
      </c>
      <c r="I1211" s="368">
        <v>43098</v>
      </c>
      <c r="J1211" s="271" t="s">
        <v>5113</v>
      </c>
    </row>
    <row r="1212" spans="1:11" ht="15" customHeight="1" x14ac:dyDescent="0.45">
      <c r="A1212" s="225">
        <v>1200</v>
      </c>
      <c r="B1212" s="226" t="s">
        <v>5865</v>
      </c>
      <c r="C1212" s="226" t="s">
        <v>1699</v>
      </c>
      <c r="D1212" s="226" t="s">
        <v>1701</v>
      </c>
      <c r="E1212" s="226" t="s">
        <v>160</v>
      </c>
      <c r="F1212" s="131">
        <v>43042</v>
      </c>
      <c r="G1212" s="261">
        <f ca="1">IF(ISBLANK(I1212),TODAY()-F1212,I1212-F1212)</f>
        <v>56</v>
      </c>
      <c r="H1212" s="269" t="s">
        <v>65</v>
      </c>
      <c r="I1212" s="270">
        <v>43098</v>
      </c>
      <c r="J1212" s="271" t="s">
        <v>5113</v>
      </c>
    </row>
    <row r="1213" spans="1:11" ht="15" customHeight="1" x14ac:dyDescent="0.45">
      <c r="A1213" s="225">
        <v>1209</v>
      </c>
      <c r="B1213" s="226" t="s">
        <v>5868</v>
      </c>
      <c r="C1213" s="226" t="s">
        <v>5869</v>
      </c>
      <c r="D1213" s="226" t="s">
        <v>5870</v>
      </c>
      <c r="E1213" s="226"/>
      <c r="F1213" s="230">
        <v>43049</v>
      </c>
      <c r="G1213" s="261">
        <f ca="1">IF(ISBLANK(I1213),TODAY()-F1213,I1213-F1213)</f>
        <v>5</v>
      </c>
      <c r="H1213" s="233" t="s">
        <v>5296</v>
      </c>
      <c r="I1213" s="153">
        <v>43054</v>
      </c>
      <c r="J1213" s="231" t="s">
        <v>5113</v>
      </c>
    </row>
    <row r="1214" spans="1:11" ht="15" customHeight="1" x14ac:dyDescent="0.45">
      <c r="A1214" s="225">
        <v>1210</v>
      </c>
      <c r="B1214" s="226" t="s">
        <v>1002</v>
      </c>
      <c r="C1214" s="226" t="s">
        <v>999</v>
      </c>
      <c r="D1214" s="226" t="s">
        <v>1001</v>
      </c>
      <c r="E1214" s="226">
        <v>0</v>
      </c>
      <c r="F1214" s="245">
        <v>43052</v>
      </c>
      <c r="G1214" s="261">
        <f ca="1">IF(ISBLANK(I1214),TODAY()-F1214,I1214-F1214)</f>
        <v>0</v>
      </c>
      <c r="H1214" s="253" t="s">
        <v>5781</v>
      </c>
      <c r="I1214" s="264">
        <v>43052</v>
      </c>
      <c r="J1214" s="254" t="s">
        <v>5160</v>
      </c>
    </row>
    <row r="1215" spans="1:11" ht="15" customHeight="1" x14ac:dyDescent="0.45">
      <c r="A1215" s="225">
        <v>1211</v>
      </c>
      <c r="B1215" s="226" t="s">
        <v>1002</v>
      </c>
      <c r="C1215" s="226" t="s">
        <v>1023</v>
      </c>
      <c r="D1215" s="226" t="s">
        <v>1025</v>
      </c>
      <c r="E1215" s="226">
        <v>0</v>
      </c>
      <c r="F1215" s="245">
        <v>43052</v>
      </c>
      <c r="G1215" s="261">
        <f ca="1">IF(ISBLANK(I1215),TODAY()-F1215,I1215-F1215)</f>
        <v>0</v>
      </c>
      <c r="H1215" s="253" t="s">
        <v>64</v>
      </c>
      <c r="I1215" s="264">
        <v>43052</v>
      </c>
      <c r="J1215" s="381" t="s">
        <v>5160</v>
      </c>
    </row>
    <row r="1216" spans="1:11" ht="15" customHeight="1" x14ac:dyDescent="0.45">
      <c r="A1216" s="225">
        <v>1215</v>
      </c>
      <c r="B1216" s="226" t="s">
        <v>5872</v>
      </c>
      <c r="C1216" s="226" t="s">
        <v>933</v>
      </c>
      <c r="D1216" s="226" t="s">
        <v>935</v>
      </c>
      <c r="E1216" s="226" t="s">
        <v>160</v>
      </c>
      <c r="F1216" s="245">
        <v>43052</v>
      </c>
      <c r="G1216" s="261">
        <f ca="1">IF(ISBLANK(I1216),TODAY()-F1216,I1216-F1216)</f>
        <v>46</v>
      </c>
      <c r="H1216" s="273" t="s">
        <v>65</v>
      </c>
      <c r="I1216" s="213">
        <v>43098</v>
      </c>
      <c r="J1216" s="216" t="s">
        <v>5113</v>
      </c>
    </row>
    <row r="1217" spans="1:10" ht="15" customHeight="1" x14ac:dyDescent="0.45">
      <c r="A1217" s="225">
        <v>1216</v>
      </c>
      <c r="B1217" s="226" t="s">
        <v>931</v>
      </c>
      <c r="C1217" s="226" t="s">
        <v>924</v>
      </c>
      <c r="D1217" s="226" t="s">
        <v>926</v>
      </c>
      <c r="E1217" s="226">
        <v>0</v>
      </c>
      <c r="F1217" s="245">
        <v>43052</v>
      </c>
      <c r="G1217" s="261">
        <f ca="1">IF(ISBLANK(I1217),TODAY()-F1217,I1217-F1217)</f>
        <v>0</v>
      </c>
      <c r="H1217" s="253" t="s">
        <v>64</v>
      </c>
      <c r="I1217" s="264">
        <v>43052</v>
      </c>
      <c r="J1217" s="381" t="s">
        <v>5160</v>
      </c>
    </row>
    <row r="1218" spans="1:10" ht="15" customHeight="1" x14ac:dyDescent="0.45">
      <c r="A1218" s="225">
        <v>1217</v>
      </c>
      <c r="B1218" s="226" t="s">
        <v>931</v>
      </c>
      <c r="C1218" s="226" t="s">
        <v>928</v>
      </c>
      <c r="D1218" s="226" t="s">
        <v>930</v>
      </c>
      <c r="E1218" s="226">
        <v>0</v>
      </c>
      <c r="F1218" s="245">
        <v>43052</v>
      </c>
      <c r="G1218" s="261">
        <f ca="1">IF(ISBLANK(I1218),TODAY()-F1218,I1218-F1218)</f>
        <v>0</v>
      </c>
      <c r="H1218" s="253" t="s">
        <v>64</v>
      </c>
      <c r="I1218" s="264">
        <v>43052</v>
      </c>
      <c r="J1218" s="381" t="s">
        <v>5160</v>
      </c>
    </row>
    <row r="1219" spans="1:10" ht="15" customHeight="1" x14ac:dyDescent="0.45">
      <c r="A1219" s="225">
        <v>1218</v>
      </c>
      <c r="B1219" s="226" t="s">
        <v>5873</v>
      </c>
      <c r="C1219" s="226" t="s">
        <v>2107</v>
      </c>
      <c r="D1219" s="226" t="s">
        <v>2109</v>
      </c>
      <c r="E1219" s="226" t="s">
        <v>160</v>
      </c>
      <c r="F1219" s="245">
        <v>43052</v>
      </c>
      <c r="G1219" s="261">
        <f ca="1">IF(ISBLANK(I1219),TODAY()-F1219,I1219-F1219)</f>
        <v>46</v>
      </c>
      <c r="H1219" s="273" t="s">
        <v>164</v>
      </c>
      <c r="I1219" s="213">
        <v>43098</v>
      </c>
      <c r="J1219" s="206" t="s">
        <v>5113</v>
      </c>
    </row>
    <row r="1220" spans="1:10" ht="15" customHeight="1" x14ac:dyDescent="0.45">
      <c r="A1220" s="225">
        <v>1219</v>
      </c>
      <c r="B1220" s="226" t="s">
        <v>5873</v>
      </c>
      <c r="C1220" s="226" t="s">
        <v>2116</v>
      </c>
      <c r="D1220" s="226" t="s">
        <v>2118</v>
      </c>
      <c r="E1220" s="226" t="s">
        <v>160</v>
      </c>
      <c r="F1220" s="245">
        <v>43052</v>
      </c>
      <c r="G1220" s="261">
        <f ca="1">IF(ISBLANK(I1220),TODAY()-F1220,I1220-F1220)</f>
        <v>46</v>
      </c>
      <c r="H1220" s="273" t="s">
        <v>164</v>
      </c>
      <c r="I1220" s="213">
        <v>43098</v>
      </c>
      <c r="J1220" s="206" t="s">
        <v>5113</v>
      </c>
    </row>
    <row r="1221" spans="1:10" ht="15" customHeight="1" x14ac:dyDescent="0.45">
      <c r="A1221" s="225">
        <v>1220</v>
      </c>
      <c r="B1221" s="226" t="s">
        <v>5873</v>
      </c>
      <c r="C1221" s="226" t="s">
        <v>2112</v>
      </c>
      <c r="D1221" s="226" t="s">
        <v>2114</v>
      </c>
      <c r="E1221" s="226" t="s">
        <v>160</v>
      </c>
      <c r="F1221" s="245">
        <v>43052</v>
      </c>
      <c r="G1221" s="261">
        <f ca="1">IF(ISBLANK(I1221),TODAY()-F1221,I1221-F1221)</f>
        <v>46</v>
      </c>
      <c r="H1221" s="273" t="s">
        <v>164</v>
      </c>
      <c r="I1221" s="213">
        <v>43098</v>
      </c>
      <c r="J1221" s="216" t="s">
        <v>5113</v>
      </c>
    </row>
    <row r="1222" spans="1:10" ht="15" customHeight="1" x14ac:dyDescent="0.45">
      <c r="A1222" s="225">
        <v>1221</v>
      </c>
      <c r="B1222" s="226" t="s">
        <v>2105</v>
      </c>
      <c r="C1222" s="226" t="s">
        <v>2102</v>
      </c>
      <c r="D1222" s="226" t="s">
        <v>2104</v>
      </c>
      <c r="E1222" s="226">
        <v>0</v>
      </c>
      <c r="F1222" s="245">
        <v>43052</v>
      </c>
      <c r="G1222" s="261">
        <f ca="1">IF(ISBLANK(I1222),TODAY()-F1222,I1222-F1222)</f>
        <v>0</v>
      </c>
      <c r="H1222" s="253" t="s">
        <v>64</v>
      </c>
      <c r="I1222" s="264">
        <v>43052</v>
      </c>
      <c r="J1222" s="381" t="s">
        <v>5160</v>
      </c>
    </row>
    <row r="1223" spans="1:10" ht="15" customHeight="1" x14ac:dyDescent="0.45">
      <c r="A1223" s="225">
        <v>1222</v>
      </c>
      <c r="B1223" s="226" t="s">
        <v>5874</v>
      </c>
      <c r="C1223" s="226" t="s">
        <v>5875</v>
      </c>
      <c r="D1223" s="226" t="s">
        <v>2146</v>
      </c>
      <c r="E1223" s="226" t="s">
        <v>160</v>
      </c>
      <c r="F1223" s="245">
        <v>43052</v>
      </c>
      <c r="G1223" s="261">
        <f ca="1">IF(ISBLANK(I1223),TODAY()-F1223,I1223-F1223)</f>
        <v>46</v>
      </c>
      <c r="H1223" s="273" t="s">
        <v>164</v>
      </c>
      <c r="I1223" s="213">
        <v>43098</v>
      </c>
      <c r="J1223" s="216" t="s">
        <v>5113</v>
      </c>
    </row>
    <row r="1224" spans="1:10" ht="15" customHeight="1" x14ac:dyDescent="0.45">
      <c r="A1224" s="225">
        <v>1223</v>
      </c>
      <c r="B1224" s="226" t="s">
        <v>5874</v>
      </c>
      <c r="C1224" s="226" t="s">
        <v>2152</v>
      </c>
      <c r="D1224" s="226" t="s">
        <v>2154</v>
      </c>
      <c r="E1224" s="226" t="s">
        <v>160</v>
      </c>
      <c r="F1224" s="245">
        <v>43052</v>
      </c>
      <c r="G1224" s="261">
        <f ca="1">IF(ISBLANK(I1224),TODAY()-F1224,I1224-F1224)</f>
        <v>46</v>
      </c>
      <c r="H1224" s="273" t="s">
        <v>164</v>
      </c>
      <c r="I1224" s="213">
        <v>43098</v>
      </c>
      <c r="J1224" s="206" t="s">
        <v>5113</v>
      </c>
    </row>
    <row r="1225" spans="1:10" ht="15" customHeight="1" x14ac:dyDescent="0.45">
      <c r="A1225" s="225">
        <v>1224</v>
      </c>
      <c r="B1225" s="226" t="s">
        <v>5874</v>
      </c>
      <c r="C1225" s="226" t="s">
        <v>2148</v>
      </c>
      <c r="D1225" s="226" t="s">
        <v>2150</v>
      </c>
      <c r="E1225" s="226" t="s">
        <v>160</v>
      </c>
      <c r="F1225" s="245">
        <v>43052</v>
      </c>
      <c r="G1225" s="261">
        <f ca="1">IF(ISBLANK(I1225),TODAY()-F1225,I1225-F1225)</f>
        <v>46</v>
      </c>
      <c r="H1225" s="273" t="s">
        <v>164</v>
      </c>
      <c r="I1225" s="213">
        <v>43098</v>
      </c>
      <c r="J1225" s="216" t="s">
        <v>5113</v>
      </c>
    </row>
    <row r="1226" spans="1:10" ht="15" customHeight="1" x14ac:dyDescent="0.45">
      <c r="A1226" s="225">
        <v>1225</v>
      </c>
      <c r="B1226" s="226" t="s">
        <v>2142</v>
      </c>
      <c r="C1226" s="226" t="s">
        <v>2139</v>
      </c>
      <c r="D1226" s="226" t="s">
        <v>2141</v>
      </c>
      <c r="E1226" s="226">
        <v>0</v>
      </c>
      <c r="F1226" s="245">
        <v>43052</v>
      </c>
      <c r="G1226" s="261">
        <f ca="1">IF(ISBLANK(I1226),TODAY()-F1226,I1226-F1226)</f>
        <v>0</v>
      </c>
      <c r="H1226" s="253" t="s">
        <v>64</v>
      </c>
      <c r="I1226" s="264">
        <v>43052</v>
      </c>
      <c r="J1226" s="381" t="s">
        <v>5160</v>
      </c>
    </row>
    <row r="1227" spans="1:10" ht="15" customHeight="1" x14ac:dyDescent="0.45">
      <c r="A1227" s="225">
        <v>1226</v>
      </c>
      <c r="B1227" s="226" t="s">
        <v>714</v>
      </c>
      <c r="C1227" s="226" t="s">
        <v>750</v>
      </c>
      <c r="D1227" s="226" t="s">
        <v>752</v>
      </c>
      <c r="E1227" s="226">
        <v>0</v>
      </c>
      <c r="F1227" s="245">
        <v>43052</v>
      </c>
      <c r="G1227" s="261">
        <f ca="1">IF(ISBLANK(I1227),TODAY()-F1227,I1227-F1227)</f>
        <v>0</v>
      </c>
      <c r="H1227" s="253" t="s">
        <v>5876</v>
      </c>
      <c r="I1227" s="264">
        <v>43052</v>
      </c>
      <c r="J1227" s="381" t="s">
        <v>5160</v>
      </c>
    </row>
    <row r="1228" spans="1:10" ht="15" customHeight="1" x14ac:dyDescent="0.45">
      <c r="A1228" s="225">
        <v>1227</v>
      </c>
      <c r="B1228" s="226" t="s">
        <v>714</v>
      </c>
      <c r="C1228" s="226" t="s">
        <v>711</v>
      </c>
      <c r="D1228" s="226" t="s">
        <v>713</v>
      </c>
      <c r="E1228" s="226">
        <v>0</v>
      </c>
      <c r="F1228" s="245">
        <v>43052</v>
      </c>
      <c r="G1228" s="261">
        <f ca="1">IF(ISBLANK(I1228),TODAY()-F1228,I1228-F1228)</f>
        <v>0</v>
      </c>
      <c r="H1228" s="253" t="s">
        <v>5493</v>
      </c>
      <c r="I1228" s="264">
        <v>43052</v>
      </c>
      <c r="J1228" s="254" t="s">
        <v>5160</v>
      </c>
    </row>
    <row r="1229" spans="1:10" ht="15" customHeight="1" x14ac:dyDescent="0.45">
      <c r="A1229" s="240">
        <v>1228</v>
      </c>
      <c r="B1229" s="241" t="s">
        <v>5877</v>
      </c>
      <c r="C1229" s="241" t="s">
        <v>1004</v>
      </c>
      <c r="D1229" s="241" t="s">
        <v>1006</v>
      </c>
      <c r="E1229" s="241" t="s">
        <v>160</v>
      </c>
      <c r="F1229" s="245">
        <v>43052</v>
      </c>
      <c r="G1229" s="261">
        <f ca="1">IF(ISBLANK(I1229),TODAY()-F1229,I1229-F1229)</f>
        <v>46</v>
      </c>
      <c r="H1229" s="269" t="s">
        <v>65</v>
      </c>
      <c r="I1229" s="270">
        <v>43098</v>
      </c>
      <c r="J1229" s="382" t="s">
        <v>5113</v>
      </c>
    </row>
    <row r="1230" spans="1:10" ht="15" customHeight="1" x14ac:dyDescent="0.45">
      <c r="A1230" s="240">
        <v>1229</v>
      </c>
      <c r="B1230" s="241" t="s">
        <v>5877</v>
      </c>
      <c r="C1230" s="241" t="s">
        <v>962</v>
      </c>
      <c r="D1230" s="241" t="s">
        <v>964</v>
      </c>
      <c r="E1230" s="241" t="s">
        <v>160</v>
      </c>
      <c r="F1230" s="245">
        <v>43052</v>
      </c>
      <c r="G1230" s="261">
        <f ca="1">IF(ISBLANK(I1230),TODAY()-F1230,I1230-F1230)</f>
        <v>46</v>
      </c>
      <c r="H1230" s="273" t="s">
        <v>65</v>
      </c>
      <c r="I1230" s="213">
        <v>43098</v>
      </c>
      <c r="J1230" s="206" t="s">
        <v>5113</v>
      </c>
    </row>
    <row r="1231" spans="1:10" ht="15" customHeight="1" x14ac:dyDescent="0.45">
      <c r="A1231" s="225">
        <v>1230</v>
      </c>
      <c r="B1231" s="226" t="s">
        <v>5878</v>
      </c>
      <c r="C1231" s="226" t="s">
        <v>1450</v>
      </c>
      <c r="D1231" s="226" t="s">
        <v>1452</v>
      </c>
      <c r="E1231" s="226" t="s">
        <v>160</v>
      </c>
      <c r="F1231" s="245">
        <v>43052</v>
      </c>
      <c r="G1231" s="261">
        <f ca="1">IF(ISBLANK(I1231),TODAY()-F1231,I1231-F1231)</f>
        <v>46</v>
      </c>
      <c r="H1231" s="272" t="s">
        <v>164</v>
      </c>
      <c r="I1231" s="213">
        <v>43098</v>
      </c>
      <c r="J1231" s="216" t="s">
        <v>5113</v>
      </c>
    </row>
    <row r="1232" spans="1:10" ht="15" customHeight="1" x14ac:dyDescent="0.45">
      <c r="A1232" s="225">
        <v>1238</v>
      </c>
      <c r="B1232" s="226" t="s">
        <v>5879</v>
      </c>
      <c r="C1232" s="226" t="s">
        <v>959</v>
      </c>
      <c r="D1232" s="226" t="s">
        <v>961</v>
      </c>
      <c r="E1232" s="226" t="s">
        <v>160</v>
      </c>
      <c r="F1232" s="245">
        <v>43052</v>
      </c>
      <c r="G1232" s="261">
        <f ca="1">IF(ISBLANK(I1232),TODAY()-F1232,I1232-F1232)</f>
        <v>46</v>
      </c>
      <c r="H1232" s="273" t="s">
        <v>164</v>
      </c>
      <c r="I1232" s="213">
        <v>43098</v>
      </c>
      <c r="J1232" s="216" t="s">
        <v>5113</v>
      </c>
    </row>
    <row r="1233" spans="1:11" ht="15" customHeight="1" x14ac:dyDescent="0.45">
      <c r="A1233" s="225">
        <v>1239</v>
      </c>
      <c r="B1233" s="226" t="s">
        <v>5880</v>
      </c>
      <c r="C1233" s="226" t="s">
        <v>827</v>
      </c>
      <c r="D1233" s="226" t="s">
        <v>829</v>
      </c>
      <c r="E1233" s="226" t="s">
        <v>160</v>
      </c>
      <c r="F1233" s="245">
        <v>43052</v>
      </c>
      <c r="G1233" s="261">
        <f ca="1">IF(ISBLANK(I1233),TODAY()-F1233,I1233-F1233)</f>
        <v>10</v>
      </c>
      <c r="H1233" s="274" t="s">
        <v>2702</v>
      </c>
      <c r="I1233" s="275">
        <v>43062</v>
      </c>
      <c r="J1233" s="383" t="s">
        <v>5160</v>
      </c>
    </row>
    <row r="1234" spans="1:11" ht="15" customHeight="1" x14ac:dyDescent="0.45">
      <c r="A1234" s="225">
        <v>1240</v>
      </c>
      <c r="B1234" s="226" t="s">
        <v>5880</v>
      </c>
      <c r="C1234" s="226" t="s">
        <v>871</v>
      </c>
      <c r="D1234" s="226" t="s">
        <v>873</v>
      </c>
      <c r="E1234" s="226" t="s">
        <v>160</v>
      </c>
      <c r="F1234" s="245">
        <v>43052</v>
      </c>
      <c r="G1234" s="261">
        <f ca="1">IF(ISBLANK(I1234),TODAY()-F1234,I1234-F1234)</f>
        <v>46</v>
      </c>
      <c r="H1234" s="350" t="s">
        <v>164</v>
      </c>
      <c r="I1234" s="368">
        <v>43098</v>
      </c>
      <c r="J1234" s="271" t="s">
        <v>5113</v>
      </c>
    </row>
    <row r="1235" spans="1:11" ht="15" customHeight="1" x14ac:dyDescent="0.45">
      <c r="A1235" s="225">
        <v>1241</v>
      </c>
      <c r="B1235" s="226" t="s">
        <v>5880</v>
      </c>
      <c r="C1235" s="226" t="s">
        <v>832</v>
      </c>
      <c r="D1235" s="226" t="s">
        <v>834</v>
      </c>
      <c r="E1235" s="226" t="s">
        <v>160</v>
      </c>
      <c r="F1235" s="245">
        <v>43052</v>
      </c>
      <c r="G1235" s="261">
        <f ca="1">IF(ISBLANK(I1235),TODAY()-F1235,I1235-F1235)</f>
        <v>10</v>
      </c>
      <c r="H1235" s="352" t="s">
        <v>2702</v>
      </c>
      <c r="I1235" s="369">
        <v>43062</v>
      </c>
      <c r="J1235" s="383" t="s">
        <v>5160</v>
      </c>
    </row>
    <row r="1236" spans="1:11" ht="15" customHeight="1" x14ac:dyDescent="0.45">
      <c r="A1236" s="225">
        <v>1242</v>
      </c>
      <c r="B1236" s="226" t="s">
        <v>5880</v>
      </c>
      <c r="C1236" s="226" t="s">
        <v>859</v>
      </c>
      <c r="D1236" s="226" t="s">
        <v>861</v>
      </c>
      <c r="E1236" s="226" t="s">
        <v>160</v>
      </c>
      <c r="F1236" s="245">
        <v>43052</v>
      </c>
      <c r="G1236" s="261">
        <f ca="1">IF(ISBLANK(I1236),TODAY()-F1236,I1236-F1236)</f>
        <v>46</v>
      </c>
      <c r="H1236" s="351" t="s">
        <v>164</v>
      </c>
      <c r="I1236" s="215">
        <v>43098</v>
      </c>
      <c r="J1236" s="216" t="s">
        <v>5113</v>
      </c>
    </row>
    <row r="1237" spans="1:11" ht="15" customHeight="1" x14ac:dyDescent="0.45">
      <c r="A1237" s="225">
        <v>1243</v>
      </c>
      <c r="B1237" s="226" t="s">
        <v>5880</v>
      </c>
      <c r="C1237" s="226" t="s">
        <v>882</v>
      </c>
      <c r="D1237" s="226" t="s">
        <v>884</v>
      </c>
      <c r="E1237" s="226" t="s">
        <v>160</v>
      </c>
      <c r="F1237" s="245">
        <v>43052</v>
      </c>
      <c r="G1237" s="261">
        <f ca="1">IF(ISBLANK(I1237),TODAY()-F1237,I1237-F1237)</f>
        <v>46</v>
      </c>
      <c r="H1237" s="350" t="s">
        <v>164</v>
      </c>
      <c r="I1237" s="368">
        <v>43098</v>
      </c>
      <c r="J1237" s="271" t="s">
        <v>5113</v>
      </c>
    </row>
    <row r="1238" spans="1:11" ht="15" customHeight="1" x14ac:dyDescent="0.45">
      <c r="A1238" s="225">
        <v>1244</v>
      </c>
      <c r="B1238" s="226" t="s">
        <v>844</v>
      </c>
      <c r="C1238" s="226" t="s">
        <v>841</v>
      </c>
      <c r="D1238" s="226" t="s">
        <v>843</v>
      </c>
      <c r="E1238" s="226">
        <v>0</v>
      </c>
      <c r="F1238" s="245">
        <v>43052</v>
      </c>
      <c r="G1238" s="261">
        <f ca="1">IF(ISBLANK(I1238),TODAY()-F1238,I1238-F1238)</f>
        <v>0</v>
      </c>
      <c r="H1238" s="349" t="s">
        <v>5781</v>
      </c>
      <c r="I1238" s="367">
        <v>43052</v>
      </c>
      <c r="J1238" s="381" t="s">
        <v>5160</v>
      </c>
    </row>
    <row r="1239" spans="1:11" ht="15" customHeight="1" x14ac:dyDescent="0.45">
      <c r="A1239" s="225">
        <v>1245</v>
      </c>
      <c r="B1239" s="226" t="s">
        <v>844</v>
      </c>
      <c r="C1239" s="226" t="s">
        <v>846</v>
      </c>
      <c r="D1239" s="226" t="s">
        <v>848</v>
      </c>
      <c r="E1239" s="226">
        <v>0</v>
      </c>
      <c r="F1239" s="245">
        <v>43052</v>
      </c>
      <c r="G1239" s="261">
        <f ca="1">IF(ISBLANK(I1239),TODAY()-F1239,I1239-F1239)</f>
        <v>0</v>
      </c>
      <c r="H1239" s="349" t="s">
        <v>64</v>
      </c>
      <c r="I1239" s="367">
        <v>43052</v>
      </c>
      <c r="J1239" s="381" t="s">
        <v>5160</v>
      </c>
    </row>
    <row r="1240" spans="1:11" ht="15" customHeight="1" x14ac:dyDescent="0.45">
      <c r="A1240" s="225">
        <v>1246</v>
      </c>
      <c r="B1240" s="226" t="s">
        <v>5881</v>
      </c>
      <c r="C1240" s="226" t="s">
        <v>1672</v>
      </c>
      <c r="D1240" s="226" t="s">
        <v>1674</v>
      </c>
      <c r="E1240" s="226" t="s">
        <v>65</v>
      </c>
      <c r="F1240" s="245">
        <v>43052</v>
      </c>
      <c r="G1240" s="261">
        <f ca="1">IF(ISBLANK(I1240),TODAY()-F1240,I1240-F1240)</f>
        <v>10</v>
      </c>
      <c r="H1240" s="349" t="s">
        <v>2702</v>
      </c>
      <c r="I1240" s="367">
        <v>43062</v>
      </c>
      <c r="J1240" s="381" t="s">
        <v>5160</v>
      </c>
    </row>
    <row r="1241" spans="1:11" ht="15" customHeight="1" x14ac:dyDescent="0.45">
      <c r="A1241" s="225">
        <v>1247</v>
      </c>
      <c r="B1241" s="226" t="s">
        <v>5882</v>
      </c>
      <c r="C1241" s="226" t="s">
        <v>465</v>
      </c>
      <c r="D1241" s="226" t="s">
        <v>467</v>
      </c>
      <c r="E1241" s="226" t="s">
        <v>160</v>
      </c>
      <c r="F1241" s="245">
        <v>43052</v>
      </c>
      <c r="G1241" s="261">
        <f ca="1">IF(ISBLANK(I1241),TODAY()-F1241,I1241-F1241)</f>
        <v>35</v>
      </c>
      <c r="H1241" s="233" t="s">
        <v>65</v>
      </c>
      <c r="I1241" s="153">
        <v>43087</v>
      </c>
      <c r="J1241" s="221" t="s">
        <v>5160</v>
      </c>
    </row>
    <row r="1242" spans="1:11" ht="15" customHeight="1" x14ac:dyDescent="0.45">
      <c r="A1242" s="225">
        <v>1252</v>
      </c>
      <c r="B1242" s="226" t="s">
        <v>5884</v>
      </c>
      <c r="C1242" s="226" t="s">
        <v>2215</v>
      </c>
      <c r="D1242" s="226" t="s">
        <v>5885</v>
      </c>
      <c r="E1242" s="226" t="s">
        <v>65</v>
      </c>
      <c r="F1242" s="245">
        <v>43052</v>
      </c>
      <c r="G1242" s="261">
        <f ca="1">IF(ISBLANK(I1242),TODAY()-F1242,I1242-F1242)</f>
        <v>10</v>
      </c>
      <c r="H1242" s="253" t="s">
        <v>2702</v>
      </c>
      <c r="I1242" s="264">
        <v>43062</v>
      </c>
      <c r="J1242" s="254" t="s">
        <v>5160</v>
      </c>
    </row>
    <row r="1243" spans="1:11" ht="15" customHeight="1" x14ac:dyDescent="0.45">
      <c r="A1243" s="225">
        <v>1253</v>
      </c>
      <c r="B1243" s="226" t="s">
        <v>5886</v>
      </c>
      <c r="C1243" s="226" t="s">
        <v>736</v>
      </c>
      <c r="D1243" s="226" t="s">
        <v>738</v>
      </c>
      <c r="E1243" s="226" t="s">
        <v>65</v>
      </c>
      <c r="F1243" s="245">
        <v>43052</v>
      </c>
      <c r="G1243" s="261">
        <f ca="1">IF(ISBLANK(I1243),TODAY()-F1243,I1243-F1243)</f>
        <v>57</v>
      </c>
      <c r="H1243" s="233" t="s">
        <v>160</v>
      </c>
      <c r="I1243" s="153">
        <v>43109</v>
      </c>
      <c r="J1243" s="221" t="s">
        <v>5113</v>
      </c>
    </row>
    <row r="1244" spans="1:11" ht="15" customHeight="1" x14ac:dyDescent="0.45">
      <c r="A1244" s="225">
        <v>1212</v>
      </c>
      <c r="B1244" s="226" t="s">
        <v>5871</v>
      </c>
      <c r="C1244" s="226" t="s">
        <v>379</v>
      </c>
      <c r="D1244" s="226" t="s">
        <v>381</v>
      </c>
      <c r="E1244" s="226" t="s">
        <v>160</v>
      </c>
      <c r="F1244" s="230">
        <v>43056</v>
      </c>
      <c r="G1244" s="261">
        <f ca="1">IF(ISBLANK(I1244),TODAY()-F1244,I1244-F1244)</f>
        <v>42</v>
      </c>
      <c r="H1244" s="273" t="s">
        <v>160</v>
      </c>
      <c r="I1244" s="213">
        <v>43098</v>
      </c>
      <c r="J1244" s="206" t="s">
        <v>5113</v>
      </c>
    </row>
    <row r="1245" spans="1:11" ht="15" customHeight="1" x14ac:dyDescent="0.45">
      <c r="A1245" s="225">
        <v>1213</v>
      </c>
      <c r="B1245" s="226" t="s">
        <v>5871</v>
      </c>
      <c r="C1245" s="226" t="s">
        <v>382</v>
      </c>
      <c r="D1245" s="226" t="s">
        <v>384</v>
      </c>
      <c r="E1245" s="226" t="s">
        <v>160</v>
      </c>
      <c r="F1245" s="230">
        <v>43056</v>
      </c>
      <c r="G1245" s="261">
        <f ca="1">IF(ISBLANK(I1245),TODAY()-F1245,I1245-F1245)</f>
        <v>42</v>
      </c>
      <c r="H1245" s="273" t="s">
        <v>164</v>
      </c>
      <c r="I1245" s="213">
        <v>43098</v>
      </c>
      <c r="J1245" s="216" t="s">
        <v>5113</v>
      </c>
    </row>
    <row r="1246" spans="1:11" ht="15" customHeight="1" x14ac:dyDescent="0.45">
      <c r="A1246" s="225">
        <v>1214</v>
      </c>
      <c r="B1246" s="226" t="s">
        <v>5871</v>
      </c>
      <c r="C1246" s="226" t="s">
        <v>346</v>
      </c>
      <c r="D1246" s="226" t="s">
        <v>348</v>
      </c>
      <c r="E1246" s="226" t="s">
        <v>160</v>
      </c>
      <c r="F1246" s="230">
        <v>43056</v>
      </c>
      <c r="G1246" s="261">
        <f ca="1">IF(ISBLANK(I1246),TODAY()-F1246,I1246-F1246)</f>
        <v>42</v>
      </c>
      <c r="H1246" s="273" t="s">
        <v>164</v>
      </c>
      <c r="I1246" s="213">
        <v>43098</v>
      </c>
      <c r="J1246" s="216" t="s">
        <v>5113</v>
      </c>
    </row>
    <row r="1247" spans="1:11" ht="15" customHeight="1" x14ac:dyDescent="0.45">
      <c r="A1247" s="240">
        <v>1231</v>
      </c>
      <c r="B1247" s="241" t="s">
        <v>1305</v>
      </c>
      <c r="C1247" s="241" t="s">
        <v>1302</v>
      </c>
      <c r="D1247" s="241" t="s">
        <v>1304</v>
      </c>
      <c r="E1247" s="241">
        <v>0</v>
      </c>
      <c r="F1247" s="245">
        <v>43066</v>
      </c>
      <c r="G1247" s="261">
        <f ca="1">IF(ISBLANK(I1247),TODAY()-F1247,I1247-F1247)</f>
        <v>143</v>
      </c>
      <c r="H1247" s="170" t="s">
        <v>5296</v>
      </c>
      <c r="I1247" s="127">
        <v>43209</v>
      </c>
      <c r="J1247" s="156" t="s">
        <v>5403</v>
      </c>
      <c r="K1247" s="106" t="s">
        <v>5404</v>
      </c>
    </row>
    <row r="1248" spans="1:11" ht="15" customHeight="1" x14ac:dyDescent="0.45">
      <c r="A1248" s="240">
        <v>1232</v>
      </c>
      <c r="B1248" s="241" t="s">
        <v>1305</v>
      </c>
      <c r="C1248" s="241" t="s">
        <v>1349</v>
      </c>
      <c r="D1248" s="241" t="s">
        <v>1351</v>
      </c>
      <c r="E1248" s="241">
        <v>0</v>
      </c>
      <c r="F1248" s="245">
        <v>43066</v>
      </c>
      <c r="G1248" s="261">
        <f ca="1">IF(ISBLANK(I1248),TODAY()-F1248,I1248-F1248)</f>
        <v>143</v>
      </c>
      <c r="H1248" s="170" t="s">
        <v>5296</v>
      </c>
      <c r="I1248" s="127">
        <v>43209</v>
      </c>
      <c r="J1248" s="156" t="s">
        <v>5403</v>
      </c>
      <c r="K1248" s="106" t="s">
        <v>5404</v>
      </c>
    </row>
    <row r="1249" spans="1:11" ht="15" customHeight="1" x14ac:dyDescent="0.45">
      <c r="A1249" s="240">
        <v>1233</v>
      </c>
      <c r="B1249" s="241" t="s">
        <v>1305</v>
      </c>
      <c r="C1249" s="241" t="s">
        <v>1369</v>
      </c>
      <c r="D1249" s="241" t="s">
        <v>1371</v>
      </c>
      <c r="E1249" s="241">
        <v>0</v>
      </c>
      <c r="F1249" s="245">
        <v>43066</v>
      </c>
      <c r="G1249" s="261">
        <f ca="1">IF(ISBLANK(I1249),TODAY()-F1249,I1249-F1249)</f>
        <v>143</v>
      </c>
      <c r="H1249" s="170" t="s">
        <v>5296</v>
      </c>
      <c r="I1249" s="127">
        <v>43209</v>
      </c>
      <c r="J1249" s="156" t="s">
        <v>5403</v>
      </c>
      <c r="K1249" s="106" t="s">
        <v>5404</v>
      </c>
    </row>
    <row r="1250" spans="1:11" ht="15" customHeight="1" x14ac:dyDescent="0.45">
      <c r="A1250" s="240">
        <v>1234</v>
      </c>
      <c r="B1250" s="241" t="s">
        <v>1305</v>
      </c>
      <c r="C1250" s="241" t="s">
        <v>1362</v>
      </c>
      <c r="D1250" s="241" t="s">
        <v>1364</v>
      </c>
      <c r="E1250" s="241">
        <v>0</v>
      </c>
      <c r="F1250" s="245">
        <v>43066</v>
      </c>
      <c r="G1250" s="261">
        <f ca="1">IF(ISBLANK(I1250),TODAY()-F1250,I1250-F1250)</f>
        <v>143</v>
      </c>
      <c r="H1250" s="170" t="s">
        <v>5296</v>
      </c>
      <c r="I1250" s="127">
        <v>43209</v>
      </c>
      <c r="J1250" s="171" t="s">
        <v>5403</v>
      </c>
      <c r="K1250" s="106" t="s">
        <v>5404</v>
      </c>
    </row>
    <row r="1251" spans="1:11" ht="15" customHeight="1" x14ac:dyDescent="0.45">
      <c r="A1251" s="240">
        <v>1235</v>
      </c>
      <c r="B1251" s="241" t="s">
        <v>1305</v>
      </c>
      <c r="C1251" s="241" t="s">
        <v>1355</v>
      </c>
      <c r="D1251" s="241" t="s">
        <v>1357</v>
      </c>
      <c r="E1251" s="241">
        <v>0</v>
      </c>
      <c r="F1251" s="245">
        <v>43066</v>
      </c>
      <c r="G1251" s="261">
        <f ca="1">IF(ISBLANK(I1251),TODAY()-F1251,I1251-F1251)</f>
        <v>143</v>
      </c>
      <c r="H1251" s="170" t="s">
        <v>5296</v>
      </c>
      <c r="I1251" s="127">
        <v>43209</v>
      </c>
      <c r="J1251" s="171" t="s">
        <v>5403</v>
      </c>
      <c r="K1251" s="106" t="s">
        <v>5404</v>
      </c>
    </row>
    <row r="1252" spans="1:11" ht="15" customHeight="1" x14ac:dyDescent="0.45">
      <c r="A1252" s="240">
        <v>1236</v>
      </c>
      <c r="B1252" s="241" t="s">
        <v>1305</v>
      </c>
      <c r="C1252" s="241" t="s">
        <v>1352</v>
      </c>
      <c r="D1252" s="241" t="s">
        <v>1354</v>
      </c>
      <c r="E1252" s="241">
        <v>0</v>
      </c>
      <c r="F1252" s="245">
        <v>43066</v>
      </c>
      <c r="G1252" s="261">
        <f ca="1">IF(ISBLANK(I1252),TODAY()-F1252,I1252-F1252)</f>
        <v>143</v>
      </c>
      <c r="H1252" s="170" t="s">
        <v>5296</v>
      </c>
      <c r="I1252" s="127">
        <v>43209</v>
      </c>
      <c r="J1252" s="171" t="s">
        <v>5403</v>
      </c>
      <c r="K1252" s="106" t="s">
        <v>5404</v>
      </c>
    </row>
    <row r="1253" spans="1:11" ht="15" customHeight="1" x14ac:dyDescent="0.45">
      <c r="A1253" s="240">
        <v>1237</v>
      </c>
      <c r="B1253" s="241" t="s">
        <v>1305</v>
      </c>
      <c r="C1253" s="241" t="s">
        <v>1315</v>
      </c>
      <c r="D1253" s="241" t="s">
        <v>1317</v>
      </c>
      <c r="E1253" s="241">
        <v>0</v>
      </c>
      <c r="F1253" s="245">
        <v>43066</v>
      </c>
      <c r="G1253" s="261">
        <f ca="1">IF(ISBLANK(I1253),TODAY()-F1253,I1253-F1253)</f>
        <v>143</v>
      </c>
      <c r="H1253" s="170" t="s">
        <v>5296</v>
      </c>
      <c r="I1253" s="127">
        <v>43209</v>
      </c>
      <c r="J1253" s="171" t="s">
        <v>5403</v>
      </c>
      <c r="K1253" s="106" t="s">
        <v>5404</v>
      </c>
    </row>
    <row r="1254" spans="1:11" ht="15" customHeight="1" x14ac:dyDescent="0.45">
      <c r="A1254" s="225">
        <v>1254</v>
      </c>
      <c r="B1254" s="226" t="s">
        <v>5887</v>
      </c>
      <c r="C1254" s="226" t="s">
        <v>1019</v>
      </c>
      <c r="D1254" s="226" t="s">
        <v>1021</v>
      </c>
      <c r="E1254" s="226" t="s">
        <v>160</v>
      </c>
      <c r="F1254" s="230">
        <v>43066</v>
      </c>
      <c r="G1254" s="276">
        <v>43067</v>
      </c>
      <c r="H1254" s="269" t="s">
        <v>65</v>
      </c>
      <c r="I1254" s="270">
        <v>43098</v>
      </c>
      <c r="J1254" s="271" t="s">
        <v>5113</v>
      </c>
    </row>
    <row r="1255" spans="1:11" ht="15" customHeight="1" x14ac:dyDescent="0.45">
      <c r="A1255" s="240">
        <v>1255</v>
      </c>
      <c r="B1255" s="241" t="s">
        <v>1729</v>
      </c>
      <c r="C1255" s="241" t="s">
        <v>1726</v>
      </c>
      <c r="D1255" s="241" t="s">
        <v>1728</v>
      </c>
      <c r="E1255" s="241">
        <v>0</v>
      </c>
      <c r="F1255" s="245">
        <v>43066</v>
      </c>
      <c r="G1255" s="261">
        <f ca="1">IF(ISBLANK(I1255),TODAY()-F1255,I1255-F1255)</f>
        <v>143</v>
      </c>
      <c r="H1255" s="170" t="s">
        <v>5296</v>
      </c>
      <c r="I1255" s="127">
        <v>43209</v>
      </c>
      <c r="J1255" s="156" t="s">
        <v>5403</v>
      </c>
      <c r="K1255" s="106" t="s">
        <v>5404</v>
      </c>
    </row>
    <row r="1256" spans="1:11" ht="15" customHeight="1" x14ac:dyDescent="0.45">
      <c r="A1256" s="240">
        <v>1256</v>
      </c>
      <c r="B1256" s="241" t="s">
        <v>5888</v>
      </c>
      <c r="C1256" s="241" t="s">
        <v>2218</v>
      </c>
      <c r="D1256" s="241" t="s">
        <v>2220</v>
      </c>
      <c r="E1256" s="241">
        <v>0</v>
      </c>
      <c r="F1256" s="245">
        <v>43066</v>
      </c>
      <c r="G1256" s="261">
        <f ca="1">IF(ISBLANK(I1256),TODAY()-F1256,I1256-F1256)</f>
        <v>134</v>
      </c>
      <c r="H1256" s="233" t="s">
        <v>5296</v>
      </c>
      <c r="I1256" s="153">
        <v>43200</v>
      </c>
      <c r="J1256" s="221" t="s">
        <v>5113</v>
      </c>
    </row>
    <row r="1257" spans="1:11" ht="15" customHeight="1" x14ac:dyDescent="0.45">
      <c r="A1257" s="225">
        <v>1257</v>
      </c>
      <c r="B1257" s="226" t="s">
        <v>651</v>
      </c>
      <c r="C1257" s="226" t="s">
        <v>669</v>
      </c>
      <c r="D1257" s="226" t="s">
        <v>671</v>
      </c>
      <c r="E1257" s="226">
        <v>0</v>
      </c>
      <c r="F1257" s="245">
        <v>43066</v>
      </c>
      <c r="G1257" s="261">
        <f ca="1">IF(ISBLANK(I1257),TODAY()-F1257,I1257-F1257)</f>
        <v>21</v>
      </c>
      <c r="H1257" s="247" t="s">
        <v>64</v>
      </c>
      <c r="I1257" s="228">
        <v>43087</v>
      </c>
      <c r="J1257" s="257" t="s">
        <v>5160</v>
      </c>
    </row>
    <row r="1258" spans="1:11" ht="15" customHeight="1" x14ac:dyDescent="0.45">
      <c r="A1258" s="225">
        <v>1258</v>
      </c>
      <c r="B1258" s="226" t="s">
        <v>651</v>
      </c>
      <c r="C1258" s="226" t="s">
        <v>686</v>
      </c>
      <c r="D1258" s="226" t="s">
        <v>688</v>
      </c>
      <c r="E1258" s="226">
        <v>0</v>
      </c>
      <c r="F1258" s="245">
        <v>43066</v>
      </c>
      <c r="G1258" s="261">
        <f ca="1">IF(ISBLANK(I1258),TODAY()-F1258,I1258-F1258)</f>
        <v>21</v>
      </c>
      <c r="H1258" s="232" t="s">
        <v>64</v>
      </c>
      <c r="I1258" s="366">
        <v>43087</v>
      </c>
      <c r="J1258" s="257" t="s">
        <v>5160</v>
      </c>
    </row>
    <row r="1259" spans="1:11" ht="15" customHeight="1" x14ac:dyDescent="0.45">
      <c r="A1259" s="225">
        <v>1259</v>
      </c>
      <c r="B1259" s="226" t="s">
        <v>651</v>
      </c>
      <c r="C1259" s="226" t="s">
        <v>648</v>
      </c>
      <c r="D1259" s="226" t="s">
        <v>650</v>
      </c>
      <c r="E1259" s="226">
        <v>1</v>
      </c>
      <c r="F1259" s="245">
        <v>43066</v>
      </c>
      <c r="G1259" s="261">
        <f ca="1">IF(ISBLANK(I1259),TODAY()-F1259,I1259-F1259)</f>
        <v>21</v>
      </c>
      <c r="H1259" s="247" t="s">
        <v>64</v>
      </c>
      <c r="I1259" s="228">
        <v>43087</v>
      </c>
      <c r="J1259" s="257" t="s">
        <v>5160</v>
      </c>
    </row>
    <row r="1260" spans="1:11" ht="15" customHeight="1" x14ac:dyDescent="0.45">
      <c r="A1260" s="225">
        <v>1260</v>
      </c>
      <c r="B1260" s="226" t="s">
        <v>1474</v>
      </c>
      <c r="C1260" s="226" t="s">
        <v>1471</v>
      </c>
      <c r="D1260" s="226" t="s">
        <v>1473</v>
      </c>
      <c r="E1260" s="226">
        <v>0</v>
      </c>
      <c r="F1260" s="245">
        <v>43066</v>
      </c>
      <c r="G1260" s="261">
        <f ca="1">IF(ISBLANK(I1260),TODAY()-F1260,I1260-F1260)</f>
        <v>143</v>
      </c>
      <c r="H1260" s="170" t="s">
        <v>5296</v>
      </c>
      <c r="I1260" s="127">
        <v>43209</v>
      </c>
      <c r="J1260" s="171" t="s">
        <v>5403</v>
      </c>
      <c r="K1260" s="106" t="s">
        <v>5404</v>
      </c>
    </row>
    <row r="1261" spans="1:11" ht="15" customHeight="1" x14ac:dyDescent="0.45">
      <c r="A1261" s="225">
        <v>1261</v>
      </c>
      <c r="B1261" s="226" t="s">
        <v>892</v>
      </c>
      <c r="C1261" s="226" t="s">
        <v>920</v>
      </c>
      <c r="D1261" s="226" t="s">
        <v>922</v>
      </c>
      <c r="E1261" s="226">
        <v>0</v>
      </c>
      <c r="F1261" s="245">
        <v>43066</v>
      </c>
      <c r="G1261" s="261">
        <f ca="1">IF(ISBLANK(I1261),TODAY()-F1261,I1261-F1261)</f>
        <v>143</v>
      </c>
      <c r="H1261" s="170" t="s">
        <v>5296</v>
      </c>
      <c r="I1261" s="127">
        <v>43209</v>
      </c>
      <c r="J1261" s="171" t="s">
        <v>5403</v>
      </c>
      <c r="K1261" s="106" t="s">
        <v>5404</v>
      </c>
    </row>
    <row r="1262" spans="1:11" ht="15" customHeight="1" x14ac:dyDescent="0.45">
      <c r="A1262" s="225">
        <v>1262</v>
      </c>
      <c r="B1262" s="226" t="s">
        <v>892</v>
      </c>
      <c r="C1262" s="226" t="s">
        <v>916</v>
      </c>
      <c r="D1262" s="226" t="s">
        <v>918</v>
      </c>
      <c r="E1262" s="226">
        <v>0</v>
      </c>
      <c r="F1262" s="245">
        <v>43066</v>
      </c>
      <c r="G1262" s="261">
        <f ca="1">IF(ISBLANK(I1262),TODAY()-F1262,I1262-F1262)</f>
        <v>143</v>
      </c>
      <c r="H1262" s="170" t="s">
        <v>5296</v>
      </c>
      <c r="I1262" s="127">
        <v>43209</v>
      </c>
      <c r="J1262" s="171" t="s">
        <v>5403</v>
      </c>
      <c r="K1262" s="106" t="s">
        <v>5404</v>
      </c>
    </row>
    <row r="1263" spans="1:11" ht="15" customHeight="1" x14ac:dyDescent="0.45">
      <c r="A1263" s="225">
        <v>1263</v>
      </c>
      <c r="B1263" s="226" t="s">
        <v>892</v>
      </c>
      <c r="C1263" s="226" t="s">
        <v>908</v>
      </c>
      <c r="D1263" s="226" t="s">
        <v>910</v>
      </c>
      <c r="E1263" s="226">
        <v>0</v>
      </c>
      <c r="F1263" s="245">
        <v>43066</v>
      </c>
      <c r="G1263" s="261">
        <f ca="1">IF(ISBLANK(I1263),TODAY()-F1263,I1263-F1263)</f>
        <v>143</v>
      </c>
      <c r="H1263" s="179" t="s">
        <v>5296</v>
      </c>
      <c r="I1263" s="180">
        <v>43209</v>
      </c>
      <c r="J1263" s="171" t="s">
        <v>5403</v>
      </c>
      <c r="K1263" s="106" t="s">
        <v>5404</v>
      </c>
    </row>
    <row r="1264" spans="1:11" ht="15" customHeight="1" x14ac:dyDescent="0.45">
      <c r="A1264" s="225">
        <v>1264</v>
      </c>
      <c r="B1264" s="226" t="s">
        <v>892</v>
      </c>
      <c r="C1264" s="226" t="s">
        <v>904</v>
      </c>
      <c r="D1264" s="226" t="s">
        <v>906</v>
      </c>
      <c r="E1264" s="226">
        <v>0</v>
      </c>
      <c r="F1264" s="245">
        <v>43066</v>
      </c>
      <c r="G1264" s="261">
        <f ca="1">IF(ISBLANK(I1264),TODAY()-F1264,I1264-F1264)</f>
        <v>143</v>
      </c>
      <c r="H1264" s="179" t="s">
        <v>5296</v>
      </c>
      <c r="I1264" s="180">
        <v>43209</v>
      </c>
      <c r="J1264" s="171" t="s">
        <v>5403</v>
      </c>
      <c r="K1264" s="106" t="s">
        <v>5404</v>
      </c>
    </row>
    <row r="1265" spans="1:11" ht="15" customHeight="1" x14ac:dyDescent="0.45">
      <c r="A1265" s="225">
        <v>1265</v>
      </c>
      <c r="B1265" s="226" t="s">
        <v>892</v>
      </c>
      <c r="C1265" s="226" t="s">
        <v>900</v>
      </c>
      <c r="D1265" s="226" t="s">
        <v>902</v>
      </c>
      <c r="E1265" s="226">
        <v>0</v>
      </c>
      <c r="F1265" s="245">
        <v>43066</v>
      </c>
      <c r="G1265" s="261">
        <f ca="1">IF(ISBLANK(I1265),TODAY()-F1265,I1265-F1265)</f>
        <v>143</v>
      </c>
      <c r="H1265" s="179" t="s">
        <v>5296</v>
      </c>
      <c r="I1265" s="180">
        <v>43209</v>
      </c>
      <c r="J1265" s="171" t="s">
        <v>5403</v>
      </c>
      <c r="K1265" s="106" t="s">
        <v>5404</v>
      </c>
    </row>
    <row r="1266" spans="1:11" ht="15" customHeight="1" x14ac:dyDescent="0.45">
      <c r="A1266" s="225">
        <v>1266</v>
      </c>
      <c r="B1266" s="226" t="s">
        <v>892</v>
      </c>
      <c r="C1266" s="226" t="s">
        <v>912</v>
      </c>
      <c r="D1266" s="226" t="s">
        <v>914</v>
      </c>
      <c r="E1266" s="226">
        <v>0</v>
      </c>
      <c r="F1266" s="245">
        <v>43066</v>
      </c>
      <c r="G1266" s="261">
        <f ca="1">IF(ISBLANK(I1266),TODAY()-F1266,I1266-F1266)</f>
        <v>143</v>
      </c>
      <c r="H1266" s="179" t="s">
        <v>5296</v>
      </c>
      <c r="I1266" s="180">
        <v>43209</v>
      </c>
      <c r="J1266" s="171" t="s">
        <v>5403</v>
      </c>
      <c r="K1266" s="106" t="s">
        <v>5404</v>
      </c>
    </row>
    <row r="1267" spans="1:11" ht="15" customHeight="1" x14ac:dyDescent="0.45">
      <c r="A1267" s="225">
        <v>1267</v>
      </c>
      <c r="B1267" s="226" t="s">
        <v>892</v>
      </c>
      <c r="C1267" s="226" t="s">
        <v>889</v>
      </c>
      <c r="D1267" s="226" t="s">
        <v>891</v>
      </c>
      <c r="E1267" s="226">
        <v>0</v>
      </c>
      <c r="F1267" s="245">
        <v>43066</v>
      </c>
      <c r="G1267" s="261">
        <f ca="1">IF(ISBLANK(I1267),TODAY()-F1267,I1267-F1267)</f>
        <v>143</v>
      </c>
      <c r="H1267" s="179" t="s">
        <v>5296</v>
      </c>
      <c r="I1267" s="180">
        <v>43209</v>
      </c>
      <c r="J1267" s="171" t="s">
        <v>5403</v>
      </c>
      <c r="K1267" s="106" t="s">
        <v>5404</v>
      </c>
    </row>
    <row r="1268" spans="1:11" ht="15" customHeight="1" x14ac:dyDescent="0.45">
      <c r="A1268" s="225">
        <v>1268</v>
      </c>
      <c r="B1268" s="226" t="s">
        <v>892</v>
      </c>
      <c r="C1268" s="226" t="s">
        <v>894</v>
      </c>
      <c r="D1268" s="226" t="s">
        <v>896</v>
      </c>
      <c r="E1268" s="226">
        <v>0</v>
      </c>
      <c r="F1268" s="245">
        <v>43066</v>
      </c>
      <c r="G1268" s="261">
        <f ca="1">IF(ISBLANK(I1268),TODAY()-F1268,I1268-F1268)</f>
        <v>116</v>
      </c>
      <c r="H1268" s="347" t="s">
        <v>5296</v>
      </c>
      <c r="I1268" s="198">
        <v>43182</v>
      </c>
      <c r="J1268" s="221" t="s">
        <v>5113</v>
      </c>
    </row>
    <row r="1269" spans="1:11" ht="15" customHeight="1" x14ac:dyDescent="0.45">
      <c r="A1269" s="225">
        <v>1269</v>
      </c>
      <c r="B1269" s="226" t="s">
        <v>5889</v>
      </c>
      <c r="C1269" s="226" t="s">
        <v>1539</v>
      </c>
      <c r="D1269" s="226" t="s">
        <v>1541</v>
      </c>
      <c r="E1269" s="226">
        <v>0</v>
      </c>
      <c r="F1269" s="245">
        <v>43066</v>
      </c>
      <c r="G1269" s="261">
        <f ca="1">IF(ISBLANK(I1269),TODAY()-F1269,I1269-F1269)</f>
        <v>143</v>
      </c>
      <c r="H1269" s="179" t="s">
        <v>5296</v>
      </c>
      <c r="I1269" s="180">
        <v>43209</v>
      </c>
      <c r="J1269" s="171" t="s">
        <v>5403</v>
      </c>
      <c r="K1269" s="106" t="s">
        <v>5404</v>
      </c>
    </row>
    <row r="1270" spans="1:11" ht="15" customHeight="1" x14ac:dyDescent="0.45">
      <c r="A1270" s="225">
        <v>1270</v>
      </c>
      <c r="B1270" s="226" t="s">
        <v>357</v>
      </c>
      <c r="C1270" s="226" t="s">
        <v>371</v>
      </c>
      <c r="D1270" s="226" t="s">
        <v>373</v>
      </c>
      <c r="E1270" s="226">
        <v>0</v>
      </c>
      <c r="F1270" s="245">
        <v>43066</v>
      </c>
      <c r="G1270" s="261">
        <f ca="1">IF(ISBLANK(I1270),TODAY()-F1270,I1270-F1270)</f>
        <v>143</v>
      </c>
      <c r="H1270" s="179" t="s">
        <v>5296</v>
      </c>
      <c r="I1270" s="180">
        <v>43209</v>
      </c>
      <c r="J1270" s="171" t="s">
        <v>5403</v>
      </c>
      <c r="K1270" s="106" t="s">
        <v>5404</v>
      </c>
    </row>
    <row r="1271" spans="1:11" ht="15" customHeight="1" x14ac:dyDescent="0.45">
      <c r="A1271" s="225">
        <v>1271</v>
      </c>
      <c r="B1271" s="226" t="s">
        <v>357</v>
      </c>
      <c r="C1271" s="226" t="s">
        <v>354</v>
      </c>
      <c r="D1271" s="226" t="s">
        <v>356</v>
      </c>
      <c r="E1271" s="226">
        <v>0</v>
      </c>
      <c r="F1271" s="245">
        <v>43066</v>
      </c>
      <c r="G1271" s="261">
        <f ca="1">IF(ISBLANK(I1271),TODAY()-F1271,I1271-F1271)</f>
        <v>143</v>
      </c>
      <c r="H1271" s="170" t="s">
        <v>5296</v>
      </c>
      <c r="I1271" s="127">
        <v>43209</v>
      </c>
      <c r="J1271" s="171" t="s">
        <v>5403</v>
      </c>
      <c r="K1271" s="106" t="s">
        <v>5404</v>
      </c>
    </row>
    <row r="1272" spans="1:11" ht="15" customHeight="1" x14ac:dyDescent="0.45">
      <c r="A1272" s="225">
        <v>1272</v>
      </c>
      <c r="B1272" s="226" t="s">
        <v>357</v>
      </c>
      <c r="C1272" s="226" t="s">
        <v>363</v>
      </c>
      <c r="D1272" s="226" t="s">
        <v>365</v>
      </c>
      <c r="E1272" s="226">
        <v>0</v>
      </c>
      <c r="F1272" s="245">
        <v>43066</v>
      </c>
      <c r="G1272" s="261">
        <f ca="1">IF(ISBLANK(I1272),TODAY()-F1272,I1272-F1272)</f>
        <v>143</v>
      </c>
      <c r="H1272" s="179" t="s">
        <v>5296</v>
      </c>
      <c r="I1272" s="180">
        <v>43209</v>
      </c>
      <c r="J1272" s="171" t="s">
        <v>5403</v>
      </c>
      <c r="K1272" s="106" t="s">
        <v>5404</v>
      </c>
    </row>
    <row r="1273" spans="1:11" ht="15" customHeight="1" x14ac:dyDescent="0.45">
      <c r="A1273" s="225">
        <v>1273</v>
      </c>
      <c r="B1273" s="226" t="s">
        <v>357</v>
      </c>
      <c r="C1273" s="226" t="s">
        <v>375</v>
      </c>
      <c r="D1273" s="226" t="s">
        <v>5833</v>
      </c>
      <c r="E1273" s="226">
        <v>0</v>
      </c>
      <c r="F1273" s="245">
        <v>43066</v>
      </c>
      <c r="G1273" s="261">
        <f ca="1">IF(ISBLANK(I1273),TODAY()-F1273,I1273-F1273)</f>
        <v>143</v>
      </c>
      <c r="H1273" s="179" t="s">
        <v>5296</v>
      </c>
      <c r="I1273" s="180">
        <v>43209</v>
      </c>
      <c r="J1273" s="171" t="s">
        <v>5403</v>
      </c>
      <c r="K1273" s="106" t="s">
        <v>5404</v>
      </c>
    </row>
    <row r="1274" spans="1:11" ht="15" customHeight="1" x14ac:dyDescent="0.45">
      <c r="A1274" s="225">
        <v>1274</v>
      </c>
      <c r="B1274" s="226" t="s">
        <v>5890</v>
      </c>
      <c r="C1274" s="226" t="s">
        <v>1596</v>
      </c>
      <c r="D1274" s="226" t="s">
        <v>1598</v>
      </c>
      <c r="E1274" s="226">
        <v>0</v>
      </c>
      <c r="F1274" s="245">
        <v>43066</v>
      </c>
      <c r="G1274" s="261">
        <f ca="1">IF(ISBLANK(I1274),TODAY()-F1274,I1274-F1274)</f>
        <v>143</v>
      </c>
      <c r="H1274" s="179" t="s">
        <v>5296</v>
      </c>
      <c r="I1274" s="180">
        <v>43209</v>
      </c>
      <c r="J1274" s="171" t="s">
        <v>5403</v>
      </c>
      <c r="K1274" s="106" t="s">
        <v>5404</v>
      </c>
    </row>
    <row r="1275" spans="1:11" ht="15" customHeight="1" x14ac:dyDescent="0.45">
      <c r="A1275" s="225">
        <v>1275</v>
      </c>
      <c r="B1275" s="226" t="s">
        <v>974</v>
      </c>
      <c r="C1275" s="226" t="s">
        <v>971</v>
      </c>
      <c r="D1275" s="226" t="s">
        <v>973</v>
      </c>
      <c r="E1275" s="226">
        <v>0</v>
      </c>
      <c r="F1275" s="245">
        <v>43066</v>
      </c>
      <c r="G1275" s="261">
        <f ca="1">IF(ISBLANK(I1275),TODAY()-F1275,I1275-F1275)</f>
        <v>143</v>
      </c>
      <c r="H1275" s="179" t="s">
        <v>5296</v>
      </c>
      <c r="I1275" s="180">
        <v>43209</v>
      </c>
      <c r="J1275" s="171" t="s">
        <v>5403</v>
      </c>
      <c r="K1275" s="106" t="s">
        <v>5404</v>
      </c>
    </row>
    <row r="1276" spans="1:11" ht="15" customHeight="1" x14ac:dyDescent="0.45">
      <c r="A1276" s="225">
        <v>1276</v>
      </c>
      <c r="B1276" s="226" t="s">
        <v>974</v>
      </c>
      <c r="C1276" s="226" t="s">
        <v>991</v>
      </c>
      <c r="D1276" s="226" t="s">
        <v>993</v>
      </c>
      <c r="E1276" s="226">
        <v>0</v>
      </c>
      <c r="F1276" s="245">
        <v>43066</v>
      </c>
      <c r="G1276" s="261">
        <f ca="1">IF(ISBLANK(I1276),TODAY()-F1276,I1276-F1276)</f>
        <v>143</v>
      </c>
      <c r="H1276" s="179" t="s">
        <v>5296</v>
      </c>
      <c r="I1276" s="180">
        <v>43209</v>
      </c>
      <c r="J1276" s="171" t="s">
        <v>5403</v>
      </c>
      <c r="K1276" s="106" t="s">
        <v>5404</v>
      </c>
    </row>
    <row r="1277" spans="1:11" ht="15" customHeight="1" x14ac:dyDescent="0.45">
      <c r="A1277" s="225">
        <v>1277</v>
      </c>
      <c r="B1277" s="226" t="s">
        <v>974</v>
      </c>
      <c r="C1277" s="226" t="s">
        <v>995</v>
      </c>
      <c r="D1277" s="226" t="s">
        <v>997</v>
      </c>
      <c r="E1277" s="226">
        <v>0</v>
      </c>
      <c r="F1277" s="245">
        <v>43066</v>
      </c>
      <c r="G1277" s="261">
        <f ca="1">IF(ISBLANK(I1277),TODAY()-F1277,I1277-F1277)</f>
        <v>143</v>
      </c>
      <c r="H1277" s="179" t="s">
        <v>5296</v>
      </c>
      <c r="I1277" s="180">
        <v>43209</v>
      </c>
      <c r="J1277" s="171" t="s">
        <v>5403</v>
      </c>
      <c r="K1277" s="106" t="s">
        <v>5404</v>
      </c>
    </row>
    <row r="1278" spans="1:11" ht="15" customHeight="1" x14ac:dyDescent="0.45">
      <c r="A1278" s="225">
        <v>1278</v>
      </c>
      <c r="B1278" s="226" t="s">
        <v>1210</v>
      </c>
      <c r="C1278" s="226" t="s">
        <v>1215</v>
      </c>
      <c r="D1278" s="226" t="s">
        <v>1217</v>
      </c>
      <c r="E1278" s="226">
        <v>1</v>
      </c>
      <c r="F1278" s="245">
        <v>43066</v>
      </c>
      <c r="G1278" s="261">
        <f ca="1">IF(ISBLANK(I1278),TODAY()-F1278,I1278-F1278)</f>
        <v>143</v>
      </c>
      <c r="H1278" s="179" t="s">
        <v>5296</v>
      </c>
      <c r="I1278" s="180">
        <v>43209</v>
      </c>
      <c r="J1278" s="171" t="s">
        <v>5403</v>
      </c>
      <c r="K1278" s="106" t="s">
        <v>5404</v>
      </c>
    </row>
    <row r="1279" spans="1:11" ht="15" customHeight="1" x14ac:dyDescent="0.45">
      <c r="A1279" s="225">
        <v>1279</v>
      </c>
      <c r="B1279" s="226" t="s">
        <v>1210</v>
      </c>
      <c r="C1279" s="226" t="s">
        <v>1207</v>
      </c>
      <c r="D1279" s="226" t="s">
        <v>1209</v>
      </c>
      <c r="E1279" s="226">
        <v>1</v>
      </c>
      <c r="F1279" s="245">
        <v>43066</v>
      </c>
      <c r="G1279" s="261">
        <f ca="1">IF(ISBLANK(I1279),TODAY()-F1279,I1279-F1279)</f>
        <v>143</v>
      </c>
      <c r="H1279" s="179" t="s">
        <v>5296</v>
      </c>
      <c r="I1279" s="180">
        <v>43209</v>
      </c>
      <c r="J1279" s="171" t="s">
        <v>5403</v>
      </c>
      <c r="K1279" s="106" t="s">
        <v>5404</v>
      </c>
    </row>
    <row r="1280" spans="1:11" ht="15" customHeight="1" x14ac:dyDescent="0.45">
      <c r="A1280" s="225">
        <v>1280</v>
      </c>
      <c r="B1280" s="226" t="s">
        <v>2284</v>
      </c>
      <c r="C1280" s="226" t="s">
        <v>2281</v>
      </c>
      <c r="D1280" s="226" t="s">
        <v>2283</v>
      </c>
      <c r="E1280" s="226">
        <v>1</v>
      </c>
      <c r="F1280" s="245">
        <v>43066</v>
      </c>
      <c r="G1280" s="261">
        <f ca="1">IF(ISBLANK(I1280),TODAY()-F1280,I1280-F1280)</f>
        <v>143</v>
      </c>
      <c r="H1280" s="179" t="s">
        <v>5296</v>
      </c>
      <c r="I1280" s="180">
        <v>43209</v>
      </c>
      <c r="J1280" s="171" t="s">
        <v>5403</v>
      </c>
      <c r="K1280" s="106" t="s">
        <v>5404</v>
      </c>
    </row>
    <row r="1281" spans="1:11" ht="15" customHeight="1" x14ac:dyDescent="0.45">
      <c r="A1281" s="225">
        <v>1281</v>
      </c>
      <c r="B1281" s="226" t="s">
        <v>2284</v>
      </c>
      <c r="C1281" s="226" t="s">
        <v>2178</v>
      </c>
      <c r="D1281" s="226" t="s">
        <v>2180</v>
      </c>
      <c r="E1281" s="226">
        <v>1</v>
      </c>
      <c r="F1281" s="245">
        <v>43066</v>
      </c>
      <c r="G1281" s="261">
        <f ca="1">IF(ISBLANK(I1281),TODAY()-F1281,I1281-F1281)</f>
        <v>25</v>
      </c>
      <c r="H1281" s="347" t="s">
        <v>5296</v>
      </c>
      <c r="I1281" s="198">
        <v>43091</v>
      </c>
      <c r="J1281" s="221" t="s">
        <v>5051</v>
      </c>
    </row>
    <row r="1282" spans="1:11" x14ac:dyDescent="0.45">
      <c r="A1282" s="225">
        <v>1282</v>
      </c>
      <c r="B1282" s="226" t="s">
        <v>2284</v>
      </c>
      <c r="C1282" s="226" t="s">
        <v>2322</v>
      </c>
      <c r="D1282" s="226" t="s">
        <v>2324</v>
      </c>
      <c r="E1282" s="226">
        <v>1</v>
      </c>
      <c r="F1282" s="245">
        <v>43066</v>
      </c>
      <c r="G1282" s="261">
        <f ca="1">IF(ISBLANK(I1282),TODAY()-F1282,I1282-F1282)</f>
        <v>143</v>
      </c>
      <c r="H1282" s="179" t="s">
        <v>5296</v>
      </c>
      <c r="I1282" s="180">
        <v>43209</v>
      </c>
      <c r="J1282" s="171" t="s">
        <v>5403</v>
      </c>
      <c r="K1282" s="106" t="s">
        <v>5404</v>
      </c>
    </row>
    <row r="1283" spans="1:11" x14ac:dyDescent="0.45">
      <c r="A1283" s="225">
        <v>1283</v>
      </c>
      <c r="B1283" s="226" t="s">
        <v>2284</v>
      </c>
      <c r="C1283" s="226" t="s">
        <v>2310</v>
      </c>
      <c r="D1283" s="226" t="s">
        <v>2312</v>
      </c>
      <c r="E1283" s="226">
        <v>1</v>
      </c>
      <c r="F1283" s="245">
        <v>43066</v>
      </c>
      <c r="G1283" s="261">
        <f ca="1">IF(ISBLANK(I1283),TODAY()-F1283,I1283-F1283)</f>
        <v>143</v>
      </c>
      <c r="H1283" s="179" t="s">
        <v>5296</v>
      </c>
      <c r="I1283" s="180">
        <v>43209</v>
      </c>
      <c r="J1283" s="171" t="s">
        <v>5403</v>
      </c>
      <c r="K1283" s="106" t="s">
        <v>5404</v>
      </c>
    </row>
    <row r="1284" spans="1:11" x14ac:dyDescent="0.45">
      <c r="A1284" s="225">
        <v>1284</v>
      </c>
      <c r="B1284" s="226" t="s">
        <v>5891</v>
      </c>
      <c r="C1284" s="226" t="s">
        <v>1878</v>
      </c>
      <c r="D1284" s="226" t="s">
        <v>1880</v>
      </c>
      <c r="E1284" s="226" t="s">
        <v>160</v>
      </c>
      <c r="F1284" s="245">
        <v>43066</v>
      </c>
      <c r="G1284" s="261">
        <v>43067</v>
      </c>
      <c r="H1284" s="233" t="s">
        <v>5002</v>
      </c>
      <c r="I1284" s="153">
        <v>43096</v>
      </c>
      <c r="J1284" s="221" t="s">
        <v>5113</v>
      </c>
    </row>
    <row r="1285" spans="1:11" x14ac:dyDescent="0.45">
      <c r="A1285" s="225">
        <v>1285</v>
      </c>
      <c r="B1285" s="226" t="s">
        <v>5891</v>
      </c>
      <c r="C1285" s="226" t="s">
        <v>1852</v>
      </c>
      <c r="D1285" s="226" t="s">
        <v>1854</v>
      </c>
      <c r="E1285" s="226" t="s">
        <v>160</v>
      </c>
      <c r="F1285" s="245">
        <v>43066</v>
      </c>
      <c r="G1285" s="261">
        <v>43067</v>
      </c>
      <c r="H1285" s="348" t="s">
        <v>5004</v>
      </c>
      <c r="I1285" s="283">
        <v>43096</v>
      </c>
      <c r="J1285" s="257" t="s">
        <v>5113</v>
      </c>
    </row>
    <row r="1286" spans="1:11" x14ac:dyDescent="0.45">
      <c r="A1286" s="225">
        <v>1286</v>
      </c>
      <c r="B1286" s="226" t="s">
        <v>1096</v>
      </c>
      <c r="C1286" s="226" t="s">
        <v>1106</v>
      </c>
      <c r="D1286" s="226" t="s">
        <v>1108</v>
      </c>
      <c r="E1286" s="226">
        <v>0</v>
      </c>
      <c r="F1286" s="245">
        <v>43066</v>
      </c>
      <c r="G1286" s="261">
        <f ca="1">IF(ISBLANK(I1286),TODAY()-F1286,I1286-F1286)</f>
        <v>143</v>
      </c>
      <c r="H1286" s="179" t="s">
        <v>5296</v>
      </c>
      <c r="I1286" s="180">
        <v>43209</v>
      </c>
      <c r="J1286" s="171" t="s">
        <v>5403</v>
      </c>
      <c r="K1286" s="106" t="s">
        <v>5404</v>
      </c>
    </row>
    <row r="1287" spans="1:11" x14ac:dyDescent="0.45">
      <c r="A1287" s="225">
        <v>1287</v>
      </c>
      <c r="B1287" s="226" t="s">
        <v>1096</v>
      </c>
      <c r="C1287" s="226" t="s">
        <v>1102</v>
      </c>
      <c r="D1287" s="226" t="s">
        <v>1104</v>
      </c>
      <c r="E1287" s="226">
        <v>0</v>
      </c>
      <c r="F1287" s="245">
        <v>43066</v>
      </c>
      <c r="G1287" s="261">
        <f ca="1">IF(ISBLANK(I1287),TODAY()-F1287,I1287-F1287)</f>
        <v>143</v>
      </c>
      <c r="H1287" s="170" t="s">
        <v>5296</v>
      </c>
      <c r="I1287" s="127">
        <v>43209</v>
      </c>
      <c r="J1287" s="171" t="s">
        <v>5403</v>
      </c>
      <c r="K1287" s="106" t="s">
        <v>5404</v>
      </c>
    </row>
    <row r="1288" spans="1:11" x14ac:dyDescent="0.45">
      <c r="A1288" s="225">
        <v>1288</v>
      </c>
      <c r="B1288" s="226" t="s">
        <v>1096</v>
      </c>
      <c r="C1288" s="226" t="s">
        <v>1098</v>
      </c>
      <c r="D1288" s="226" t="s">
        <v>1100</v>
      </c>
      <c r="E1288" s="226">
        <v>0</v>
      </c>
      <c r="F1288" s="245">
        <v>43066</v>
      </c>
      <c r="G1288" s="261">
        <f ca="1">IF(ISBLANK(I1288),TODAY()-F1288,I1288-F1288)</f>
        <v>143</v>
      </c>
      <c r="H1288" s="170" t="s">
        <v>5296</v>
      </c>
      <c r="I1288" s="127">
        <v>43209</v>
      </c>
      <c r="J1288" s="171" t="s">
        <v>5403</v>
      </c>
      <c r="K1288" s="106" t="s">
        <v>5404</v>
      </c>
    </row>
    <row r="1289" spans="1:11" x14ac:dyDescent="0.45">
      <c r="A1289" s="225">
        <v>1289</v>
      </c>
      <c r="B1289" s="226" t="s">
        <v>1096</v>
      </c>
      <c r="C1289" s="226" t="s">
        <v>1093</v>
      </c>
      <c r="D1289" s="226" t="s">
        <v>1095</v>
      </c>
      <c r="E1289" s="226">
        <v>0</v>
      </c>
      <c r="F1289" s="245">
        <v>43066</v>
      </c>
      <c r="G1289" s="261">
        <f ca="1">IF(ISBLANK(I1289),TODAY()-F1289,I1289-F1289)</f>
        <v>143</v>
      </c>
      <c r="H1289" s="179" t="s">
        <v>5296</v>
      </c>
      <c r="I1289" s="180">
        <v>43209</v>
      </c>
      <c r="J1289" s="171" t="s">
        <v>5403</v>
      </c>
      <c r="K1289" s="106" t="s">
        <v>5404</v>
      </c>
    </row>
    <row r="1290" spans="1:11" x14ac:dyDescent="0.45">
      <c r="A1290" s="225">
        <v>1290</v>
      </c>
      <c r="B1290" s="226" t="s">
        <v>5892</v>
      </c>
      <c r="C1290" s="226" t="s">
        <v>1536</v>
      </c>
      <c r="D1290" s="226" t="s">
        <v>1538</v>
      </c>
      <c r="E1290" s="226">
        <v>0</v>
      </c>
      <c r="F1290" s="245">
        <v>43066</v>
      </c>
      <c r="G1290" s="261">
        <f ca="1">IF(ISBLANK(I1290),TODAY()-F1290,I1290-F1290)</f>
        <v>135</v>
      </c>
      <c r="H1290" s="347" t="s">
        <v>5296</v>
      </c>
      <c r="I1290" s="198">
        <v>43201</v>
      </c>
      <c r="J1290" s="221" t="s">
        <v>5113</v>
      </c>
    </row>
    <row r="1291" spans="1:11" ht="15.75" customHeight="1" x14ac:dyDescent="0.45">
      <c r="A1291" s="225">
        <v>1292</v>
      </c>
      <c r="B1291" s="226" t="s">
        <v>493</v>
      </c>
      <c r="C1291" s="226" t="s">
        <v>490</v>
      </c>
      <c r="D1291" s="226" t="s">
        <v>492</v>
      </c>
      <c r="E1291" s="226">
        <v>1</v>
      </c>
      <c r="F1291" s="245">
        <v>43066</v>
      </c>
      <c r="G1291" s="261">
        <f ca="1">IF(ISBLANK(I1291),TODAY()-F1291,I1291-F1291)</f>
        <v>143</v>
      </c>
      <c r="H1291" s="179" t="s">
        <v>5296</v>
      </c>
      <c r="I1291" s="180">
        <v>43209</v>
      </c>
      <c r="J1291" s="171" t="s">
        <v>5403</v>
      </c>
      <c r="K1291" s="106" t="s">
        <v>5404</v>
      </c>
    </row>
    <row r="1292" spans="1:11" x14ac:dyDescent="0.45">
      <c r="A1292" s="225">
        <v>1293</v>
      </c>
      <c r="B1292" s="226" t="s">
        <v>225</v>
      </c>
      <c r="C1292" s="226" t="s">
        <v>461</v>
      </c>
      <c r="D1292" s="226" t="s">
        <v>463</v>
      </c>
      <c r="E1292" s="226">
        <v>1</v>
      </c>
      <c r="F1292" s="245">
        <v>43066</v>
      </c>
      <c r="G1292" s="261">
        <f ca="1">IF(ISBLANK(I1292),TODAY()-F1292,I1292-F1292)</f>
        <v>143</v>
      </c>
      <c r="H1292" s="179" t="s">
        <v>5296</v>
      </c>
      <c r="I1292" s="180">
        <v>43209</v>
      </c>
      <c r="J1292" s="171" t="s">
        <v>5403</v>
      </c>
      <c r="K1292" s="106" t="s">
        <v>5404</v>
      </c>
    </row>
    <row r="1293" spans="1:11" x14ac:dyDescent="0.45">
      <c r="A1293" s="225">
        <v>1294</v>
      </c>
      <c r="B1293" s="226" t="s">
        <v>225</v>
      </c>
      <c r="C1293" s="226" t="s">
        <v>422</v>
      </c>
      <c r="D1293" s="226" t="s">
        <v>424</v>
      </c>
      <c r="E1293" s="226">
        <v>1</v>
      </c>
      <c r="F1293" s="245">
        <v>43066</v>
      </c>
      <c r="G1293" s="261">
        <f ca="1">IF(ISBLANK(I1293),TODAY()-F1293,I1293-F1293)</f>
        <v>143</v>
      </c>
      <c r="H1293" s="170" t="s">
        <v>5296</v>
      </c>
      <c r="I1293" s="127">
        <v>43209</v>
      </c>
      <c r="J1293" s="171" t="s">
        <v>5403</v>
      </c>
      <c r="K1293" s="106" t="s">
        <v>5404</v>
      </c>
    </row>
    <row r="1294" spans="1:11" x14ac:dyDescent="0.45">
      <c r="A1294" s="225">
        <v>1295</v>
      </c>
      <c r="B1294" s="226" t="s">
        <v>225</v>
      </c>
      <c r="C1294" s="226" t="s">
        <v>222</v>
      </c>
      <c r="D1294" s="226" t="s">
        <v>224</v>
      </c>
      <c r="E1294" s="226">
        <v>1</v>
      </c>
      <c r="F1294" s="245">
        <v>43066</v>
      </c>
      <c r="G1294" s="261">
        <f ca="1">IF(ISBLANK(I1294),TODAY()-F1294,I1294-F1294)</f>
        <v>143</v>
      </c>
      <c r="H1294" s="170" t="s">
        <v>5296</v>
      </c>
      <c r="I1294" s="127">
        <v>43209</v>
      </c>
      <c r="J1294" s="171" t="s">
        <v>5403</v>
      </c>
      <c r="K1294" s="106" t="s">
        <v>5404</v>
      </c>
    </row>
    <row r="1295" spans="1:11" x14ac:dyDescent="0.45">
      <c r="A1295" s="225">
        <v>1296</v>
      </c>
      <c r="B1295" s="226" t="s">
        <v>331</v>
      </c>
      <c r="C1295" s="226" t="s">
        <v>328</v>
      </c>
      <c r="D1295" s="226" t="s">
        <v>330</v>
      </c>
      <c r="E1295" s="226">
        <v>0</v>
      </c>
      <c r="F1295" s="245">
        <v>43066</v>
      </c>
      <c r="G1295" s="261">
        <f ca="1">IF(ISBLANK(I1295),TODAY()-F1295,I1295-F1295)</f>
        <v>143</v>
      </c>
      <c r="H1295" s="179" t="s">
        <v>5296</v>
      </c>
      <c r="I1295" s="180">
        <v>43209</v>
      </c>
      <c r="J1295" s="171" t="s">
        <v>5403</v>
      </c>
      <c r="K1295" s="106" t="s">
        <v>5404</v>
      </c>
    </row>
    <row r="1296" spans="1:11" x14ac:dyDescent="0.45">
      <c r="A1296" s="225">
        <v>1297</v>
      </c>
      <c r="B1296" s="226" t="s">
        <v>5894</v>
      </c>
      <c r="C1296" s="226" t="s">
        <v>1542</v>
      </c>
      <c r="D1296" s="226" t="s">
        <v>1544</v>
      </c>
      <c r="E1296" s="226">
        <v>0</v>
      </c>
      <c r="F1296" s="245">
        <v>43066</v>
      </c>
      <c r="G1296" s="261">
        <f ca="1">IF(ISBLANK(I1296),TODAY()-F1296,I1296-F1296)</f>
        <v>121</v>
      </c>
      <c r="H1296" s="347" t="s">
        <v>5296</v>
      </c>
      <c r="I1296" s="198">
        <v>43187</v>
      </c>
      <c r="J1296" s="221" t="s">
        <v>5895</v>
      </c>
    </row>
    <row r="1297" spans="1:11" x14ac:dyDescent="0.45">
      <c r="A1297" s="225">
        <v>1298</v>
      </c>
      <c r="B1297" s="226" t="s">
        <v>526</v>
      </c>
      <c r="C1297" s="226" t="s">
        <v>618</v>
      </c>
      <c r="D1297" s="226" t="s">
        <v>620</v>
      </c>
      <c r="E1297" s="226">
        <v>0</v>
      </c>
      <c r="F1297" s="245">
        <v>43066</v>
      </c>
      <c r="G1297" s="261">
        <f ca="1">IF(ISBLANK(I1297),TODAY()-F1297,I1297-F1297)</f>
        <v>21</v>
      </c>
      <c r="H1297" s="232" t="s">
        <v>5344</v>
      </c>
      <c r="I1297" s="366">
        <v>43087</v>
      </c>
      <c r="J1297" s="257" t="s">
        <v>5160</v>
      </c>
    </row>
    <row r="1298" spans="1:11" x14ac:dyDescent="0.45">
      <c r="A1298" s="225">
        <v>1299</v>
      </c>
      <c r="B1298" s="226" t="s">
        <v>526</v>
      </c>
      <c r="C1298" s="226" t="s">
        <v>542</v>
      </c>
      <c r="D1298" s="226" t="s">
        <v>544</v>
      </c>
      <c r="E1298" s="226">
        <v>2</v>
      </c>
      <c r="F1298" s="245">
        <v>43066</v>
      </c>
      <c r="G1298" s="261">
        <f ca="1">IF(ISBLANK(I1298),TODAY()-F1298,I1298-F1298)</f>
        <v>21</v>
      </c>
      <c r="H1298" s="232" t="s">
        <v>5493</v>
      </c>
      <c r="I1298" s="366">
        <v>43087</v>
      </c>
      <c r="J1298" s="257" t="s">
        <v>5160</v>
      </c>
    </row>
    <row r="1299" spans="1:11" x14ac:dyDescent="0.45">
      <c r="A1299" s="225">
        <v>1300</v>
      </c>
      <c r="B1299" s="226" t="s">
        <v>526</v>
      </c>
      <c r="C1299" s="226" t="s">
        <v>523</v>
      </c>
      <c r="D1299" s="226" t="s">
        <v>525</v>
      </c>
      <c r="E1299" s="226">
        <v>1</v>
      </c>
      <c r="F1299" s="245">
        <v>43066</v>
      </c>
      <c r="G1299" s="261">
        <f ca="1">IF(ISBLANK(I1299),TODAY()-F1299,I1299-F1299)</f>
        <v>21</v>
      </c>
      <c r="H1299" s="232" t="s">
        <v>64</v>
      </c>
      <c r="I1299" s="366">
        <v>43087</v>
      </c>
      <c r="J1299" s="257" t="s">
        <v>5160</v>
      </c>
    </row>
    <row r="1300" spans="1:11" x14ac:dyDescent="0.45">
      <c r="A1300" s="225">
        <v>1301</v>
      </c>
      <c r="B1300" s="226" t="s">
        <v>526</v>
      </c>
      <c r="C1300" s="226" t="s">
        <v>634</v>
      </c>
      <c r="D1300" s="226" t="s">
        <v>636</v>
      </c>
      <c r="E1300" s="226">
        <v>0</v>
      </c>
      <c r="F1300" s="245">
        <v>43066</v>
      </c>
      <c r="G1300" s="261">
        <f ca="1">IF(ISBLANK(I1300),TODAY()-F1300,I1300-F1300)</f>
        <v>21</v>
      </c>
      <c r="H1300" s="247" t="s">
        <v>64</v>
      </c>
      <c r="I1300" s="228">
        <v>43087</v>
      </c>
      <c r="J1300" s="257" t="s">
        <v>5160</v>
      </c>
    </row>
    <row r="1301" spans="1:11" x14ac:dyDescent="0.45">
      <c r="A1301" s="225">
        <v>1302</v>
      </c>
      <c r="B1301" s="226" t="s">
        <v>5896</v>
      </c>
      <c r="C1301" s="226" t="s">
        <v>343</v>
      </c>
      <c r="D1301" s="226" t="s">
        <v>345</v>
      </c>
      <c r="E1301" s="226">
        <v>0</v>
      </c>
      <c r="F1301" s="245">
        <v>43066</v>
      </c>
      <c r="G1301" s="261">
        <f ca="1">IF(ISBLANK(I1301),TODAY()-F1301,I1301-F1301)</f>
        <v>143</v>
      </c>
      <c r="H1301" s="170" t="s">
        <v>5296</v>
      </c>
      <c r="I1301" s="127">
        <v>43209</v>
      </c>
      <c r="J1301" s="171" t="s">
        <v>5403</v>
      </c>
      <c r="K1301" s="106" t="s">
        <v>5404</v>
      </c>
    </row>
    <row r="1302" spans="1:11" x14ac:dyDescent="0.45">
      <c r="A1302" s="225">
        <v>1303</v>
      </c>
      <c r="B1302" s="226" t="s">
        <v>1888</v>
      </c>
      <c r="C1302" s="226" t="s">
        <v>1965</v>
      </c>
      <c r="D1302" s="226" t="s">
        <v>1967</v>
      </c>
      <c r="E1302" s="226">
        <v>0</v>
      </c>
      <c r="F1302" s="245">
        <v>43066</v>
      </c>
      <c r="G1302" s="261">
        <f ca="1">IF(ISBLANK(I1302),TODAY()-F1302,I1302-F1302)</f>
        <v>21</v>
      </c>
      <c r="H1302" s="247" t="s">
        <v>64</v>
      </c>
      <c r="I1302" s="228">
        <v>43087</v>
      </c>
      <c r="J1302" s="257" t="s">
        <v>5160</v>
      </c>
    </row>
    <row r="1303" spans="1:11" x14ac:dyDescent="0.45">
      <c r="A1303" s="225">
        <v>1304</v>
      </c>
      <c r="B1303" s="226" t="s">
        <v>1888</v>
      </c>
      <c r="C1303" s="226" t="s">
        <v>1979</v>
      </c>
      <c r="D1303" s="226" t="s">
        <v>1981</v>
      </c>
      <c r="E1303" s="226">
        <v>0</v>
      </c>
      <c r="F1303" s="245">
        <v>43066</v>
      </c>
      <c r="G1303" s="261">
        <f ca="1">IF(ISBLANK(I1303),TODAY()-F1303,I1303-F1303)</f>
        <v>21</v>
      </c>
      <c r="H1303" s="247" t="s">
        <v>64</v>
      </c>
      <c r="I1303" s="228">
        <v>43087</v>
      </c>
      <c r="J1303" s="257" t="s">
        <v>5160</v>
      </c>
    </row>
    <row r="1304" spans="1:11" x14ac:dyDescent="0.45">
      <c r="A1304" s="225">
        <v>1305</v>
      </c>
      <c r="B1304" s="226" t="s">
        <v>1888</v>
      </c>
      <c r="C1304" s="226" t="s">
        <v>1976</v>
      </c>
      <c r="D1304" s="226" t="s">
        <v>1978</v>
      </c>
      <c r="E1304" s="226">
        <v>0</v>
      </c>
      <c r="F1304" s="245">
        <v>43066</v>
      </c>
      <c r="G1304" s="261">
        <f ca="1">IF(ISBLANK(I1304),TODAY()-F1304,I1304-F1304)</f>
        <v>21</v>
      </c>
      <c r="H1304" s="247" t="s">
        <v>64</v>
      </c>
      <c r="I1304" s="228">
        <v>43087</v>
      </c>
      <c r="J1304" s="257" t="s">
        <v>5160</v>
      </c>
    </row>
    <row r="1305" spans="1:11" x14ac:dyDescent="0.45">
      <c r="A1305" s="225">
        <v>1306</v>
      </c>
      <c r="B1305" s="226" t="s">
        <v>1888</v>
      </c>
      <c r="C1305" s="226" t="s">
        <v>1943</v>
      </c>
      <c r="D1305" s="226" t="s">
        <v>1945</v>
      </c>
      <c r="E1305" s="226">
        <v>0</v>
      </c>
      <c r="F1305" s="245">
        <v>43066</v>
      </c>
      <c r="G1305" s="261">
        <f ca="1">IF(ISBLANK(I1305),TODAY()-F1305,I1305-F1305)</f>
        <v>21</v>
      </c>
      <c r="H1305" s="232" t="s">
        <v>64</v>
      </c>
      <c r="I1305" s="366">
        <v>43087</v>
      </c>
      <c r="J1305" s="257" t="s">
        <v>5160</v>
      </c>
    </row>
    <row r="1306" spans="1:11" x14ac:dyDescent="0.45">
      <c r="A1306" s="225">
        <v>1307</v>
      </c>
      <c r="B1306" s="226" t="s">
        <v>1888</v>
      </c>
      <c r="C1306" s="226" t="s">
        <v>1927</v>
      </c>
      <c r="D1306" s="226" t="s">
        <v>1929</v>
      </c>
      <c r="E1306" s="226">
        <v>0</v>
      </c>
      <c r="F1306" s="245">
        <v>43066</v>
      </c>
      <c r="G1306" s="261">
        <f ca="1">IF(ISBLANK(I1306),TODAY()-F1306,I1306-F1306)</f>
        <v>21</v>
      </c>
      <c r="H1306" s="247" t="s">
        <v>5493</v>
      </c>
      <c r="I1306" s="228">
        <v>43087</v>
      </c>
      <c r="J1306" s="257" t="s">
        <v>5160</v>
      </c>
    </row>
    <row r="1307" spans="1:11" x14ac:dyDescent="0.45">
      <c r="A1307" s="225">
        <v>1308</v>
      </c>
      <c r="B1307" s="226" t="s">
        <v>1888</v>
      </c>
      <c r="C1307" s="226" t="s">
        <v>1885</v>
      </c>
      <c r="D1307" s="226" t="s">
        <v>1887</v>
      </c>
      <c r="E1307" s="226">
        <v>0</v>
      </c>
      <c r="F1307" s="245">
        <v>43066</v>
      </c>
      <c r="G1307" s="261">
        <f ca="1">IF(ISBLANK(I1307),TODAY()-F1307,I1307-F1307)</f>
        <v>21</v>
      </c>
      <c r="H1307" s="247" t="s">
        <v>64</v>
      </c>
      <c r="I1307" s="228">
        <v>43087</v>
      </c>
      <c r="J1307" s="257" t="s">
        <v>5160</v>
      </c>
    </row>
    <row r="1308" spans="1:11" x14ac:dyDescent="0.45">
      <c r="A1308" s="225">
        <v>1312</v>
      </c>
      <c r="B1308" s="226" t="s">
        <v>5898</v>
      </c>
      <c r="C1308" s="226" t="s">
        <v>1450</v>
      </c>
      <c r="D1308" s="226" t="s">
        <v>1452</v>
      </c>
      <c r="E1308" s="226">
        <v>0</v>
      </c>
      <c r="F1308" s="245">
        <v>43066</v>
      </c>
      <c r="G1308" s="261">
        <f ca="1">IF(ISBLANK(I1308),TODAY()-F1308,I1308-F1308)</f>
        <v>2</v>
      </c>
      <c r="H1308" s="255" t="s">
        <v>5344</v>
      </c>
      <c r="I1308" s="256">
        <v>43068</v>
      </c>
      <c r="J1308" s="257" t="s">
        <v>5113</v>
      </c>
    </row>
    <row r="1309" spans="1:11" x14ac:dyDescent="0.45">
      <c r="A1309" s="225">
        <v>1313</v>
      </c>
      <c r="B1309" s="226" t="s">
        <v>5899</v>
      </c>
      <c r="C1309" s="226" t="s">
        <v>736</v>
      </c>
      <c r="D1309" s="226" t="s">
        <v>738</v>
      </c>
      <c r="E1309" s="226">
        <v>0</v>
      </c>
      <c r="F1309" s="245">
        <v>43066</v>
      </c>
      <c r="G1309" s="261">
        <f ca="1">IF(ISBLANK(I1309),TODAY()-F1309,I1309-F1309)</f>
        <v>2</v>
      </c>
      <c r="H1309" s="255" t="s">
        <v>5344</v>
      </c>
      <c r="I1309" s="256">
        <v>43068</v>
      </c>
      <c r="J1309" s="257" t="s">
        <v>5113</v>
      </c>
    </row>
    <row r="1310" spans="1:11" x14ac:dyDescent="0.45">
      <c r="A1310" s="225">
        <v>1248</v>
      </c>
      <c r="B1310" s="226" t="s">
        <v>5883</v>
      </c>
      <c r="C1310" s="226" t="s">
        <v>1962</v>
      </c>
      <c r="D1310" s="226" t="s">
        <v>1964</v>
      </c>
      <c r="E1310" s="226" t="s">
        <v>160</v>
      </c>
      <c r="F1310" s="245">
        <v>43068</v>
      </c>
      <c r="G1310" s="261">
        <v>43067</v>
      </c>
      <c r="H1310" s="233" t="s">
        <v>5002</v>
      </c>
      <c r="I1310" s="153">
        <v>43096</v>
      </c>
      <c r="J1310" s="221" t="s">
        <v>5113</v>
      </c>
    </row>
    <row r="1311" spans="1:11" x14ac:dyDescent="0.45">
      <c r="A1311" s="225">
        <v>1249</v>
      </c>
      <c r="B1311" s="226" t="s">
        <v>5883</v>
      </c>
      <c r="C1311" s="226" t="s">
        <v>1919</v>
      </c>
      <c r="D1311" s="226" t="s">
        <v>1921</v>
      </c>
      <c r="E1311" s="226" t="s">
        <v>160</v>
      </c>
      <c r="F1311" s="245">
        <v>43068</v>
      </c>
      <c r="G1311" s="261">
        <v>43067</v>
      </c>
      <c r="H1311" s="255" t="s">
        <v>5004</v>
      </c>
      <c r="I1311" s="256">
        <v>43096</v>
      </c>
      <c r="J1311" s="257" t="s">
        <v>5113</v>
      </c>
    </row>
    <row r="1312" spans="1:11" x14ac:dyDescent="0.45">
      <c r="A1312" s="225">
        <v>1250</v>
      </c>
      <c r="B1312" s="226" t="s">
        <v>5883</v>
      </c>
      <c r="C1312" s="226" t="s">
        <v>1916</v>
      </c>
      <c r="D1312" s="226" t="s">
        <v>1918</v>
      </c>
      <c r="E1312" s="226" t="s">
        <v>160</v>
      </c>
      <c r="F1312" s="245">
        <v>43068</v>
      </c>
      <c r="G1312" s="261">
        <v>43067</v>
      </c>
      <c r="H1312" s="255" t="s">
        <v>5004</v>
      </c>
      <c r="I1312" s="256">
        <v>43096</v>
      </c>
      <c r="J1312" s="257" t="s">
        <v>5113</v>
      </c>
    </row>
    <row r="1313" spans="1:11" x14ac:dyDescent="0.45">
      <c r="A1313" s="225">
        <v>1251</v>
      </c>
      <c r="B1313" s="226" t="s">
        <v>5883</v>
      </c>
      <c r="C1313" s="226" t="s">
        <v>1862</v>
      </c>
      <c r="D1313" s="226" t="s">
        <v>1864</v>
      </c>
      <c r="E1313" s="226" t="s">
        <v>160</v>
      </c>
      <c r="F1313" s="245">
        <v>43068</v>
      </c>
      <c r="G1313" s="261">
        <f ca="1">IF(ISBLANK(I1313),TODAY()-F1313,I1313-F1313)</f>
        <v>28</v>
      </c>
      <c r="H1313" s="347" t="s">
        <v>5004</v>
      </c>
      <c r="I1313" s="198">
        <v>43096</v>
      </c>
      <c r="J1313" s="221" t="s">
        <v>5113</v>
      </c>
    </row>
    <row r="1314" spans="1:11" x14ac:dyDescent="0.45">
      <c r="A1314" s="225">
        <v>1309</v>
      </c>
      <c r="B1314" s="226" t="s">
        <v>5897</v>
      </c>
      <c r="C1314" s="226" t="s">
        <v>1738</v>
      </c>
      <c r="D1314" s="226" t="s">
        <v>1740</v>
      </c>
      <c r="E1314" s="226">
        <v>0</v>
      </c>
      <c r="F1314" s="245">
        <v>43068</v>
      </c>
      <c r="G1314" s="261">
        <f ca="1">IF(ISBLANK(I1314),TODAY()-F1314,I1314-F1314)</f>
        <v>132</v>
      </c>
      <c r="H1314" s="347" t="s">
        <v>5296</v>
      </c>
      <c r="I1314" s="198">
        <v>43200</v>
      </c>
      <c r="J1314" s="221" t="s">
        <v>5113</v>
      </c>
    </row>
    <row r="1315" spans="1:11" x14ac:dyDescent="0.45">
      <c r="A1315" s="225">
        <v>1310</v>
      </c>
      <c r="B1315" s="226" t="s">
        <v>501</v>
      </c>
      <c r="C1315" s="226" t="s">
        <v>503</v>
      </c>
      <c r="D1315" s="226" t="s">
        <v>505</v>
      </c>
      <c r="E1315" s="226">
        <v>0</v>
      </c>
      <c r="F1315" s="245">
        <v>43068</v>
      </c>
      <c r="G1315" s="261">
        <f ca="1">IF(ISBLANK(I1315),TODAY()-F1315,I1315-F1315)</f>
        <v>141</v>
      </c>
      <c r="H1315" s="170" t="s">
        <v>5296</v>
      </c>
      <c r="I1315" s="127">
        <v>43209</v>
      </c>
      <c r="J1315" s="171" t="s">
        <v>5403</v>
      </c>
      <c r="K1315" s="106" t="s">
        <v>5404</v>
      </c>
    </row>
    <row r="1316" spans="1:11" x14ac:dyDescent="0.45">
      <c r="A1316" s="225">
        <v>1311</v>
      </c>
      <c r="B1316" s="226" t="s">
        <v>501</v>
      </c>
      <c r="C1316" s="226" t="s">
        <v>498</v>
      </c>
      <c r="D1316" s="226" t="s">
        <v>500</v>
      </c>
      <c r="E1316" s="226">
        <v>0</v>
      </c>
      <c r="F1316" s="245">
        <v>43068</v>
      </c>
      <c r="G1316" s="261">
        <f ca="1">IF(ISBLANK(I1316),TODAY()-F1316,I1316-F1316)</f>
        <v>141</v>
      </c>
      <c r="H1316" s="170" t="s">
        <v>5296</v>
      </c>
      <c r="I1316" s="127">
        <v>43209</v>
      </c>
      <c r="J1316" s="171" t="s">
        <v>5403</v>
      </c>
      <c r="K1316" s="106" t="s">
        <v>5404</v>
      </c>
    </row>
    <row r="1317" spans="1:11" x14ac:dyDescent="0.45">
      <c r="A1317" s="225">
        <v>1314</v>
      </c>
      <c r="B1317" s="226" t="s">
        <v>1564</v>
      </c>
      <c r="C1317" s="226" t="s">
        <v>1561</v>
      </c>
      <c r="D1317" s="226" t="s">
        <v>1563</v>
      </c>
      <c r="E1317" s="226">
        <v>1</v>
      </c>
      <c r="F1317" s="230">
        <v>43068</v>
      </c>
      <c r="G1317" s="261">
        <f ca="1">IF(ISBLANK(I1317),TODAY()-F1317,I1317-F1317)</f>
        <v>19</v>
      </c>
      <c r="H1317" s="255" t="s">
        <v>5227</v>
      </c>
      <c r="I1317" s="256">
        <v>43087</v>
      </c>
      <c r="J1317" s="257" t="s">
        <v>5113</v>
      </c>
    </row>
    <row r="1318" spans="1:11" x14ac:dyDescent="0.45">
      <c r="A1318" s="225">
        <v>1315</v>
      </c>
      <c r="B1318" s="226" t="s">
        <v>5900</v>
      </c>
      <c r="C1318" s="226" t="s">
        <v>1756</v>
      </c>
      <c r="D1318" s="226" t="s">
        <v>1758</v>
      </c>
      <c r="E1318" s="226" t="s">
        <v>65</v>
      </c>
      <c r="F1318" s="245">
        <v>43068</v>
      </c>
      <c r="G1318" s="261">
        <f ca="1">IF(ISBLANK(I1318),TODAY()-F1318,I1318-F1318)</f>
        <v>28</v>
      </c>
      <c r="H1318" s="255" t="s">
        <v>5004</v>
      </c>
      <c r="I1318" s="228">
        <v>43096</v>
      </c>
      <c r="J1318" s="257" t="s">
        <v>5113</v>
      </c>
    </row>
    <row r="1319" spans="1:11" x14ac:dyDescent="0.45">
      <c r="A1319" s="225">
        <v>1316</v>
      </c>
      <c r="B1319" s="226" t="s">
        <v>5900</v>
      </c>
      <c r="C1319" s="226" t="s">
        <v>1630</v>
      </c>
      <c r="D1319" s="226" t="s">
        <v>1632</v>
      </c>
      <c r="E1319" s="226" t="s">
        <v>3979</v>
      </c>
      <c r="F1319" s="245">
        <v>43068</v>
      </c>
      <c r="G1319" s="261">
        <f ca="1">IF(ISBLANK(I1319),TODAY()-F1319,I1319-F1319)</f>
        <v>28</v>
      </c>
      <c r="H1319" s="233" t="s">
        <v>5004</v>
      </c>
      <c r="I1319" s="153">
        <v>43096</v>
      </c>
      <c r="J1319" s="194" t="s">
        <v>5113</v>
      </c>
    </row>
    <row r="1320" spans="1:11" x14ac:dyDescent="0.45">
      <c r="A1320" s="225">
        <v>1317</v>
      </c>
      <c r="B1320" s="226" t="s">
        <v>154</v>
      </c>
      <c r="C1320" s="226" t="s">
        <v>151</v>
      </c>
      <c r="D1320" s="226" t="s">
        <v>153</v>
      </c>
      <c r="E1320" s="226">
        <v>0</v>
      </c>
      <c r="F1320" s="245">
        <v>43068</v>
      </c>
      <c r="G1320" s="261">
        <f ca="1">IF(ISBLANK(I1320),TODAY()-F1320,I1320-F1320)</f>
        <v>141</v>
      </c>
      <c r="H1320" s="179" t="s">
        <v>5296</v>
      </c>
      <c r="I1320" s="180">
        <v>43209</v>
      </c>
      <c r="J1320" s="171" t="s">
        <v>5403</v>
      </c>
      <c r="K1320" s="106" t="s">
        <v>5404</v>
      </c>
    </row>
    <row r="1321" spans="1:11" x14ac:dyDescent="0.45">
      <c r="A1321" s="225">
        <v>1318</v>
      </c>
      <c r="B1321" s="226" t="s">
        <v>965</v>
      </c>
      <c r="C1321" s="226" t="s">
        <v>962</v>
      </c>
      <c r="D1321" s="226" t="s">
        <v>964</v>
      </c>
      <c r="E1321" s="226">
        <v>0</v>
      </c>
      <c r="F1321" s="245">
        <v>43068</v>
      </c>
      <c r="G1321" s="261">
        <f ca="1">IF(ISBLANK(I1321),TODAY()-F1321,I1321-F1321)</f>
        <v>141</v>
      </c>
      <c r="H1321" s="179" t="s">
        <v>5296</v>
      </c>
      <c r="I1321" s="180">
        <v>43209</v>
      </c>
      <c r="J1321" s="171" t="s">
        <v>5403</v>
      </c>
      <c r="K1321" s="106" t="s">
        <v>5404</v>
      </c>
    </row>
    <row r="1322" spans="1:11" x14ac:dyDescent="0.45">
      <c r="A1322" s="225">
        <v>1319</v>
      </c>
      <c r="B1322" s="226" t="s">
        <v>468</v>
      </c>
      <c r="C1322" s="226" t="s">
        <v>465</v>
      </c>
      <c r="D1322" s="226" t="s">
        <v>467</v>
      </c>
      <c r="E1322" s="226">
        <v>0</v>
      </c>
      <c r="F1322" s="245">
        <v>43068</v>
      </c>
      <c r="G1322" s="261">
        <f ca="1">IF(ISBLANK(I1322),TODAY()-F1322,I1322-F1322)</f>
        <v>141</v>
      </c>
      <c r="H1322" s="179" t="s">
        <v>5296</v>
      </c>
      <c r="I1322" s="180">
        <v>43209</v>
      </c>
      <c r="J1322" s="171" t="s">
        <v>5403</v>
      </c>
      <c r="K1322" s="106" t="s">
        <v>5404</v>
      </c>
    </row>
    <row r="1323" spans="1:11" x14ac:dyDescent="0.45">
      <c r="A1323" s="225">
        <v>1320</v>
      </c>
      <c r="B1323" s="226" t="s">
        <v>5901</v>
      </c>
      <c r="C1323" s="226" t="s">
        <v>933</v>
      </c>
      <c r="D1323" s="226" t="s">
        <v>935</v>
      </c>
      <c r="E1323" s="226">
        <v>0</v>
      </c>
      <c r="F1323" s="245">
        <v>43068</v>
      </c>
      <c r="G1323" s="261">
        <f ca="1">IF(ISBLANK(I1323),TODAY()-F1323,I1323-F1323)</f>
        <v>132</v>
      </c>
      <c r="H1323" s="233" t="s">
        <v>5296</v>
      </c>
      <c r="I1323" s="153">
        <v>43200</v>
      </c>
      <c r="J1323" s="194" t="s">
        <v>5113</v>
      </c>
    </row>
    <row r="1324" spans="1:11" x14ac:dyDescent="0.45">
      <c r="A1324" s="225">
        <v>1321</v>
      </c>
      <c r="B1324" s="226" t="s">
        <v>989</v>
      </c>
      <c r="C1324" s="226" t="s">
        <v>1008</v>
      </c>
      <c r="D1324" s="226" t="s">
        <v>1010</v>
      </c>
      <c r="E1324" s="226">
        <v>0</v>
      </c>
      <c r="F1324" s="245">
        <v>43069</v>
      </c>
      <c r="G1324" s="261">
        <f ca="1">IF(ISBLANK(I1324),TODAY()-F1324,I1324-F1324)</f>
        <v>98</v>
      </c>
      <c r="H1324" s="233" t="s">
        <v>5296</v>
      </c>
      <c r="I1324" s="153">
        <v>43167</v>
      </c>
      <c r="J1324" s="221" t="s">
        <v>5113</v>
      </c>
    </row>
    <row r="1325" spans="1:11" x14ac:dyDescent="0.45">
      <c r="A1325" s="225">
        <v>1322</v>
      </c>
      <c r="B1325" s="226" t="s">
        <v>989</v>
      </c>
      <c r="C1325" s="226" t="s">
        <v>959</v>
      </c>
      <c r="D1325" s="226" t="s">
        <v>961</v>
      </c>
      <c r="E1325" s="226">
        <v>0</v>
      </c>
      <c r="F1325" s="245">
        <v>43069</v>
      </c>
      <c r="G1325" s="261">
        <f ca="1">IF(ISBLANK(I1325),TODAY()-F1325,I1325-F1325)</f>
        <v>98</v>
      </c>
      <c r="H1325" s="233" t="s">
        <v>5296</v>
      </c>
      <c r="I1325" s="153">
        <v>43167</v>
      </c>
      <c r="J1325" s="221" t="s">
        <v>5113</v>
      </c>
    </row>
    <row r="1326" spans="1:11" x14ac:dyDescent="0.45">
      <c r="A1326" s="225">
        <v>1323</v>
      </c>
      <c r="B1326" s="226" t="s">
        <v>989</v>
      </c>
      <c r="C1326" s="226" t="s">
        <v>986</v>
      </c>
      <c r="D1326" s="226" t="s">
        <v>988</v>
      </c>
      <c r="E1326" s="226">
        <v>0</v>
      </c>
      <c r="F1326" s="245">
        <v>43069</v>
      </c>
      <c r="G1326" s="261">
        <f ca="1">IF(ISBLANK(I1326),TODAY()-F1326,I1326-F1326)</f>
        <v>140</v>
      </c>
      <c r="H1326" s="179" t="s">
        <v>5296</v>
      </c>
      <c r="I1326" s="180">
        <v>43209</v>
      </c>
      <c r="J1326" s="171" t="s">
        <v>5403</v>
      </c>
      <c r="K1326" s="106" t="s">
        <v>5404</v>
      </c>
    </row>
    <row r="1327" spans="1:11" x14ac:dyDescent="0.45">
      <c r="A1327" s="225">
        <v>1327</v>
      </c>
      <c r="B1327" s="226" t="s">
        <v>5903</v>
      </c>
      <c r="C1327" s="226" t="s">
        <v>1546</v>
      </c>
      <c r="D1327" s="226" t="s">
        <v>1548</v>
      </c>
      <c r="E1327" s="226">
        <v>0</v>
      </c>
      <c r="F1327" s="245">
        <v>43069</v>
      </c>
      <c r="G1327" s="261">
        <f ca="1">IF(ISBLANK(I1327),TODAY()-F1327,I1327-F1327)</f>
        <v>105</v>
      </c>
      <c r="H1327" s="355" t="s">
        <v>5296</v>
      </c>
      <c r="I1327" s="153">
        <v>43174</v>
      </c>
      <c r="J1327" s="221" t="s">
        <v>5895</v>
      </c>
    </row>
    <row r="1328" spans="1:11" x14ac:dyDescent="0.45">
      <c r="A1328" s="225">
        <v>1328</v>
      </c>
      <c r="B1328" s="226" t="s">
        <v>853</v>
      </c>
      <c r="C1328" s="226" t="s">
        <v>859</v>
      </c>
      <c r="D1328" s="226" t="s">
        <v>861</v>
      </c>
      <c r="E1328" s="226">
        <v>0</v>
      </c>
      <c r="F1328" s="245">
        <v>43069</v>
      </c>
      <c r="G1328" s="261">
        <f ca="1">IF(ISBLANK(I1328),TODAY()-F1328,I1328-F1328)</f>
        <v>18</v>
      </c>
      <c r="H1328" s="247" t="s">
        <v>64</v>
      </c>
      <c r="I1328" s="228">
        <v>43087</v>
      </c>
      <c r="J1328" s="257" t="s">
        <v>5160</v>
      </c>
    </row>
    <row r="1329" spans="1:10" x14ac:dyDescent="0.45">
      <c r="A1329" s="225">
        <v>1329</v>
      </c>
      <c r="B1329" s="226" t="s">
        <v>853</v>
      </c>
      <c r="C1329" s="226" t="s">
        <v>855</v>
      </c>
      <c r="D1329" s="226" t="s">
        <v>857</v>
      </c>
      <c r="E1329" s="226">
        <v>0</v>
      </c>
      <c r="F1329" s="245">
        <v>43069</v>
      </c>
      <c r="G1329" s="261">
        <f ca="1">IF(ISBLANK(I1329),TODAY()-F1329,I1329-F1329)</f>
        <v>18</v>
      </c>
      <c r="H1329" s="247" t="s">
        <v>5493</v>
      </c>
      <c r="I1329" s="228">
        <v>43087</v>
      </c>
      <c r="J1329" s="257" t="s">
        <v>5160</v>
      </c>
    </row>
    <row r="1330" spans="1:10" x14ac:dyDescent="0.45">
      <c r="A1330" s="225">
        <v>1330</v>
      </c>
      <c r="B1330" s="226" t="s">
        <v>853</v>
      </c>
      <c r="C1330" s="226" t="s">
        <v>850</v>
      </c>
      <c r="D1330" s="226" t="s">
        <v>852</v>
      </c>
      <c r="E1330" s="226">
        <v>0</v>
      </c>
      <c r="F1330" s="245">
        <v>43069</v>
      </c>
      <c r="G1330" s="261">
        <f ca="1">IF(ISBLANK(I1330),TODAY()-F1330,I1330-F1330)</f>
        <v>18</v>
      </c>
      <c r="H1330" s="249" t="s">
        <v>5493</v>
      </c>
      <c r="I1330" s="228">
        <v>43087</v>
      </c>
      <c r="J1330" s="257" t="s">
        <v>5160</v>
      </c>
    </row>
    <row r="1331" spans="1:10" x14ac:dyDescent="0.45">
      <c r="A1331" s="225">
        <v>1331</v>
      </c>
      <c r="B1331" s="226" t="s">
        <v>853</v>
      </c>
      <c r="C1331" s="226" t="s">
        <v>832</v>
      </c>
      <c r="D1331" s="226" t="s">
        <v>834</v>
      </c>
      <c r="E1331" s="226">
        <v>0</v>
      </c>
      <c r="F1331" s="245">
        <v>43069</v>
      </c>
      <c r="G1331" s="261">
        <f ca="1">IF(ISBLANK(I1331),TODAY()-F1331,I1331-F1331)</f>
        <v>18</v>
      </c>
      <c r="H1331" s="247" t="s">
        <v>64</v>
      </c>
      <c r="I1331" s="228">
        <v>43087</v>
      </c>
      <c r="J1331" s="257" t="s">
        <v>5160</v>
      </c>
    </row>
    <row r="1332" spans="1:10" x14ac:dyDescent="0.45">
      <c r="A1332" s="225">
        <v>1332</v>
      </c>
      <c r="B1332" s="226" t="s">
        <v>853</v>
      </c>
      <c r="C1332" s="226" t="s">
        <v>813</v>
      </c>
      <c r="D1332" s="226" t="s">
        <v>815</v>
      </c>
      <c r="E1332" s="226">
        <v>0</v>
      </c>
      <c r="F1332" s="245">
        <v>43069</v>
      </c>
      <c r="G1332" s="261">
        <f ca="1">IF(ISBLANK(I1332),TODAY()-F1332,I1332-F1332)</f>
        <v>18</v>
      </c>
      <c r="H1332" s="247" t="s">
        <v>5493</v>
      </c>
      <c r="I1332" s="228">
        <v>43087</v>
      </c>
      <c r="J1332" s="257" t="s">
        <v>5160</v>
      </c>
    </row>
    <row r="1333" spans="1:10" x14ac:dyDescent="0.45">
      <c r="A1333" s="225">
        <v>1333</v>
      </c>
      <c r="B1333" s="226" t="s">
        <v>853</v>
      </c>
      <c r="C1333" s="226" t="s">
        <v>837</v>
      </c>
      <c r="D1333" s="226" t="s">
        <v>839</v>
      </c>
      <c r="E1333" s="226">
        <v>0</v>
      </c>
      <c r="F1333" s="245">
        <v>43069</v>
      </c>
      <c r="G1333" s="261">
        <f ca="1">IF(ISBLANK(I1333),TODAY()-F1333,I1333-F1333)</f>
        <v>18</v>
      </c>
      <c r="H1333" s="247" t="s">
        <v>5493</v>
      </c>
      <c r="I1333" s="228">
        <v>43087</v>
      </c>
      <c r="J1333" s="257" t="s">
        <v>5160</v>
      </c>
    </row>
    <row r="1334" spans="1:10" x14ac:dyDescent="0.45">
      <c r="A1334" s="225">
        <v>1334</v>
      </c>
      <c r="B1334" s="226" t="s">
        <v>853</v>
      </c>
      <c r="C1334" s="226" t="s">
        <v>827</v>
      </c>
      <c r="D1334" s="226" t="s">
        <v>829</v>
      </c>
      <c r="E1334" s="226">
        <v>0</v>
      </c>
      <c r="F1334" s="245">
        <v>43069</v>
      </c>
      <c r="G1334" s="261">
        <f ca="1">IF(ISBLANK(I1334),TODAY()-F1334,I1334-F1334)</f>
        <v>18</v>
      </c>
      <c r="H1334" s="247" t="s">
        <v>5227</v>
      </c>
      <c r="I1334" s="228">
        <v>43087</v>
      </c>
      <c r="J1334" s="257" t="s">
        <v>5160</v>
      </c>
    </row>
    <row r="1335" spans="1:10" x14ac:dyDescent="0.45">
      <c r="A1335" s="225">
        <v>1324</v>
      </c>
      <c r="B1335" s="226" t="s">
        <v>5902</v>
      </c>
      <c r="C1335" s="226" t="s">
        <v>379</v>
      </c>
      <c r="D1335" s="226" t="s">
        <v>381</v>
      </c>
      <c r="E1335" s="226">
        <v>0</v>
      </c>
      <c r="F1335" s="230">
        <v>43073</v>
      </c>
      <c r="G1335" s="261">
        <f ca="1">IF(ISBLANK(I1335),TODAY()-F1335,I1335-F1335)</f>
        <v>14</v>
      </c>
      <c r="H1335" s="253" t="s">
        <v>64</v>
      </c>
      <c r="I1335" s="264">
        <v>43087</v>
      </c>
      <c r="J1335" s="257" t="s">
        <v>5113</v>
      </c>
    </row>
    <row r="1336" spans="1:10" x14ac:dyDescent="0.45">
      <c r="A1336" s="225">
        <v>1325</v>
      </c>
      <c r="B1336" s="226" t="s">
        <v>5902</v>
      </c>
      <c r="C1336" s="226" t="s">
        <v>382</v>
      </c>
      <c r="D1336" s="226" t="s">
        <v>384</v>
      </c>
      <c r="E1336" s="226">
        <v>0</v>
      </c>
      <c r="F1336" s="230">
        <v>43073</v>
      </c>
      <c r="G1336" s="261">
        <f ca="1">IF(ISBLANK(I1336),TODAY()-F1336,I1336-F1336)</f>
        <v>14</v>
      </c>
      <c r="H1336" s="253" t="s">
        <v>64</v>
      </c>
      <c r="I1336" s="264">
        <v>43087</v>
      </c>
      <c r="J1336" s="257" t="s">
        <v>5113</v>
      </c>
    </row>
    <row r="1337" spans="1:10" x14ac:dyDescent="0.45">
      <c r="A1337" s="225">
        <v>1326</v>
      </c>
      <c r="B1337" s="226" t="s">
        <v>5902</v>
      </c>
      <c r="C1337" s="226" t="s">
        <v>346</v>
      </c>
      <c r="D1337" s="226" t="s">
        <v>348</v>
      </c>
      <c r="E1337" s="226">
        <v>0</v>
      </c>
      <c r="F1337" s="230">
        <v>43073</v>
      </c>
      <c r="G1337" s="261">
        <f ca="1">IF(ISBLANK(I1337),TODAY()-F1337,I1337-F1337)</f>
        <v>14</v>
      </c>
      <c r="H1337" s="253" t="s">
        <v>64</v>
      </c>
      <c r="I1337" s="264">
        <v>43087</v>
      </c>
      <c r="J1337" s="257" t="s">
        <v>5113</v>
      </c>
    </row>
    <row r="1338" spans="1:10" x14ac:dyDescent="0.45">
      <c r="A1338" s="225">
        <v>1335</v>
      </c>
      <c r="B1338" s="226" t="s">
        <v>5904</v>
      </c>
      <c r="C1338" s="226" t="s">
        <v>1016</v>
      </c>
      <c r="D1338" s="226" t="s">
        <v>1018</v>
      </c>
      <c r="E1338" s="226" t="s">
        <v>160</v>
      </c>
      <c r="F1338" s="245">
        <v>43074</v>
      </c>
      <c r="G1338" s="261">
        <f ca="1">IF(ISBLANK(I1338),TODAY()-F1338,I1338-F1338)</f>
        <v>24</v>
      </c>
      <c r="H1338" s="269" t="s">
        <v>164</v>
      </c>
      <c r="I1338" s="270">
        <v>43098</v>
      </c>
      <c r="J1338" s="271" t="s">
        <v>5113</v>
      </c>
    </row>
    <row r="1339" spans="1:10" x14ac:dyDescent="0.45">
      <c r="A1339" s="225">
        <v>1336</v>
      </c>
      <c r="B1339" s="226" t="s">
        <v>5904</v>
      </c>
      <c r="C1339" s="226" t="s">
        <v>1012</v>
      </c>
      <c r="D1339" s="226" t="s">
        <v>1014</v>
      </c>
      <c r="E1339" s="226" t="s">
        <v>160</v>
      </c>
      <c r="F1339" s="245">
        <v>43074</v>
      </c>
      <c r="G1339" s="261">
        <f ca="1">IF(ISBLANK(I1339),TODAY()-F1339,I1339-F1339)</f>
        <v>24</v>
      </c>
      <c r="H1339" s="269" t="s">
        <v>164</v>
      </c>
      <c r="I1339" s="270">
        <v>43098</v>
      </c>
      <c r="J1339" s="271" t="s">
        <v>5113</v>
      </c>
    </row>
    <row r="1340" spans="1:10" x14ac:dyDescent="0.45">
      <c r="A1340" s="225">
        <v>1338</v>
      </c>
      <c r="B1340" s="226" t="s">
        <v>5905</v>
      </c>
      <c r="C1340" s="226" t="s">
        <v>1027</v>
      </c>
      <c r="D1340" s="226" t="s">
        <v>1029</v>
      </c>
      <c r="E1340" s="226" t="s">
        <v>65</v>
      </c>
      <c r="F1340" s="245">
        <v>43074</v>
      </c>
      <c r="G1340" s="261">
        <f ca="1">IF(ISBLANK(I1340),TODAY()-F1340,I1340-F1340)</f>
        <v>108</v>
      </c>
      <c r="H1340" s="233" t="s">
        <v>5296</v>
      </c>
      <c r="I1340" s="153">
        <v>43182</v>
      </c>
      <c r="J1340" s="221" t="s">
        <v>5113</v>
      </c>
    </row>
    <row r="1341" spans="1:10" x14ac:dyDescent="0.45">
      <c r="A1341" s="225">
        <v>1339</v>
      </c>
      <c r="B1341" s="226" t="s">
        <v>5906</v>
      </c>
      <c r="C1341" s="226" t="s">
        <v>5907</v>
      </c>
      <c r="D1341" s="226" t="s">
        <v>938</v>
      </c>
      <c r="E1341" s="226" t="s">
        <v>65</v>
      </c>
      <c r="F1341" s="245">
        <v>43074</v>
      </c>
      <c r="G1341" s="261">
        <f ca="1">IF(ISBLANK(I1341),TODAY()-F1341,I1341-F1341)</f>
        <v>108</v>
      </c>
      <c r="H1341" s="233" t="s">
        <v>5296</v>
      </c>
      <c r="I1341" s="153">
        <v>43182</v>
      </c>
      <c r="J1341" s="221" t="s">
        <v>5113</v>
      </c>
    </row>
    <row r="1342" spans="1:10" x14ac:dyDescent="0.45">
      <c r="A1342" s="225">
        <v>1337</v>
      </c>
      <c r="B1342" s="226" t="s">
        <v>983</v>
      </c>
      <c r="C1342" s="226" t="s">
        <v>980</v>
      </c>
      <c r="D1342" s="226" t="s">
        <v>982</v>
      </c>
      <c r="E1342" s="226">
        <v>0</v>
      </c>
      <c r="F1342" s="230">
        <v>43077</v>
      </c>
      <c r="G1342" s="261">
        <f ca="1">IF(ISBLANK(I1342),TODAY()-F1342,I1342-F1342)</f>
        <v>0</v>
      </c>
      <c r="H1342" s="255" t="s">
        <v>5227</v>
      </c>
      <c r="I1342" s="256">
        <v>43077</v>
      </c>
      <c r="J1342" s="257" t="s">
        <v>5113</v>
      </c>
    </row>
    <row r="1343" spans="1:10" x14ac:dyDescent="0.45">
      <c r="A1343" s="225">
        <v>1351</v>
      </c>
      <c r="B1343" s="226" t="s">
        <v>5910</v>
      </c>
      <c r="C1343" s="226" t="s">
        <v>5911</v>
      </c>
      <c r="D1343" s="226" t="s">
        <v>2044</v>
      </c>
      <c r="E1343" s="226" t="s">
        <v>65</v>
      </c>
      <c r="F1343" s="339">
        <v>43082</v>
      </c>
      <c r="G1343" s="261">
        <f ca="1">IF(ISBLANK(I1343),TODAY()-F1343,I1343-F1343)</f>
        <v>27</v>
      </c>
      <c r="H1343" s="347" t="s">
        <v>164</v>
      </c>
      <c r="I1343" s="198">
        <v>43109</v>
      </c>
      <c r="J1343" s="221" t="s">
        <v>5113</v>
      </c>
    </row>
    <row r="1344" spans="1:10" x14ac:dyDescent="0.45">
      <c r="A1344" s="225">
        <v>1352</v>
      </c>
      <c r="B1344" s="226" t="s">
        <v>5912</v>
      </c>
      <c r="C1344" s="226" t="s">
        <v>1959</v>
      </c>
      <c r="D1344" s="226" t="s">
        <v>1961</v>
      </c>
      <c r="E1344" s="226" t="s">
        <v>65</v>
      </c>
      <c r="F1344" s="230">
        <v>43082</v>
      </c>
      <c r="G1344" s="261">
        <f ca="1">IF(ISBLANK(I1344),TODAY()-F1344,I1344-F1344)</f>
        <v>33</v>
      </c>
      <c r="H1344" s="347" t="s">
        <v>5062</v>
      </c>
      <c r="I1344" s="198">
        <v>43115</v>
      </c>
      <c r="J1344" s="221" t="s">
        <v>5113</v>
      </c>
    </row>
    <row r="1345" spans="1:11" x14ac:dyDescent="0.45">
      <c r="A1345" s="225">
        <v>1353</v>
      </c>
      <c r="B1345" s="226" t="s">
        <v>5912</v>
      </c>
      <c r="C1345" s="226" t="s">
        <v>1893</v>
      </c>
      <c r="D1345" s="226" t="s">
        <v>1895</v>
      </c>
      <c r="E1345" s="226" t="s">
        <v>65</v>
      </c>
      <c r="F1345" s="230">
        <v>43082</v>
      </c>
      <c r="G1345" s="261">
        <f ca="1">IF(ISBLANK(I1345),TODAY()-F1345,I1345-F1345)</f>
        <v>33</v>
      </c>
      <c r="H1345" s="347" t="s">
        <v>5062</v>
      </c>
      <c r="I1345" s="198">
        <v>43115</v>
      </c>
      <c r="J1345" s="221" t="s">
        <v>5113</v>
      </c>
    </row>
    <row r="1346" spans="1:11" x14ac:dyDescent="0.45">
      <c r="A1346" s="225">
        <v>1354</v>
      </c>
      <c r="B1346" s="226" t="s">
        <v>5912</v>
      </c>
      <c r="C1346" s="226" t="s">
        <v>1862</v>
      </c>
      <c r="D1346" s="226" t="s">
        <v>1864</v>
      </c>
      <c r="E1346" s="226" t="s">
        <v>164</v>
      </c>
      <c r="F1346" s="230">
        <v>43082</v>
      </c>
      <c r="G1346" s="261">
        <f ca="1">IF(ISBLANK(I1346),TODAY()-F1346,I1346-F1346)</f>
        <v>33</v>
      </c>
      <c r="H1346" s="352" t="s">
        <v>160</v>
      </c>
      <c r="I1346" s="283">
        <v>43115</v>
      </c>
      <c r="J1346" s="257" t="s">
        <v>5113</v>
      </c>
    </row>
    <row r="1347" spans="1:11" x14ac:dyDescent="0.45">
      <c r="A1347" s="225">
        <v>1355</v>
      </c>
      <c r="B1347" s="226" t="s">
        <v>5913</v>
      </c>
      <c r="C1347" s="226" t="s">
        <v>2038</v>
      </c>
      <c r="D1347" s="226" t="s">
        <v>2040</v>
      </c>
      <c r="E1347" s="226" t="s">
        <v>65</v>
      </c>
      <c r="F1347" s="230">
        <v>43082</v>
      </c>
      <c r="G1347" s="261">
        <f ca="1">IF(ISBLANK(I1347),TODAY()-F1347,I1347-F1347)</f>
        <v>27</v>
      </c>
      <c r="H1347" s="347" t="s">
        <v>160</v>
      </c>
      <c r="I1347" s="198">
        <v>43109</v>
      </c>
      <c r="J1347" s="221" t="s">
        <v>5113</v>
      </c>
    </row>
    <row r="1348" spans="1:11" x14ac:dyDescent="0.45">
      <c r="A1348" s="225">
        <v>1340</v>
      </c>
      <c r="B1348" s="226" t="s">
        <v>2101</v>
      </c>
      <c r="C1348" s="226" t="s">
        <v>2167</v>
      </c>
      <c r="D1348" s="226" t="s">
        <v>2169</v>
      </c>
      <c r="E1348" s="226">
        <v>0</v>
      </c>
      <c r="F1348" s="340">
        <v>43084</v>
      </c>
      <c r="G1348" s="261">
        <f ca="1">IF(ISBLANK(I1348),TODAY()-F1348,I1348-F1348)</f>
        <v>125</v>
      </c>
      <c r="H1348" s="170" t="s">
        <v>5296</v>
      </c>
      <c r="I1348" s="127">
        <v>43209</v>
      </c>
      <c r="J1348" s="171" t="s">
        <v>5403</v>
      </c>
      <c r="K1348" s="106" t="s">
        <v>5404</v>
      </c>
    </row>
    <row r="1349" spans="1:11" x14ac:dyDescent="0.45">
      <c r="A1349" s="225">
        <v>1341</v>
      </c>
      <c r="B1349" s="226" t="s">
        <v>2101</v>
      </c>
      <c r="C1349" s="226" t="s">
        <v>2135</v>
      </c>
      <c r="D1349" s="226" t="s">
        <v>2137</v>
      </c>
      <c r="E1349" s="226">
        <v>0</v>
      </c>
      <c r="F1349" s="245">
        <v>43084</v>
      </c>
      <c r="G1349" s="261">
        <f ca="1">IF(ISBLANK(I1349),TODAY()-F1349,I1349-F1349)</f>
        <v>125</v>
      </c>
      <c r="H1349" s="170" t="s">
        <v>5296</v>
      </c>
      <c r="I1349" s="127">
        <v>43209</v>
      </c>
      <c r="J1349" s="171" t="s">
        <v>5403</v>
      </c>
      <c r="K1349" s="106" t="s">
        <v>5404</v>
      </c>
    </row>
    <row r="1350" spans="1:11" x14ac:dyDescent="0.45">
      <c r="A1350" s="225">
        <v>1342</v>
      </c>
      <c r="B1350" s="226" t="s">
        <v>2101</v>
      </c>
      <c r="C1350" s="226" t="s">
        <v>2131</v>
      </c>
      <c r="D1350" s="226" t="s">
        <v>2133</v>
      </c>
      <c r="E1350" s="226">
        <v>0</v>
      </c>
      <c r="F1350" s="245">
        <v>43084</v>
      </c>
      <c r="G1350" s="261">
        <f ca="1">IF(ISBLANK(I1350),TODAY()-F1350,I1350-F1350)</f>
        <v>125</v>
      </c>
      <c r="H1350" s="170" t="s">
        <v>5296</v>
      </c>
      <c r="I1350" s="127">
        <v>43209</v>
      </c>
      <c r="J1350" s="171" t="s">
        <v>5403</v>
      </c>
      <c r="K1350" s="106" t="s">
        <v>5404</v>
      </c>
    </row>
    <row r="1351" spans="1:11" x14ac:dyDescent="0.45">
      <c r="A1351" s="225">
        <v>1343</v>
      </c>
      <c r="B1351" s="226" t="s">
        <v>2101</v>
      </c>
      <c r="C1351" s="226" t="s">
        <v>2098</v>
      </c>
      <c r="D1351" s="226" t="s">
        <v>2100</v>
      </c>
      <c r="E1351" s="226">
        <v>0</v>
      </c>
      <c r="F1351" s="245">
        <v>43084</v>
      </c>
      <c r="G1351" s="261">
        <f ca="1">IF(ISBLANK(I1351),TODAY()-F1351,I1351-F1351)</f>
        <v>125</v>
      </c>
      <c r="H1351" s="170" t="s">
        <v>5296</v>
      </c>
      <c r="I1351" s="127">
        <v>43209</v>
      </c>
      <c r="J1351" s="171" t="s">
        <v>5403</v>
      </c>
      <c r="K1351" s="106" t="s">
        <v>5404</v>
      </c>
    </row>
    <row r="1352" spans="1:11" x14ac:dyDescent="0.45">
      <c r="A1352" s="225">
        <v>1344</v>
      </c>
      <c r="B1352" s="226" t="s">
        <v>2101</v>
      </c>
      <c r="C1352" s="226" t="s">
        <v>2127</v>
      </c>
      <c r="D1352" s="226" t="s">
        <v>2129</v>
      </c>
      <c r="E1352" s="226">
        <v>0</v>
      </c>
      <c r="F1352" s="245">
        <v>43084</v>
      </c>
      <c r="G1352" s="261">
        <f ca="1">IF(ISBLANK(I1352),TODAY()-F1352,I1352-F1352)</f>
        <v>125</v>
      </c>
      <c r="H1352" s="170" t="s">
        <v>5296</v>
      </c>
      <c r="I1352" s="127">
        <v>43209</v>
      </c>
      <c r="J1352" s="171" t="s">
        <v>5403</v>
      </c>
      <c r="K1352" s="106" t="s">
        <v>5404</v>
      </c>
    </row>
    <row r="1353" spans="1:11" x14ac:dyDescent="0.45">
      <c r="A1353" s="225">
        <v>1345</v>
      </c>
      <c r="B1353" s="226" t="s">
        <v>5908</v>
      </c>
      <c r="C1353" s="226" t="s">
        <v>2144</v>
      </c>
      <c r="D1353" s="226" t="s">
        <v>2146</v>
      </c>
      <c r="E1353" s="226">
        <v>0</v>
      </c>
      <c r="F1353" s="245">
        <v>43084</v>
      </c>
      <c r="G1353" s="261">
        <f ca="1">IF(ISBLANK(I1353),TODAY()-F1353,I1353-F1353)</f>
        <v>28</v>
      </c>
      <c r="H1353" s="233" t="s">
        <v>5296</v>
      </c>
      <c r="I1353" s="153">
        <v>43112</v>
      </c>
      <c r="J1353" s="221" t="s">
        <v>5895</v>
      </c>
    </row>
    <row r="1354" spans="1:11" x14ac:dyDescent="0.45">
      <c r="A1354" s="225">
        <v>1346</v>
      </c>
      <c r="B1354" s="226" t="s">
        <v>5908</v>
      </c>
      <c r="C1354" s="226" t="s">
        <v>2152</v>
      </c>
      <c r="D1354" s="226" t="s">
        <v>2154</v>
      </c>
      <c r="E1354" s="226">
        <v>0</v>
      </c>
      <c r="F1354" s="245">
        <v>43084</v>
      </c>
      <c r="G1354" s="261">
        <f ca="1">IF(ISBLANK(I1354),TODAY()-F1354,I1354-F1354)</f>
        <v>33</v>
      </c>
      <c r="H1354" s="233" t="s">
        <v>5296</v>
      </c>
      <c r="I1354" s="153">
        <v>43117</v>
      </c>
      <c r="J1354" s="221" t="s">
        <v>5895</v>
      </c>
    </row>
    <row r="1355" spans="1:11" x14ac:dyDescent="0.45">
      <c r="A1355" s="225">
        <v>1347</v>
      </c>
      <c r="B1355" s="226" t="s">
        <v>5908</v>
      </c>
      <c r="C1355" s="226" t="s">
        <v>2148</v>
      </c>
      <c r="D1355" s="226" t="s">
        <v>2150</v>
      </c>
      <c r="E1355" s="226">
        <v>0</v>
      </c>
      <c r="F1355" s="245">
        <v>43084</v>
      </c>
      <c r="G1355" s="261">
        <f ca="1">IF(ISBLANK(I1355),TODAY()-F1355,I1355-F1355)</f>
        <v>33</v>
      </c>
      <c r="H1355" s="233" t="s">
        <v>5296</v>
      </c>
      <c r="I1355" s="153">
        <v>43117</v>
      </c>
      <c r="J1355" s="221" t="s">
        <v>5895</v>
      </c>
    </row>
    <row r="1356" spans="1:11" x14ac:dyDescent="0.45">
      <c r="A1356" s="225">
        <v>1348</v>
      </c>
      <c r="B1356" s="226" t="s">
        <v>5909</v>
      </c>
      <c r="C1356" s="226" t="s">
        <v>2107</v>
      </c>
      <c r="D1356" s="226" t="s">
        <v>2109</v>
      </c>
      <c r="E1356" s="226">
        <v>0</v>
      </c>
      <c r="F1356" s="245">
        <v>43084</v>
      </c>
      <c r="G1356" s="261">
        <f ca="1">IF(ISBLANK(I1356),TODAY()-F1356,I1356-F1356)</f>
        <v>33</v>
      </c>
      <c r="H1356" s="233" t="s">
        <v>5296</v>
      </c>
      <c r="I1356" s="153">
        <v>43117</v>
      </c>
      <c r="J1356" s="221" t="s">
        <v>5895</v>
      </c>
    </row>
    <row r="1357" spans="1:11" x14ac:dyDescent="0.45">
      <c r="A1357" s="225">
        <v>1349</v>
      </c>
      <c r="B1357" s="226" t="s">
        <v>5909</v>
      </c>
      <c r="C1357" s="226" t="s">
        <v>2116</v>
      </c>
      <c r="D1357" s="226" t="s">
        <v>2118</v>
      </c>
      <c r="E1357" s="226">
        <v>0</v>
      </c>
      <c r="F1357" s="245">
        <v>43084</v>
      </c>
      <c r="G1357" s="261">
        <f ca="1">IF(ISBLANK(I1357),TODAY()-F1357,I1357-F1357)</f>
        <v>33</v>
      </c>
      <c r="H1357" s="361" t="s">
        <v>5296</v>
      </c>
      <c r="I1357" s="153">
        <v>43117</v>
      </c>
      <c r="J1357" s="221" t="s">
        <v>5895</v>
      </c>
    </row>
    <row r="1358" spans="1:11" x14ac:dyDescent="0.45">
      <c r="A1358" s="225">
        <v>1350</v>
      </c>
      <c r="B1358" s="226" t="s">
        <v>5909</v>
      </c>
      <c r="C1358" s="226" t="s">
        <v>2112</v>
      </c>
      <c r="D1358" s="226" t="s">
        <v>2114</v>
      </c>
      <c r="E1358" s="226">
        <v>0</v>
      </c>
      <c r="F1358" s="245">
        <v>43084</v>
      </c>
      <c r="G1358" s="261">
        <f ca="1">IF(ISBLANK(I1358),TODAY()-F1358,I1358-F1358)</f>
        <v>33</v>
      </c>
      <c r="H1358" s="233" t="s">
        <v>5296</v>
      </c>
      <c r="I1358" s="153">
        <v>43117</v>
      </c>
      <c r="J1358" s="221" t="s">
        <v>5895</v>
      </c>
    </row>
    <row r="1359" spans="1:11" x14ac:dyDescent="0.45">
      <c r="A1359" s="225">
        <v>1356</v>
      </c>
      <c r="B1359" s="226" t="s">
        <v>700</v>
      </c>
      <c r="C1359" s="226" t="s">
        <v>697</v>
      </c>
      <c r="D1359" s="226" t="s">
        <v>699</v>
      </c>
      <c r="E1359" s="226">
        <v>1</v>
      </c>
      <c r="F1359" s="230">
        <v>43084</v>
      </c>
      <c r="G1359" s="261">
        <f ca="1">IF(ISBLANK(I1359),TODAY()-F1359,I1359-F1359)</f>
        <v>125</v>
      </c>
      <c r="H1359" s="179" t="s">
        <v>5296</v>
      </c>
      <c r="I1359" s="180">
        <v>43209</v>
      </c>
      <c r="J1359" s="171" t="s">
        <v>5403</v>
      </c>
      <c r="K1359" s="106" t="s">
        <v>5404</v>
      </c>
    </row>
    <row r="1360" spans="1:11" x14ac:dyDescent="0.45">
      <c r="A1360" s="225">
        <v>1357</v>
      </c>
      <c r="B1360" s="226" t="s">
        <v>2300</v>
      </c>
      <c r="C1360" s="226" t="s">
        <v>2297</v>
      </c>
      <c r="D1360" s="226" t="s">
        <v>2299</v>
      </c>
      <c r="E1360" s="226">
        <v>1</v>
      </c>
      <c r="F1360" s="230">
        <v>43084</v>
      </c>
      <c r="G1360" s="261">
        <f ca="1">IF(ISBLANK(I1360),TODAY()-F1360,I1360-F1360)</f>
        <v>125</v>
      </c>
      <c r="H1360" s="179" t="s">
        <v>5296</v>
      </c>
      <c r="I1360" s="180">
        <v>43209</v>
      </c>
      <c r="J1360" s="171" t="s">
        <v>5403</v>
      </c>
      <c r="K1360" s="106" t="s">
        <v>5404</v>
      </c>
    </row>
    <row r="1361" spans="1:11" x14ac:dyDescent="0.45">
      <c r="A1361" s="225">
        <v>1358</v>
      </c>
      <c r="B1361" s="226" t="s">
        <v>2005</v>
      </c>
      <c r="C1361" s="226" t="s">
        <v>2007</v>
      </c>
      <c r="D1361" s="226" t="s">
        <v>2009</v>
      </c>
      <c r="E1361" s="226">
        <v>1</v>
      </c>
      <c r="F1361" s="230">
        <v>43084</v>
      </c>
      <c r="G1361" s="261">
        <f ca="1">IF(ISBLANK(I1361),TODAY()-F1361,I1361-F1361)</f>
        <v>125</v>
      </c>
      <c r="H1361" s="179" t="s">
        <v>5296</v>
      </c>
      <c r="I1361" s="180">
        <v>43209</v>
      </c>
      <c r="J1361" s="171" t="s">
        <v>5403</v>
      </c>
      <c r="K1361" s="106" t="s">
        <v>5404</v>
      </c>
    </row>
    <row r="1362" spans="1:11" x14ac:dyDescent="0.45">
      <c r="A1362" s="225">
        <v>1359</v>
      </c>
      <c r="B1362" s="226" t="s">
        <v>2005</v>
      </c>
      <c r="C1362" s="226" t="s">
        <v>2011</v>
      </c>
      <c r="D1362" s="226" t="s">
        <v>2013</v>
      </c>
      <c r="E1362" s="226">
        <v>1</v>
      </c>
      <c r="F1362" s="230">
        <v>43084</v>
      </c>
      <c r="G1362" s="261">
        <f ca="1">IF(ISBLANK(I1362),TODAY()-F1362,I1362-F1362)</f>
        <v>125</v>
      </c>
      <c r="H1362" s="179" t="s">
        <v>5296</v>
      </c>
      <c r="I1362" s="180">
        <v>43209</v>
      </c>
      <c r="J1362" s="171" t="s">
        <v>5403</v>
      </c>
      <c r="K1362" s="106" t="s">
        <v>5404</v>
      </c>
    </row>
    <row r="1363" spans="1:11" x14ac:dyDescent="0.45">
      <c r="A1363" s="225">
        <v>1360</v>
      </c>
      <c r="B1363" s="226" t="s">
        <v>2005</v>
      </c>
      <c r="C1363" s="226" t="s">
        <v>2015</v>
      </c>
      <c r="D1363" s="226" t="s">
        <v>2017</v>
      </c>
      <c r="E1363" s="226">
        <v>1</v>
      </c>
      <c r="F1363" s="230">
        <v>43084</v>
      </c>
      <c r="G1363" s="261">
        <f ca="1">IF(ISBLANK(I1363),TODAY()-F1363,I1363-F1363)</f>
        <v>125</v>
      </c>
      <c r="H1363" s="179" t="s">
        <v>5296</v>
      </c>
      <c r="I1363" s="180">
        <v>43209</v>
      </c>
      <c r="J1363" s="171" t="s">
        <v>5403</v>
      </c>
      <c r="K1363" s="106" t="s">
        <v>5404</v>
      </c>
    </row>
    <row r="1364" spans="1:11" x14ac:dyDescent="0.45">
      <c r="A1364" s="225">
        <v>1361</v>
      </c>
      <c r="B1364" s="226" t="s">
        <v>2005</v>
      </c>
      <c r="C1364" s="226" t="s">
        <v>2002</v>
      </c>
      <c r="D1364" s="226" t="s">
        <v>2004</v>
      </c>
      <c r="E1364" s="226">
        <v>1</v>
      </c>
      <c r="F1364" s="230">
        <v>43084</v>
      </c>
      <c r="G1364" s="261">
        <f ca="1">IF(ISBLANK(I1364),TODAY()-F1364,I1364-F1364)</f>
        <v>125</v>
      </c>
      <c r="H1364" s="179" t="s">
        <v>5296</v>
      </c>
      <c r="I1364" s="180">
        <v>43209</v>
      </c>
      <c r="J1364" s="171" t="s">
        <v>5403</v>
      </c>
      <c r="K1364" s="106" t="s">
        <v>5404</v>
      </c>
    </row>
    <row r="1365" spans="1:11" x14ac:dyDescent="0.45">
      <c r="A1365" s="225">
        <v>1363</v>
      </c>
      <c r="B1365" s="226" t="s">
        <v>5915</v>
      </c>
      <c r="C1365" s="226" t="s">
        <v>1630</v>
      </c>
      <c r="D1365" s="226" t="s">
        <v>1632</v>
      </c>
      <c r="E1365" s="226">
        <v>0</v>
      </c>
      <c r="F1365" s="230">
        <v>43084</v>
      </c>
      <c r="G1365" s="261">
        <f ca="1">IF(ISBLANK(I1365),TODAY()-F1365,I1365-F1365)</f>
        <v>125</v>
      </c>
      <c r="H1365" s="179" t="s">
        <v>5296</v>
      </c>
      <c r="I1365" s="180">
        <v>43209</v>
      </c>
      <c r="J1365" s="171" t="s">
        <v>5403</v>
      </c>
      <c r="K1365" s="106" t="s">
        <v>5404</v>
      </c>
    </row>
    <row r="1366" spans="1:11" x14ac:dyDescent="0.45">
      <c r="A1366" s="225">
        <v>1364</v>
      </c>
      <c r="B1366" s="226" t="s">
        <v>5916</v>
      </c>
      <c r="C1366" s="226" t="s">
        <v>1116</v>
      </c>
      <c r="D1366" s="226" t="s">
        <v>1118</v>
      </c>
      <c r="E1366" s="226">
        <v>0</v>
      </c>
      <c r="F1366" s="230">
        <v>43084</v>
      </c>
      <c r="G1366" s="261">
        <f ca="1">IF(ISBLANK(I1366),TODAY()-F1366,I1366-F1366)</f>
        <v>115</v>
      </c>
      <c r="H1366" s="347" t="s">
        <v>5296</v>
      </c>
      <c r="I1366" s="198">
        <v>43199</v>
      </c>
      <c r="J1366" s="221" t="s">
        <v>5113</v>
      </c>
    </row>
    <row r="1367" spans="1:11" x14ac:dyDescent="0.45">
      <c r="A1367" s="225">
        <v>1365</v>
      </c>
      <c r="B1367" s="226" t="s">
        <v>5916</v>
      </c>
      <c r="C1367" s="226" t="s">
        <v>1113</v>
      </c>
      <c r="D1367" s="226" t="s">
        <v>1115</v>
      </c>
      <c r="E1367" s="226">
        <v>0</v>
      </c>
      <c r="F1367" s="230">
        <v>43084</v>
      </c>
      <c r="G1367" s="261">
        <f ca="1">IF(ISBLANK(I1367),TODAY()-F1367,I1367-F1367)</f>
        <v>105</v>
      </c>
      <c r="H1367" s="233" t="s">
        <v>5296</v>
      </c>
      <c r="I1367" s="153">
        <v>43189</v>
      </c>
      <c r="J1367" s="221" t="s">
        <v>5113</v>
      </c>
    </row>
    <row r="1368" spans="1:11" x14ac:dyDescent="0.45">
      <c r="A1368" s="225">
        <v>1366</v>
      </c>
      <c r="B1368" s="226" t="s">
        <v>5916</v>
      </c>
      <c r="C1368" s="226" t="s">
        <v>1110</v>
      </c>
      <c r="D1368" s="226" t="s">
        <v>1112</v>
      </c>
      <c r="E1368" s="226">
        <v>0</v>
      </c>
      <c r="F1368" s="230">
        <v>43084</v>
      </c>
      <c r="G1368" s="261">
        <f ca="1">IF(ISBLANK(I1368),TODAY()-F1368,I1368-F1368)</f>
        <v>105</v>
      </c>
      <c r="H1368" s="233" t="s">
        <v>5296</v>
      </c>
      <c r="I1368" s="153">
        <v>43189</v>
      </c>
      <c r="J1368" s="221" t="s">
        <v>5113</v>
      </c>
    </row>
    <row r="1369" spans="1:11" x14ac:dyDescent="0.45">
      <c r="A1369" s="225">
        <v>1384</v>
      </c>
      <c r="B1369" s="226" t="s">
        <v>5920</v>
      </c>
      <c r="C1369" s="226" t="s">
        <v>1962</v>
      </c>
      <c r="D1369" s="226" t="s">
        <v>1964</v>
      </c>
      <c r="E1369" s="226">
        <v>0</v>
      </c>
      <c r="F1369" s="230">
        <v>43084</v>
      </c>
      <c r="G1369" s="261">
        <f ca="1">IF(ISBLANK(I1369),TODAY()-F1369,I1369-F1369)</f>
        <v>125</v>
      </c>
      <c r="H1369" s="170" t="s">
        <v>5296</v>
      </c>
      <c r="I1369" s="127">
        <v>43209</v>
      </c>
      <c r="J1369" s="171" t="s">
        <v>5403</v>
      </c>
      <c r="K1369" s="106" t="s">
        <v>5404</v>
      </c>
    </row>
    <row r="1370" spans="1:11" x14ac:dyDescent="0.45">
      <c r="A1370" s="225">
        <v>1385</v>
      </c>
      <c r="B1370" s="226" t="s">
        <v>5920</v>
      </c>
      <c r="C1370" s="226" t="s">
        <v>1878</v>
      </c>
      <c r="D1370" s="226" t="s">
        <v>1880</v>
      </c>
      <c r="E1370" s="226">
        <v>0</v>
      </c>
      <c r="F1370" s="230">
        <v>43084</v>
      </c>
      <c r="G1370" s="261">
        <f ca="1">IF(ISBLANK(I1370),TODAY()-F1370,I1370-F1370)</f>
        <v>125</v>
      </c>
      <c r="H1370" s="170" t="s">
        <v>5296</v>
      </c>
      <c r="I1370" s="127">
        <v>43209</v>
      </c>
      <c r="J1370" s="171" t="s">
        <v>5403</v>
      </c>
      <c r="K1370" s="106" t="s">
        <v>5404</v>
      </c>
    </row>
    <row r="1371" spans="1:11" x14ac:dyDescent="0.45">
      <c r="A1371" s="225">
        <v>1387</v>
      </c>
      <c r="B1371" s="226" t="s">
        <v>5922</v>
      </c>
      <c r="C1371" s="226" t="s">
        <v>2049</v>
      </c>
      <c r="D1371" s="226" t="s">
        <v>5923</v>
      </c>
      <c r="E1371" s="226">
        <v>1</v>
      </c>
      <c r="F1371" s="230">
        <v>43084</v>
      </c>
      <c r="G1371" s="261">
        <f ca="1">IF(ISBLANK(I1371),TODAY()-F1371,I1371-F1371)</f>
        <v>0</v>
      </c>
      <c r="H1371" s="233" t="s">
        <v>5296</v>
      </c>
      <c r="I1371" s="153">
        <v>43084</v>
      </c>
      <c r="J1371" s="221" t="s">
        <v>5113</v>
      </c>
    </row>
    <row r="1372" spans="1:11" x14ac:dyDescent="0.45">
      <c r="A1372" s="225">
        <v>1388</v>
      </c>
      <c r="B1372" s="226" t="s">
        <v>229</v>
      </c>
      <c r="C1372" s="226" t="s">
        <v>339</v>
      </c>
      <c r="D1372" s="226" t="s">
        <v>341</v>
      </c>
      <c r="E1372" s="226">
        <v>1</v>
      </c>
      <c r="F1372" s="230">
        <v>43084</v>
      </c>
      <c r="G1372" s="261">
        <f ca="1">IF(ISBLANK(I1372),TODAY()-F1372,I1372-F1372)</f>
        <v>125</v>
      </c>
      <c r="H1372" s="170" t="s">
        <v>5296</v>
      </c>
      <c r="I1372" s="127">
        <v>43209</v>
      </c>
      <c r="J1372" s="171" t="s">
        <v>5403</v>
      </c>
      <c r="K1372" s="106" t="s">
        <v>5404</v>
      </c>
    </row>
    <row r="1373" spans="1:11" x14ac:dyDescent="0.45">
      <c r="A1373" s="225">
        <v>1389</v>
      </c>
      <c r="B1373" s="226" t="s">
        <v>229</v>
      </c>
      <c r="C1373" s="226" t="s">
        <v>280</v>
      </c>
      <c r="D1373" s="226" t="s">
        <v>282</v>
      </c>
      <c r="E1373" s="226">
        <v>1</v>
      </c>
      <c r="F1373" s="230">
        <v>43084</v>
      </c>
      <c r="G1373" s="261">
        <f ca="1">IF(ISBLANK(I1373),TODAY()-F1373,I1373-F1373)</f>
        <v>125</v>
      </c>
      <c r="H1373" s="170" t="s">
        <v>5296</v>
      </c>
      <c r="I1373" s="127">
        <v>43209</v>
      </c>
      <c r="J1373" s="171" t="s">
        <v>5403</v>
      </c>
      <c r="K1373" s="106" t="s">
        <v>5404</v>
      </c>
    </row>
    <row r="1374" spans="1:11" x14ac:dyDescent="0.45">
      <c r="A1374" s="225">
        <v>1390</v>
      </c>
      <c r="B1374" s="226" t="s">
        <v>229</v>
      </c>
      <c r="C1374" s="226" t="s">
        <v>315</v>
      </c>
      <c r="D1374" s="226" t="s">
        <v>317</v>
      </c>
      <c r="E1374" s="226">
        <v>1</v>
      </c>
      <c r="F1374" s="230">
        <v>43084</v>
      </c>
      <c r="G1374" s="261">
        <f ca="1">IF(ISBLANK(I1374),TODAY()-F1374,I1374-F1374)</f>
        <v>125</v>
      </c>
      <c r="H1374" s="170" t="s">
        <v>5296</v>
      </c>
      <c r="I1374" s="127">
        <v>43209</v>
      </c>
      <c r="J1374" s="171" t="s">
        <v>5403</v>
      </c>
      <c r="K1374" s="106" t="s">
        <v>5404</v>
      </c>
    </row>
    <row r="1375" spans="1:11" x14ac:dyDescent="0.45">
      <c r="A1375" s="225">
        <v>1391</v>
      </c>
      <c r="B1375" s="226" t="s">
        <v>229</v>
      </c>
      <c r="C1375" s="226" t="s">
        <v>226</v>
      </c>
      <c r="D1375" s="226" t="s">
        <v>228</v>
      </c>
      <c r="E1375" s="226">
        <v>2</v>
      </c>
      <c r="F1375" s="230">
        <v>43084</v>
      </c>
      <c r="G1375" s="261">
        <f ca="1">IF(ISBLANK(I1375),TODAY()-F1375,I1375-F1375)</f>
        <v>125</v>
      </c>
      <c r="H1375" s="170" t="s">
        <v>5296</v>
      </c>
      <c r="I1375" s="127">
        <v>43209</v>
      </c>
      <c r="J1375" s="171" t="s">
        <v>5403</v>
      </c>
      <c r="K1375" s="106" t="s">
        <v>5404</v>
      </c>
    </row>
    <row r="1376" spans="1:11" x14ac:dyDescent="0.45">
      <c r="A1376" s="225">
        <v>1291</v>
      </c>
      <c r="B1376" s="226" t="s">
        <v>5893</v>
      </c>
      <c r="C1376" s="226" t="s">
        <v>770</v>
      </c>
      <c r="D1376" s="226" t="s">
        <v>772</v>
      </c>
      <c r="E1376" s="226" t="s">
        <v>160</v>
      </c>
      <c r="F1376" s="230">
        <v>43087</v>
      </c>
      <c r="G1376" s="261">
        <v>43067</v>
      </c>
      <c r="H1376" s="233" t="s">
        <v>164</v>
      </c>
      <c r="I1376" s="153">
        <v>43109</v>
      </c>
      <c r="J1376" s="221" t="s">
        <v>5113</v>
      </c>
    </row>
    <row r="1377" spans="1:10" x14ac:dyDescent="0.45">
      <c r="A1377" s="225">
        <v>1367</v>
      </c>
      <c r="B1377" s="226" t="s">
        <v>5917</v>
      </c>
      <c r="C1377" s="226" t="s">
        <v>1188</v>
      </c>
      <c r="D1377" s="226" t="s">
        <v>1190</v>
      </c>
      <c r="E1377" s="226" t="s">
        <v>65</v>
      </c>
      <c r="F1377" s="230">
        <v>43087</v>
      </c>
      <c r="G1377" s="261">
        <f ca="1">IF(ISBLANK(I1377),TODAY()-F1377,I1377-F1377)</f>
        <v>28</v>
      </c>
      <c r="H1377" s="255" t="s">
        <v>5003</v>
      </c>
      <c r="I1377" s="256">
        <v>43115</v>
      </c>
      <c r="J1377" s="257" t="s">
        <v>5113</v>
      </c>
    </row>
    <row r="1378" spans="1:10" x14ac:dyDescent="0.45">
      <c r="A1378" s="225">
        <v>1368</v>
      </c>
      <c r="B1378" s="226" t="s">
        <v>5917</v>
      </c>
      <c r="C1378" s="226" t="s">
        <v>1204</v>
      </c>
      <c r="D1378" s="226" t="s">
        <v>5918</v>
      </c>
      <c r="E1378" s="226" t="s">
        <v>65</v>
      </c>
      <c r="F1378" s="230">
        <v>43087</v>
      </c>
      <c r="G1378" s="261">
        <f ca="1">IF(ISBLANK(I1378),TODAY()-F1378,I1378-F1378)</f>
        <v>28</v>
      </c>
      <c r="H1378" s="255" t="s">
        <v>5003</v>
      </c>
      <c r="I1378" s="256">
        <v>43115</v>
      </c>
      <c r="J1378" s="257" t="s">
        <v>5113</v>
      </c>
    </row>
    <row r="1379" spans="1:10" x14ac:dyDescent="0.45">
      <c r="A1379" s="225">
        <v>1369</v>
      </c>
      <c r="B1379" s="226" t="s">
        <v>5917</v>
      </c>
      <c r="C1379" s="226" t="s">
        <v>1182</v>
      </c>
      <c r="D1379" s="226" t="s">
        <v>1184</v>
      </c>
      <c r="E1379" s="226" t="s">
        <v>65</v>
      </c>
      <c r="F1379" s="230">
        <v>43087</v>
      </c>
      <c r="G1379" s="261">
        <f ca="1">IF(ISBLANK(I1379),TODAY()-F1379,I1379-F1379)</f>
        <v>28</v>
      </c>
      <c r="H1379" s="233" t="s">
        <v>5003</v>
      </c>
      <c r="I1379" s="153">
        <v>43115</v>
      </c>
      <c r="J1379" s="221" t="s">
        <v>5113</v>
      </c>
    </row>
    <row r="1380" spans="1:10" x14ac:dyDescent="0.45">
      <c r="A1380" s="225">
        <v>1370</v>
      </c>
      <c r="B1380" s="226" t="s">
        <v>5917</v>
      </c>
      <c r="C1380" s="226" t="s">
        <v>1168</v>
      </c>
      <c r="D1380" s="226" t="s">
        <v>1170</v>
      </c>
      <c r="E1380" s="226" t="s">
        <v>65</v>
      </c>
      <c r="F1380" s="230">
        <v>43087</v>
      </c>
      <c r="G1380" s="261">
        <f ca="1">IF(ISBLANK(I1380),TODAY()-F1380,I1380-F1380)</f>
        <v>28</v>
      </c>
      <c r="H1380" s="233" t="s">
        <v>5003</v>
      </c>
      <c r="I1380" s="153">
        <v>43115</v>
      </c>
      <c r="J1380" s="221" t="s">
        <v>5113</v>
      </c>
    </row>
    <row r="1381" spans="1:10" x14ac:dyDescent="0.45">
      <c r="A1381" s="225">
        <v>1371</v>
      </c>
      <c r="B1381" s="226" t="s">
        <v>5917</v>
      </c>
      <c r="C1381" s="226" t="s">
        <v>1172</v>
      </c>
      <c r="D1381" s="226" t="s">
        <v>1174</v>
      </c>
      <c r="E1381" s="226" t="s">
        <v>65</v>
      </c>
      <c r="F1381" s="230">
        <v>43087</v>
      </c>
      <c r="G1381" s="261">
        <f ca="1">IF(ISBLANK(I1381),TODAY()-F1381,I1381-F1381)</f>
        <v>28</v>
      </c>
      <c r="H1381" s="233" t="s">
        <v>5003</v>
      </c>
      <c r="I1381" s="153">
        <v>43115</v>
      </c>
      <c r="J1381" s="221" t="s">
        <v>5113</v>
      </c>
    </row>
    <row r="1382" spans="1:10" x14ac:dyDescent="0.45">
      <c r="A1382" s="225">
        <v>1372</v>
      </c>
      <c r="B1382" s="226" t="s">
        <v>5917</v>
      </c>
      <c r="C1382" s="226" t="s">
        <v>1175</v>
      </c>
      <c r="D1382" s="226" t="s">
        <v>1177</v>
      </c>
      <c r="E1382" s="226" t="s">
        <v>65</v>
      </c>
      <c r="F1382" s="230">
        <v>43087</v>
      </c>
      <c r="G1382" s="261">
        <f ca="1">IF(ISBLANK(I1382),TODAY()-F1382,I1382-F1382)</f>
        <v>28</v>
      </c>
      <c r="H1382" s="255" t="s">
        <v>5003</v>
      </c>
      <c r="I1382" s="256">
        <v>43115</v>
      </c>
      <c r="J1382" s="257" t="s">
        <v>5113</v>
      </c>
    </row>
    <row r="1383" spans="1:10" x14ac:dyDescent="0.45">
      <c r="A1383" s="225">
        <v>1373</v>
      </c>
      <c r="B1383" s="226" t="s">
        <v>5917</v>
      </c>
      <c r="C1383" s="226" t="s">
        <v>1185</v>
      </c>
      <c r="D1383" s="226" t="s">
        <v>1187</v>
      </c>
      <c r="E1383" s="226" t="s">
        <v>65</v>
      </c>
      <c r="F1383" s="230">
        <v>43087</v>
      </c>
      <c r="G1383" s="261">
        <f ca="1">IF(ISBLANK(I1383),TODAY()-F1383,I1383-F1383)</f>
        <v>28</v>
      </c>
      <c r="H1383" s="255" t="s">
        <v>5003</v>
      </c>
      <c r="I1383" s="256">
        <v>43115</v>
      </c>
      <c r="J1383" s="257" t="s">
        <v>5113</v>
      </c>
    </row>
    <row r="1384" spans="1:10" x14ac:dyDescent="0.45">
      <c r="A1384" s="225">
        <v>1374</v>
      </c>
      <c r="B1384" s="226" t="s">
        <v>5917</v>
      </c>
      <c r="C1384" s="226" t="s">
        <v>1198</v>
      </c>
      <c r="D1384" s="226" t="s">
        <v>1200</v>
      </c>
      <c r="E1384" s="226" t="s">
        <v>65</v>
      </c>
      <c r="F1384" s="230">
        <v>43087</v>
      </c>
      <c r="G1384" s="261">
        <f ca="1">IF(ISBLANK(I1384),TODAY()-F1384,I1384-F1384)</f>
        <v>28</v>
      </c>
      <c r="H1384" s="255" t="s">
        <v>5003</v>
      </c>
      <c r="I1384" s="256">
        <v>43115</v>
      </c>
      <c r="J1384" s="257" t="s">
        <v>5113</v>
      </c>
    </row>
    <row r="1385" spans="1:10" x14ac:dyDescent="0.45">
      <c r="A1385" s="225">
        <v>1375</v>
      </c>
      <c r="B1385" s="226" t="s">
        <v>5917</v>
      </c>
      <c r="C1385" s="226" t="s">
        <v>1191</v>
      </c>
      <c r="D1385" s="226" t="s">
        <v>1193</v>
      </c>
      <c r="E1385" s="226" t="s">
        <v>65</v>
      </c>
      <c r="F1385" s="230">
        <v>43087</v>
      </c>
      <c r="G1385" s="261">
        <f ca="1">IF(ISBLANK(I1385),TODAY()-F1385,I1385-F1385)</f>
        <v>28</v>
      </c>
      <c r="H1385" s="255" t="s">
        <v>5003</v>
      </c>
      <c r="I1385" s="256">
        <v>43115</v>
      </c>
      <c r="J1385" s="257" t="s">
        <v>5113</v>
      </c>
    </row>
    <row r="1386" spans="1:10" x14ac:dyDescent="0.45">
      <c r="A1386" s="225">
        <v>1376</v>
      </c>
      <c r="B1386" s="226" t="s">
        <v>5917</v>
      </c>
      <c r="C1386" s="226" t="s">
        <v>1194</v>
      </c>
      <c r="D1386" s="226" t="s">
        <v>1196</v>
      </c>
      <c r="E1386" s="226" t="s">
        <v>65</v>
      </c>
      <c r="F1386" s="230">
        <v>43087</v>
      </c>
      <c r="G1386" s="261">
        <f ca="1">IF(ISBLANK(I1386),TODAY()-F1386,I1386-F1386)</f>
        <v>28</v>
      </c>
      <c r="H1386" s="255" t="s">
        <v>5003</v>
      </c>
      <c r="I1386" s="256">
        <v>43115</v>
      </c>
      <c r="J1386" s="257" t="s">
        <v>5113</v>
      </c>
    </row>
    <row r="1387" spans="1:10" x14ac:dyDescent="0.45">
      <c r="A1387" s="225">
        <v>1377</v>
      </c>
      <c r="B1387" s="226" t="s">
        <v>5917</v>
      </c>
      <c r="C1387" s="226" t="s">
        <v>1178</v>
      </c>
      <c r="D1387" s="226" t="s">
        <v>1180</v>
      </c>
      <c r="E1387" s="226" t="s">
        <v>65</v>
      </c>
      <c r="F1387" s="230">
        <v>43087</v>
      </c>
      <c r="G1387" s="261">
        <f ca="1">IF(ISBLANK(I1387),TODAY()-F1387,I1387-F1387)</f>
        <v>28</v>
      </c>
      <c r="H1387" s="348" t="s">
        <v>5003</v>
      </c>
      <c r="I1387" s="283">
        <v>43115</v>
      </c>
      <c r="J1387" s="257" t="s">
        <v>5113</v>
      </c>
    </row>
    <row r="1388" spans="1:10" x14ac:dyDescent="0.45">
      <c r="A1388" s="225">
        <v>1378</v>
      </c>
      <c r="B1388" s="226" t="s">
        <v>5919</v>
      </c>
      <c r="C1388" s="226" t="s">
        <v>1278</v>
      </c>
      <c r="D1388" s="226" t="s">
        <v>1280</v>
      </c>
      <c r="E1388" s="226" t="s">
        <v>65</v>
      </c>
      <c r="F1388" s="230">
        <v>43087</v>
      </c>
      <c r="G1388" s="261">
        <f ca="1">IF(ISBLANK(I1388),TODAY()-F1388,I1388-F1388)</f>
        <v>22</v>
      </c>
      <c r="H1388" s="347" t="s">
        <v>160</v>
      </c>
      <c r="I1388" s="198">
        <v>43109</v>
      </c>
      <c r="J1388" s="221" t="s">
        <v>5113</v>
      </c>
    </row>
    <row r="1389" spans="1:10" x14ac:dyDescent="0.45">
      <c r="A1389" s="225">
        <v>1379</v>
      </c>
      <c r="B1389" s="226" t="s">
        <v>5919</v>
      </c>
      <c r="C1389" s="226" t="s">
        <v>1257</v>
      </c>
      <c r="D1389" s="226" t="s">
        <v>1259</v>
      </c>
      <c r="E1389" s="226" t="s">
        <v>65</v>
      </c>
      <c r="F1389" s="230">
        <v>43087</v>
      </c>
      <c r="G1389" s="261">
        <f ca="1">IF(ISBLANK(I1389),TODAY()-F1389,I1389-F1389)</f>
        <v>22</v>
      </c>
      <c r="H1389" s="233" t="s">
        <v>160</v>
      </c>
      <c r="I1389" s="153">
        <v>43109</v>
      </c>
      <c r="J1389" s="221" t="s">
        <v>5113</v>
      </c>
    </row>
    <row r="1390" spans="1:10" x14ac:dyDescent="0.45">
      <c r="A1390" s="225">
        <v>1380</v>
      </c>
      <c r="B1390" s="226" t="s">
        <v>5919</v>
      </c>
      <c r="C1390" s="226" t="s">
        <v>1262</v>
      </c>
      <c r="D1390" s="226" t="s">
        <v>1264</v>
      </c>
      <c r="E1390" s="226" t="s">
        <v>65</v>
      </c>
      <c r="F1390" s="230">
        <v>43087</v>
      </c>
      <c r="G1390" s="261">
        <f ca="1">IF(ISBLANK(I1390),TODAY()-F1390,I1390-F1390)</f>
        <v>22</v>
      </c>
      <c r="H1390" s="233" t="s">
        <v>160</v>
      </c>
      <c r="I1390" s="153">
        <v>43109</v>
      </c>
      <c r="J1390" s="231" t="s">
        <v>5113</v>
      </c>
    </row>
    <row r="1391" spans="1:10" x14ac:dyDescent="0.45">
      <c r="A1391" s="225">
        <v>1381</v>
      </c>
      <c r="B1391" s="226" t="s">
        <v>5919</v>
      </c>
      <c r="C1391" s="226" t="s">
        <v>1266</v>
      </c>
      <c r="D1391" s="226" t="s">
        <v>1268</v>
      </c>
      <c r="E1391" s="226" t="s">
        <v>65</v>
      </c>
      <c r="F1391" s="230">
        <v>43087</v>
      </c>
      <c r="G1391" s="261">
        <f ca="1">IF(ISBLANK(I1391),TODAY()-F1391,I1391-F1391)</f>
        <v>22</v>
      </c>
      <c r="H1391" s="347" t="s">
        <v>160</v>
      </c>
      <c r="I1391" s="198">
        <v>43109</v>
      </c>
      <c r="J1391" s="221" t="s">
        <v>5113</v>
      </c>
    </row>
    <row r="1392" spans="1:10" x14ac:dyDescent="0.45">
      <c r="A1392" s="225">
        <v>1382</v>
      </c>
      <c r="B1392" s="226" t="s">
        <v>5919</v>
      </c>
      <c r="C1392" s="226" t="s">
        <v>1270</v>
      </c>
      <c r="D1392" s="226" t="s">
        <v>1272</v>
      </c>
      <c r="E1392" s="226" t="s">
        <v>65</v>
      </c>
      <c r="F1392" s="230">
        <v>43087</v>
      </c>
      <c r="G1392" s="261">
        <f ca="1">IF(ISBLANK(I1392),TODAY()-F1392,I1392-F1392)</f>
        <v>22</v>
      </c>
      <c r="H1392" s="347" t="s">
        <v>160</v>
      </c>
      <c r="I1392" s="198">
        <v>43109</v>
      </c>
      <c r="J1392" s="221" t="s">
        <v>5113</v>
      </c>
    </row>
    <row r="1393" spans="1:11" x14ac:dyDescent="0.45">
      <c r="A1393" s="225">
        <v>1383</v>
      </c>
      <c r="B1393" s="226" t="s">
        <v>5919</v>
      </c>
      <c r="C1393" s="226" t="s">
        <v>1274</v>
      </c>
      <c r="D1393" s="226" t="s">
        <v>1276</v>
      </c>
      <c r="E1393" s="226" t="s">
        <v>65</v>
      </c>
      <c r="F1393" s="230">
        <v>43087</v>
      </c>
      <c r="G1393" s="261">
        <f ca="1">IF(ISBLANK(I1393),TODAY()-F1393,I1393-F1393)</f>
        <v>22</v>
      </c>
      <c r="H1393" s="347" t="s">
        <v>160</v>
      </c>
      <c r="I1393" s="198">
        <v>43109</v>
      </c>
      <c r="J1393" s="221" t="s">
        <v>5113</v>
      </c>
    </row>
    <row r="1394" spans="1:11" x14ac:dyDescent="0.45">
      <c r="A1394" s="225">
        <v>1392</v>
      </c>
      <c r="B1394" s="226" t="s">
        <v>5924</v>
      </c>
      <c r="C1394" s="226" t="s">
        <v>1989</v>
      </c>
      <c r="D1394" s="226" t="s">
        <v>1991</v>
      </c>
      <c r="E1394" s="226" t="s">
        <v>5003</v>
      </c>
      <c r="F1394" s="230">
        <v>43087</v>
      </c>
      <c r="G1394" s="261">
        <f ca="1">IF(ISBLANK(I1394),TODAY()-F1394,I1394-F1394)</f>
        <v>22</v>
      </c>
      <c r="H1394" s="347" t="s">
        <v>164</v>
      </c>
      <c r="I1394" s="198">
        <v>43109</v>
      </c>
      <c r="J1394" s="221" t="s">
        <v>5113</v>
      </c>
    </row>
    <row r="1395" spans="1:11" x14ac:dyDescent="0.45">
      <c r="A1395" s="225">
        <v>1393</v>
      </c>
      <c r="B1395" s="226" t="s">
        <v>2069</v>
      </c>
      <c r="C1395" s="226" t="s">
        <v>2066</v>
      </c>
      <c r="D1395" s="226" t="s">
        <v>2068</v>
      </c>
      <c r="E1395" s="226">
        <v>1</v>
      </c>
      <c r="F1395" s="230">
        <v>43087</v>
      </c>
      <c r="G1395" s="261">
        <f ca="1">IF(ISBLANK(I1395),TODAY()-F1395,I1395-F1395)</f>
        <v>122</v>
      </c>
      <c r="H1395" s="170" t="s">
        <v>5296</v>
      </c>
      <c r="I1395" s="127">
        <v>43209</v>
      </c>
      <c r="J1395" s="171" t="s">
        <v>5403</v>
      </c>
      <c r="K1395" s="106" t="s">
        <v>5404</v>
      </c>
    </row>
    <row r="1396" spans="1:11" x14ac:dyDescent="0.45">
      <c r="A1396" s="225">
        <v>1394</v>
      </c>
      <c r="B1396" s="226" t="s">
        <v>2064</v>
      </c>
      <c r="C1396" s="226" t="s">
        <v>2061</v>
      </c>
      <c r="D1396" s="226" t="s">
        <v>2063</v>
      </c>
      <c r="E1396" s="226">
        <v>1</v>
      </c>
      <c r="F1396" s="230">
        <v>43087</v>
      </c>
      <c r="G1396" s="261">
        <f ca="1">IF(ISBLANK(I1396),TODAY()-F1396,I1396-F1396)</f>
        <v>122</v>
      </c>
      <c r="H1396" s="179" t="s">
        <v>5296</v>
      </c>
      <c r="I1396" s="180">
        <v>43209</v>
      </c>
      <c r="J1396" s="171" t="s">
        <v>5403</v>
      </c>
      <c r="K1396" s="106" t="s">
        <v>5404</v>
      </c>
    </row>
    <row r="1397" spans="1:11" x14ac:dyDescent="0.45">
      <c r="A1397" s="225">
        <v>1395</v>
      </c>
      <c r="B1397" s="226" t="s">
        <v>5925</v>
      </c>
      <c r="C1397" s="226" t="s">
        <v>1145</v>
      </c>
      <c r="D1397" s="226" t="s">
        <v>1147</v>
      </c>
      <c r="E1397" s="226">
        <v>0</v>
      </c>
      <c r="F1397" s="230">
        <v>43087</v>
      </c>
      <c r="G1397" s="261">
        <f ca="1">IF(ISBLANK(I1397),TODAY()-F1397,I1397-F1397)</f>
        <v>101</v>
      </c>
      <c r="H1397" s="347" t="s">
        <v>5296</v>
      </c>
      <c r="I1397" s="198">
        <v>43188</v>
      </c>
      <c r="J1397" s="221" t="s">
        <v>5113</v>
      </c>
    </row>
    <row r="1398" spans="1:11" x14ac:dyDescent="0.45">
      <c r="A1398" s="225">
        <v>1396</v>
      </c>
      <c r="B1398" s="226" t="s">
        <v>5925</v>
      </c>
      <c r="C1398" s="226" t="s">
        <v>1141</v>
      </c>
      <c r="D1398" s="226" t="s">
        <v>1143</v>
      </c>
      <c r="E1398" s="226">
        <v>0</v>
      </c>
      <c r="F1398" s="230">
        <v>43087</v>
      </c>
      <c r="G1398" s="261">
        <f ca="1">IF(ISBLANK(I1398),TODAY()-F1398,I1398-F1398)</f>
        <v>98</v>
      </c>
      <c r="H1398" s="233" t="s">
        <v>5296</v>
      </c>
      <c r="I1398" s="153">
        <v>43185</v>
      </c>
      <c r="J1398" s="221" t="s">
        <v>5113</v>
      </c>
    </row>
    <row r="1399" spans="1:11" x14ac:dyDescent="0.45">
      <c r="A1399" s="225">
        <v>1397</v>
      </c>
      <c r="B1399" s="226" t="s">
        <v>5925</v>
      </c>
      <c r="C1399" s="226" t="s">
        <v>1159</v>
      </c>
      <c r="D1399" s="226" t="s">
        <v>1161</v>
      </c>
      <c r="E1399" s="226">
        <v>0</v>
      </c>
      <c r="F1399" s="230">
        <v>43087</v>
      </c>
      <c r="G1399" s="261">
        <f ca="1">IF(ISBLANK(I1399),TODAY()-F1399,I1399-F1399)</f>
        <v>122</v>
      </c>
      <c r="H1399" s="170" t="s">
        <v>5296</v>
      </c>
      <c r="I1399" s="127">
        <v>43209</v>
      </c>
      <c r="J1399" s="171" t="s">
        <v>5403</v>
      </c>
      <c r="K1399" s="106" t="s">
        <v>5404</v>
      </c>
    </row>
    <row r="1400" spans="1:11" x14ac:dyDescent="0.45">
      <c r="A1400" s="225">
        <v>1386</v>
      </c>
      <c r="B1400" s="226" t="s">
        <v>5921</v>
      </c>
      <c r="C1400" s="226" t="s">
        <v>1910</v>
      </c>
      <c r="D1400" s="226" t="s">
        <v>1912</v>
      </c>
      <c r="E1400" s="226" t="s">
        <v>160</v>
      </c>
      <c r="F1400" s="245">
        <v>43088</v>
      </c>
      <c r="G1400" s="261">
        <f ca="1">IF(ISBLANK(I1400),TODAY()-F1400,I1400-F1400)</f>
        <v>21</v>
      </c>
      <c r="H1400" s="347" t="s">
        <v>164</v>
      </c>
      <c r="I1400" s="198">
        <v>43109</v>
      </c>
      <c r="J1400" s="221" t="s">
        <v>5113</v>
      </c>
    </row>
    <row r="1401" spans="1:11" x14ac:dyDescent="0.45">
      <c r="A1401" s="225">
        <v>1362</v>
      </c>
      <c r="B1401" s="226" t="s">
        <v>5914</v>
      </c>
      <c r="C1401" s="226" t="s">
        <v>2045</v>
      </c>
      <c r="D1401" s="226" t="s">
        <v>2047</v>
      </c>
      <c r="E1401" s="226">
        <v>0</v>
      </c>
      <c r="F1401" s="230">
        <v>43089</v>
      </c>
      <c r="G1401" s="261">
        <f ca="1">IF(ISBLANK(I1401),TODAY()-F1401,I1401-F1401)</f>
        <v>120</v>
      </c>
      <c r="H1401" s="179" t="s">
        <v>5296</v>
      </c>
      <c r="I1401" s="180">
        <v>43209</v>
      </c>
      <c r="J1401" s="171" t="s">
        <v>5403</v>
      </c>
      <c r="K1401" s="106" t="s">
        <v>5404</v>
      </c>
    </row>
    <row r="1402" spans="1:11" x14ac:dyDescent="0.45">
      <c r="A1402" s="225">
        <v>1398</v>
      </c>
      <c r="B1402" s="226" t="s">
        <v>5926</v>
      </c>
      <c r="C1402" s="226" t="s">
        <v>602</v>
      </c>
      <c r="D1402" s="226" t="s">
        <v>604</v>
      </c>
      <c r="E1402" s="226">
        <v>1</v>
      </c>
      <c r="F1402" s="230">
        <v>43089</v>
      </c>
      <c r="G1402" s="261">
        <f ca="1">IF(ISBLANK(I1402),TODAY()-F1402,I1402-F1402)</f>
        <v>120</v>
      </c>
      <c r="H1402" s="179" t="s">
        <v>5296</v>
      </c>
      <c r="I1402" s="180">
        <v>43209</v>
      </c>
      <c r="J1402" s="171" t="s">
        <v>5403</v>
      </c>
      <c r="K1402" s="106" t="s">
        <v>5404</v>
      </c>
    </row>
    <row r="1403" spans="1:11" x14ac:dyDescent="0.45">
      <c r="A1403" s="225">
        <v>1399</v>
      </c>
      <c r="B1403" s="226" t="s">
        <v>2234</v>
      </c>
      <c r="C1403" s="226" t="s">
        <v>2241</v>
      </c>
      <c r="D1403" s="226" t="s">
        <v>2243</v>
      </c>
      <c r="E1403" s="226">
        <v>1</v>
      </c>
      <c r="F1403" s="230">
        <v>43089</v>
      </c>
      <c r="G1403" s="261">
        <f ca="1">IF(ISBLANK(I1403),TODAY()-F1403,I1403-F1403)</f>
        <v>120</v>
      </c>
      <c r="H1403" s="179" t="s">
        <v>5296</v>
      </c>
      <c r="I1403" s="180">
        <v>43209</v>
      </c>
      <c r="J1403" s="171" t="s">
        <v>5403</v>
      </c>
      <c r="K1403" s="106" t="s">
        <v>5404</v>
      </c>
    </row>
    <row r="1404" spans="1:11" x14ac:dyDescent="0.45">
      <c r="A1404" s="225">
        <v>1400</v>
      </c>
      <c r="B1404" s="226" t="s">
        <v>2234</v>
      </c>
      <c r="C1404" s="226" t="s">
        <v>2318</v>
      </c>
      <c r="D1404" s="226" t="s">
        <v>2320</v>
      </c>
      <c r="E1404" s="226">
        <v>1</v>
      </c>
      <c r="F1404" s="230">
        <v>43089</v>
      </c>
      <c r="G1404" s="261">
        <f ca="1">IF(ISBLANK(I1404),TODAY()-F1404,I1404-F1404)</f>
        <v>120</v>
      </c>
      <c r="H1404" s="179" t="s">
        <v>5296</v>
      </c>
      <c r="I1404" s="180">
        <v>43209</v>
      </c>
      <c r="J1404" s="171" t="s">
        <v>5403</v>
      </c>
      <c r="K1404" s="106" t="s">
        <v>5404</v>
      </c>
    </row>
    <row r="1405" spans="1:11" x14ac:dyDescent="0.45">
      <c r="A1405" s="225">
        <v>1401</v>
      </c>
      <c r="B1405" s="226" t="s">
        <v>2234</v>
      </c>
      <c r="C1405" s="226" t="s">
        <v>2231</v>
      </c>
      <c r="D1405" s="226" t="s">
        <v>2233</v>
      </c>
      <c r="E1405" s="226">
        <v>1</v>
      </c>
      <c r="F1405" s="230">
        <v>43089</v>
      </c>
      <c r="G1405" s="261">
        <f ca="1">IF(ISBLANK(I1405),TODAY()-F1405,I1405-F1405)</f>
        <v>120</v>
      </c>
      <c r="H1405" s="179" t="s">
        <v>5296</v>
      </c>
      <c r="I1405" s="180">
        <v>43209</v>
      </c>
      <c r="J1405" s="171" t="s">
        <v>5403</v>
      </c>
      <c r="K1405" s="106" t="s">
        <v>5404</v>
      </c>
    </row>
    <row r="1406" spans="1:11" x14ac:dyDescent="0.45">
      <c r="A1406" s="225">
        <v>1402</v>
      </c>
      <c r="B1406" s="226" t="s">
        <v>1075</v>
      </c>
      <c r="C1406" s="226" t="s">
        <v>1089</v>
      </c>
      <c r="D1406" s="226" t="s">
        <v>1091</v>
      </c>
      <c r="E1406" s="226">
        <v>0</v>
      </c>
      <c r="F1406" s="245">
        <v>43091</v>
      </c>
      <c r="G1406" s="261">
        <f ca="1">IF(ISBLANK(I1406),TODAY()-F1406,I1406-F1406)</f>
        <v>118</v>
      </c>
      <c r="H1406" s="179" t="s">
        <v>5296</v>
      </c>
      <c r="I1406" s="180">
        <v>43209</v>
      </c>
      <c r="J1406" s="171" t="s">
        <v>5403</v>
      </c>
      <c r="K1406" s="106" t="s">
        <v>5404</v>
      </c>
    </row>
    <row r="1407" spans="1:11" x14ac:dyDescent="0.45">
      <c r="A1407" s="225">
        <v>1403</v>
      </c>
      <c r="B1407" s="226" t="s">
        <v>1075</v>
      </c>
      <c r="C1407" s="226" t="s">
        <v>1081</v>
      </c>
      <c r="D1407" s="226" t="s">
        <v>1083</v>
      </c>
      <c r="E1407" s="226">
        <v>0</v>
      </c>
      <c r="F1407" s="245">
        <v>43091</v>
      </c>
      <c r="G1407" s="261">
        <f ca="1">IF(ISBLANK(I1407),TODAY()-F1407,I1407-F1407)</f>
        <v>118</v>
      </c>
      <c r="H1407" s="179" t="s">
        <v>5296</v>
      </c>
      <c r="I1407" s="180">
        <v>43209</v>
      </c>
      <c r="J1407" s="171" t="s">
        <v>5403</v>
      </c>
      <c r="K1407" s="106" t="s">
        <v>5404</v>
      </c>
    </row>
    <row r="1408" spans="1:11" x14ac:dyDescent="0.45">
      <c r="A1408" s="225">
        <v>1404</v>
      </c>
      <c r="B1408" s="226" t="s">
        <v>1075</v>
      </c>
      <c r="C1408" s="226" t="s">
        <v>1085</v>
      </c>
      <c r="D1408" s="226" t="s">
        <v>1087</v>
      </c>
      <c r="E1408" s="226">
        <v>0</v>
      </c>
      <c r="F1408" s="245">
        <v>43091</v>
      </c>
      <c r="G1408" s="261">
        <f ca="1">IF(ISBLANK(I1408),TODAY()-F1408,I1408-F1408)</f>
        <v>118</v>
      </c>
      <c r="H1408" s="179" t="s">
        <v>5296</v>
      </c>
      <c r="I1408" s="180">
        <v>43209</v>
      </c>
      <c r="J1408" s="171" t="s">
        <v>5403</v>
      </c>
      <c r="K1408" s="106" t="s">
        <v>5404</v>
      </c>
    </row>
    <row r="1409" spans="1:11" x14ac:dyDescent="0.45">
      <c r="A1409" s="225">
        <v>1405</v>
      </c>
      <c r="B1409" s="226" t="s">
        <v>1075</v>
      </c>
      <c r="C1409" s="226" t="s">
        <v>1077</v>
      </c>
      <c r="D1409" s="226" t="s">
        <v>1079</v>
      </c>
      <c r="E1409" s="226">
        <v>0</v>
      </c>
      <c r="F1409" s="245">
        <v>43091</v>
      </c>
      <c r="G1409" s="261">
        <f ca="1">IF(ISBLANK(I1409),TODAY()-F1409,I1409-F1409)</f>
        <v>118</v>
      </c>
      <c r="H1409" s="179" t="s">
        <v>5296</v>
      </c>
      <c r="I1409" s="180">
        <v>43209</v>
      </c>
      <c r="J1409" s="171" t="s">
        <v>5403</v>
      </c>
      <c r="K1409" s="106" t="s">
        <v>5404</v>
      </c>
    </row>
    <row r="1410" spans="1:11" x14ac:dyDescent="0.45">
      <c r="A1410" s="225">
        <v>1406</v>
      </c>
      <c r="B1410" s="226" t="s">
        <v>1075</v>
      </c>
      <c r="C1410" s="226" t="s">
        <v>1072</v>
      </c>
      <c r="D1410" s="226" t="s">
        <v>1074</v>
      </c>
      <c r="E1410" s="226">
        <v>0</v>
      </c>
      <c r="F1410" s="245">
        <v>43091</v>
      </c>
      <c r="G1410" s="261">
        <f ca="1">IF(ISBLANK(I1410),TODAY()-F1410,I1410-F1410)</f>
        <v>118</v>
      </c>
      <c r="H1410" s="170" t="s">
        <v>5296</v>
      </c>
      <c r="I1410" s="127">
        <v>43209</v>
      </c>
      <c r="J1410" s="171" t="s">
        <v>5403</v>
      </c>
      <c r="K1410" s="106" t="s">
        <v>5404</v>
      </c>
    </row>
    <row r="1411" spans="1:11" x14ac:dyDescent="0.45">
      <c r="A1411" s="225">
        <v>1407</v>
      </c>
      <c r="B1411" s="226" t="s">
        <v>5927</v>
      </c>
      <c r="C1411" s="226" t="s">
        <v>1004</v>
      </c>
      <c r="D1411" s="226" t="s">
        <v>1006</v>
      </c>
      <c r="E1411" s="226">
        <v>0</v>
      </c>
      <c r="F1411" s="245">
        <v>43091</v>
      </c>
      <c r="G1411" s="261">
        <f ca="1">IF(ISBLANK(I1411),TODAY()-F1411,I1411-F1411)</f>
        <v>76</v>
      </c>
      <c r="H1411" s="233" t="s">
        <v>5296</v>
      </c>
      <c r="I1411" s="153">
        <v>43167</v>
      </c>
      <c r="J1411" s="221" t="s">
        <v>5113</v>
      </c>
    </row>
    <row r="1412" spans="1:11" x14ac:dyDescent="0.45">
      <c r="A1412" s="225">
        <v>1408</v>
      </c>
      <c r="B1412" s="226" t="s">
        <v>5927</v>
      </c>
      <c r="C1412" s="226" t="s">
        <v>1016</v>
      </c>
      <c r="D1412" s="226" t="s">
        <v>1018</v>
      </c>
      <c r="E1412" s="226">
        <v>0</v>
      </c>
      <c r="F1412" s="245">
        <v>43091</v>
      </c>
      <c r="G1412" s="261">
        <f ca="1">IF(ISBLANK(I1412),TODAY()-F1412,I1412-F1412)</f>
        <v>76</v>
      </c>
      <c r="H1412" s="233" t="s">
        <v>5296</v>
      </c>
      <c r="I1412" s="153">
        <v>43167</v>
      </c>
      <c r="J1412" s="221" t="s">
        <v>5113</v>
      </c>
    </row>
    <row r="1413" spans="1:11" x14ac:dyDescent="0.45">
      <c r="A1413" s="225">
        <v>1409</v>
      </c>
      <c r="B1413" s="226" t="s">
        <v>5927</v>
      </c>
      <c r="C1413" s="226" t="s">
        <v>1012</v>
      </c>
      <c r="D1413" s="226" t="s">
        <v>1014</v>
      </c>
      <c r="E1413" s="226">
        <v>0</v>
      </c>
      <c r="F1413" s="245">
        <v>43091</v>
      </c>
      <c r="G1413" s="261">
        <f ca="1">IF(ISBLANK(I1413),TODAY()-F1413,I1413-F1413)</f>
        <v>76</v>
      </c>
      <c r="H1413" s="233" t="s">
        <v>5296</v>
      </c>
      <c r="I1413" s="153">
        <v>43167</v>
      </c>
      <c r="J1413" s="221" t="s">
        <v>5113</v>
      </c>
    </row>
    <row r="1414" spans="1:11" x14ac:dyDescent="0.45">
      <c r="A1414" s="225">
        <v>1410</v>
      </c>
      <c r="B1414" s="226" t="s">
        <v>5927</v>
      </c>
      <c r="C1414" s="226" t="s">
        <v>1019</v>
      </c>
      <c r="D1414" s="226" t="s">
        <v>1021</v>
      </c>
      <c r="E1414" s="226">
        <v>0</v>
      </c>
      <c r="F1414" s="245">
        <v>43091</v>
      </c>
      <c r="G1414" s="261">
        <f ca="1">IF(ISBLANK(I1414),TODAY()-F1414,I1414-F1414)</f>
        <v>76</v>
      </c>
      <c r="H1414" s="347" t="s">
        <v>5296</v>
      </c>
      <c r="I1414" s="198">
        <v>43167</v>
      </c>
      <c r="J1414" s="221" t="s">
        <v>5113</v>
      </c>
    </row>
    <row r="1415" spans="1:11" x14ac:dyDescent="0.45">
      <c r="A1415" s="225">
        <v>1411</v>
      </c>
      <c r="B1415" s="226" t="s">
        <v>1860</v>
      </c>
      <c r="C1415" s="226" t="s">
        <v>5928</v>
      </c>
      <c r="D1415" s="226" t="s">
        <v>1918</v>
      </c>
      <c r="E1415" s="226">
        <v>0</v>
      </c>
      <c r="F1415" s="245">
        <v>43091</v>
      </c>
      <c r="G1415" s="261">
        <f ca="1">IF(ISBLANK(I1415),TODAY()-F1415,I1415-F1415)</f>
        <v>2833</v>
      </c>
      <c r="H1415" s="179"/>
      <c r="I1415" s="180"/>
      <c r="J1415" s="171"/>
      <c r="K1415" s="106" t="s">
        <v>5929</v>
      </c>
    </row>
    <row r="1416" spans="1:11" x14ac:dyDescent="0.45">
      <c r="A1416" s="225">
        <v>1412</v>
      </c>
      <c r="B1416" s="226" t="s">
        <v>1860</v>
      </c>
      <c r="C1416" s="226" t="s">
        <v>1857</v>
      </c>
      <c r="D1416" s="226" t="s">
        <v>1859</v>
      </c>
      <c r="E1416" s="226">
        <v>0</v>
      </c>
      <c r="F1416" s="245">
        <v>43091</v>
      </c>
      <c r="G1416" s="261">
        <f ca="1">IF(ISBLANK(I1416),TODAY()-F1416,I1416-F1416)</f>
        <v>118</v>
      </c>
      <c r="H1416" s="179" t="s">
        <v>5296</v>
      </c>
      <c r="I1416" s="180">
        <v>43209</v>
      </c>
      <c r="J1416" s="171" t="s">
        <v>5403</v>
      </c>
      <c r="K1416" s="106" t="s">
        <v>5404</v>
      </c>
    </row>
    <row r="1417" spans="1:11" x14ac:dyDescent="0.45">
      <c r="A1417" s="225">
        <v>1413</v>
      </c>
      <c r="B1417" s="226" t="s">
        <v>1860</v>
      </c>
      <c r="C1417" s="226" t="s">
        <v>1934</v>
      </c>
      <c r="D1417" s="226" t="s">
        <v>1936</v>
      </c>
      <c r="E1417" s="226">
        <v>0</v>
      </c>
      <c r="F1417" s="245">
        <v>43091</v>
      </c>
      <c r="G1417" s="261">
        <f ca="1">IF(ISBLANK(I1417),TODAY()-F1417,I1417-F1417)</f>
        <v>118</v>
      </c>
      <c r="H1417" s="179" t="s">
        <v>5296</v>
      </c>
      <c r="I1417" s="180">
        <v>43209</v>
      </c>
      <c r="J1417" s="171" t="s">
        <v>5403</v>
      </c>
      <c r="K1417" s="106" t="s">
        <v>5404</v>
      </c>
    </row>
    <row r="1418" spans="1:11" x14ac:dyDescent="0.45">
      <c r="A1418" s="225">
        <v>1414</v>
      </c>
      <c r="B1418" s="226" t="s">
        <v>1860</v>
      </c>
      <c r="C1418" s="226" t="s">
        <v>1930</v>
      </c>
      <c r="D1418" s="226" t="s">
        <v>1932</v>
      </c>
      <c r="E1418" s="226">
        <v>0</v>
      </c>
      <c r="F1418" s="245">
        <v>43091</v>
      </c>
      <c r="G1418" s="261">
        <f ca="1">IF(ISBLANK(I1418),TODAY()-F1418,I1418-F1418)</f>
        <v>118</v>
      </c>
      <c r="H1418" s="179" t="s">
        <v>5296</v>
      </c>
      <c r="I1418" s="180">
        <v>43209</v>
      </c>
      <c r="J1418" s="171" t="s">
        <v>5403</v>
      </c>
      <c r="K1418" s="106" t="s">
        <v>5404</v>
      </c>
    </row>
    <row r="1419" spans="1:11" x14ac:dyDescent="0.45">
      <c r="A1419" s="225">
        <v>1415</v>
      </c>
      <c r="B1419" s="226" t="s">
        <v>1860</v>
      </c>
      <c r="C1419" s="226" t="s">
        <v>1919</v>
      </c>
      <c r="D1419" s="226" t="s">
        <v>1921</v>
      </c>
      <c r="E1419" s="226">
        <v>0</v>
      </c>
      <c r="F1419" s="245">
        <v>43091</v>
      </c>
      <c r="G1419" s="261">
        <f ca="1">IF(ISBLANK(I1419),TODAY()-F1419,I1419-F1419)</f>
        <v>118</v>
      </c>
      <c r="H1419" s="170" t="s">
        <v>5296</v>
      </c>
      <c r="I1419" s="127">
        <v>43209</v>
      </c>
      <c r="J1419" s="171" t="s">
        <v>5403</v>
      </c>
      <c r="K1419" s="106" t="s">
        <v>5404</v>
      </c>
    </row>
    <row r="1420" spans="1:11" x14ac:dyDescent="0.45">
      <c r="A1420" s="225">
        <v>1416</v>
      </c>
      <c r="B1420" s="226" t="s">
        <v>1860</v>
      </c>
      <c r="C1420" s="226" t="s">
        <v>1852</v>
      </c>
      <c r="D1420" s="226" t="s">
        <v>1854</v>
      </c>
      <c r="E1420" s="226">
        <v>0</v>
      </c>
      <c r="F1420" s="245">
        <v>43091</v>
      </c>
      <c r="G1420" s="261">
        <f ca="1">IF(ISBLANK(I1420),TODAY()-F1420,I1420-F1420)</f>
        <v>54</v>
      </c>
      <c r="H1420" s="347" t="s">
        <v>5296</v>
      </c>
      <c r="I1420" s="198">
        <v>43145</v>
      </c>
      <c r="J1420" s="221" t="s">
        <v>5051</v>
      </c>
    </row>
    <row r="1421" spans="1:11" x14ac:dyDescent="0.45">
      <c r="A1421" s="225">
        <v>1417</v>
      </c>
      <c r="B1421" s="226" t="s">
        <v>2181</v>
      </c>
      <c r="C1421" s="226" t="s">
        <v>2178</v>
      </c>
      <c r="D1421" s="226" t="s">
        <v>2180</v>
      </c>
      <c r="E1421" s="226">
        <v>2</v>
      </c>
      <c r="F1421" s="245">
        <v>43091</v>
      </c>
      <c r="G1421" s="261">
        <f ca="1">IF(ISBLANK(I1421),TODAY()-F1421,I1421-F1421)</f>
        <v>118</v>
      </c>
      <c r="H1421" s="170" t="s">
        <v>5296</v>
      </c>
      <c r="I1421" s="127">
        <v>43209</v>
      </c>
      <c r="J1421" s="171" t="s">
        <v>5403</v>
      </c>
      <c r="K1421" s="106" t="s">
        <v>5404</v>
      </c>
    </row>
    <row r="1422" spans="1:11" x14ac:dyDescent="0.45">
      <c r="A1422" s="225">
        <v>1418</v>
      </c>
      <c r="B1422" s="226" t="s">
        <v>865</v>
      </c>
      <c r="C1422" s="226" t="s">
        <v>871</v>
      </c>
      <c r="D1422" s="226" t="s">
        <v>873</v>
      </c>
      <c r="E1422" s="226">
        <v>0</v>
      </c>
      <c r="F1422" s="245">
        <v>43091</v>
      </c>
      <c r="G1422" s="261">
        <f ca="1">IF(ISBLANK(I1422),TODAY()-F1422,I1422-F1422)</f>
        <v>67</v>
      </c>
      <c r="H1422" s="347" t="s">
        <v>5296</v>
      </c>
      <c r="I1422" s="198">
        <v>43158</v>
      </c>
      <c r="J1422" s="221" t="s">
        <v>5895</v>
      </c>
    </row>
    <row r="1423" spans="1:11" x14ac:dyDescent="0.45">
      <c r="A1423" s="225">
        <v>1419</v>
      </c>
      <c r="B1423" s="226" t="s">
        <v>865</v>
      </c>
      <c r="C1423" s="226" t="s">
        <v>878</v>
      </c>
      <c r="D1423" s="226" t="s">
        <v>880</v>
      </c>
      <c r="E1423" s="226">
        <v>0</v>
      </c>
      <c r="F1423" s="245">
        <v>43091</v>
      </c>
      <c r="G1423" s="261">
        <f ca="1">IF(ISBLANK(I1423),TODAY()-F1423,I1423-F1423)</f>
        <v>118</v>
      </c>
      <c r="H1423" s="179" t="s">
        <v>5296</v>
      </c>
      <c r="I1423" s="180">
        <v>43209</v>
      </c>
      <c r="J1423" s="171" t="s">
        <v>5403</v>
      </c>
      <c r="K1423" s="106" t="s">
        <v>5404</v>
      </c>
    </row>
    <row r="1424" spans="1:11" x14ac:dyDescent="0.45">
      <c r="A1424" s="225">
        <v>1420</v>
      </c>
      <c r="B1424" s="226" t="s">
        <v>865</v>
      </c>
      <c r="C1424" s="226" t="s">
        <v>2655</v>
      </c>
      <c r="D1424" s="226" t="s">
        <v>864</v>
      </c>
      <c r="E1424" s="226">
        <v>0</v>
      </c>
      <c r="F1424" s="245">
        <v>43091</v>
      </c>
      <c r="G1424" s="261">
        <f ca="1">IF(ISBLANK(I1424),TODAY()-F1424,I1424-F1424)</f>
        <v>118</v>
      </c>
      <c r="H1424" s="170" t="s">
        <v>5296</v>
      </c>
      <c r="I1424" s="127">
        <v>43209</v>
      </c>
      <c r="J1424" s="171" t="s">
        <v>5403</v>
      </c>
      <c r="K1424" s="106" t="s">
        <v>5404</v>
      </c>
    </row>
    <row r="1425" spans="1:11" x14ac:dyDescent="0.45">
      <c r="A1425" s="225">
        <v>1421</v>
      </c>
      <c r="B1425" s="226" t="s">
        <v>865</v>
      </c>
      <c r="C1425" s="226" t="s">
        <v>866</v>
      </c>
      <c r="D1425" s="226" t="s">
        <v>868</v>
      </c>
      <c r="E1425" s="226">
        <v>0</v>
      </c>
      <c r="F1425" s="245">
        <v>43091</v>
      </c>
      <c r="G1425" s="261">
        <f ca="1">IF(ISBLANK(I1425),TODAY()-F1425,I1425-F1425)</f>
        <v>89</v>
      </c>
      <c r="H1425" s="233" t="s">
        <v>5296</v>
      </c>
      <c r="I1425" s="153">
        <v>43180</v>
      </c>
      <c r="J1425" s="221" t="s">
        <v>5895</v>
      </c>
    </row>
    <row r="1426" spans="1:11" x14ac:dyDescent="0.45">
      <c r="A1426" s="225">
        <v>1422</v>
      </c>
      <c r="B1426" s="226" t="s">
        <v>865</v>
      </c>
      <c r="C1426" s="226" t="s">
        <v>875</v>
      </c>
      <c r="D1426" s="226" t="s">
        <v>877</v>
      </c>
      <c r="E1426" s="226">
        <v>0</v>
      </c>
      <c r="F1426" s="245">
        <v>43091</v>
      </c>
      <c r="G1426" s="261">
        <f ca="1">IF(ISBLANK(I1426),TODAY()-F1426,I1426-F1426)</f>
        <v>67</v>
      </c>
      <c r="H1426" s="233" t="s">
        <v>5296</v>
      </c>
      <c r="I1426" s="153">
        <v>43158</v>
      </c>
      <c r="J1426" s="221" t="s">
        <v>5895</v>
      </c>
    </row>
    <row r="1427" spans="1:11" x14ac:dyDescent="0.45">
      <c r="A1427" s="225">
        <v>1423</v>
      </c>
      <c r="B1427" s="226" t="s">
        <v>865</v>
      </c>
      <c r="C1427" s="226" t="s">
        <v>882</v>
      </c>
      <c r="D1427" s="226" t="s">
        <v>884</v>
      </c>
      <c r="E1427" s="226">
        <v>0</v>
      </c>
      <c r="F1427" s="245">
        <v>43091</v>
      </c>
      <c r="G1427" s="261">
        <f ca="1">IF(ISBLANK(I1427),TODAY()-F1427,I1427-F1427)</f>
        <v>63</v>
      </c>
      <c r="H1427" s="347" t="s">
        <v>5296</v>
      </c>
      <c r="I1427" s="198">
        <v>43154</v>
      </c>
      <c r="J1427" s="221" t="s">
        <v>5895</v>
      </c>
    </row>
    <row r="1428" spans="1:11" x14ac:dyDescent="0.45">
      <c r="A1428" s="225">
        <v>1424</v>
      </c>
      <c r="B1428" s="226" t="s">
        <v>1997</v>
      </c>
      <c r="C1428" s="226" t="s">
        <v>1994</v>
      </c>
      <c r="D1428" s="226" t="s">
        <v>1996</v>
      </c>
      <c r="E1428" s="226">
        <v>0</v>
      </c>
      <c r="F1428" s="245">
        <v>43091</v>
      </c>
      <c r="G1428" s="261">
        <f ca="1">IF(ISBLANK(I1428),TODAY()-F1428,I1428-F1428)</f>
        <v>118</v>
      </c>
      <c r="H1428" s="179" t="s">
        <v>5296</v>
      </c>
      <c r="I1428" s="180">
        <v>43209</v>
      </c>
      <c r="J1428" s="171" t="s">
        <v>5403</v>
      </c>
      <c r="K1428" s="106" t="s">
        <v>5404</v>
      </c>
    </row>
    <row r="1429" spans="1:11" x14ac:dyDescent="0.45">
      <c r="A1429" s="240">
        <v>1425</v>
      </c>
      <c r="B1429" s="241" t="s">
        <v>5930</v>
      </c>
      <c r="C1429" s="241" t="s">
        <v>770</v>
      </c>
      <c r="D1429" s="241" t="s">
        <v>772</v>
      </c>
      <c r="E1429" s="241">
        <v>0</v>
      </c>
      <c r="F1429" s="245">
        <v>43091</v>
      </c>
      <c r="G1429" s="261">
        <f ca="1">IF(ISBLANK(I1429),TODAY()-F1429,I1429-F1429)</f>
        <v>118</v>
      </c>
      <c r="H1429" s="170" t="s">
        <v>5296</v>
      </c>
      <c r="I1429" s="127">
        <v>43209</v>
      </c>
      <c r="J1429" s="171" t="s">
        <v>5403</v>
      </c>
      <c r="K1429" s="106" t="s">
        <v>5404</v>
      </c>
    </row>
    <row r="1430" spans="1:11" x14ac:dyDescent="0.45">
      <c r="A1430" s="240">
        <v>1430</v>
      </c>
      <c r="B1430" s="241" t="s">
        <v>398</v>
      </c>
      <c r="C1430" s="241" t="s">
        <v>400</v>
      </c>
      <c r="D1430" s="241" t="s">
        <v>402</v>
      </c>
      <c r="E1430" s="241">
        <v>0</v>
      </c>
      <c r="F1430" s="245">
        <v>43091</v>
      </c>
      <c r="G1430" s="261">
        <f ca="1">IF(ISBLANK(I1430),TODAY()-F1430,I1430-F1430)</f>
        <v>118</v>
      </c>
      <c r="H1430" s="179" t="s">
        <v>5296</v>
      </c>
      <c r="I1430" s="180">
        <v>43209</v>
      </c>
      <c r="J1430" s="171" t="s">
        <v>5403</v>
      </c>
      <c r="K1430" s="106" t="s">
        <v>5404</v>
      </c>
    </row>
    <row r="1431" spans="1:11" x14ac:dyDescent="0.45">
      <c r="A1431" s="240">
        <v>1431</v>
      </c>
      <c r="B1431" s="241" t="s">
        <v>398</v>
      </c>
      <c r="C1431" s="241" t="s">
        <v>395</v>
      </c>
      <c r="D1431" s="241" t="s">
        <v>397</v>
      </c>
      <c r="E1431" s="241">
        <v>0</v>
      </c>
      <c r="F1431" s="245">
        <v>43091</v>
      </c>
      <c r="G1431" s="261">
        <f ca="1">IF(ISBLANK(I1431),TODAY()-F1431,I1431-F1431)</f>
        <v>118</v>
      </c>
      <c r="H1431" s="179" t="s">
        <v>5296</v>
      </c>
      <c r="I1431" s="180">
        <v>43209</v>
      </c>
      <c r="J1431" s="171" t="s">
        <v>5403</v>
      </c>
      <c r="K1431" s="106" t="s">
        <v>5404</v>
      </c>
    </row>
    <row r="1432" spans="1:11" x14ac:dyDescent="0.45">
      <c r="A1432" s="240">
        <v>1446</v>
      </c>
      <c r="B1432" s="241" t="s">
        <v>816</v>
      </c>
      <c r="C1432" s="241" t="s">
        <v>813</v>
      </c>
      <c r="D1432" s="241" t="s">
        <v>815</v>
      </c>
      <c r="E1432" s="241">
        <v>1</v>
      </c>
      <c r="F1432" s="245">
        <v>43091</v>
      </c>
      <c r="G1432" s="261">
        <f ca="1">IF(ISBLANK(I1432),TODAY()-F1432,I1432-F1432)</f>
        <v>118</v>
      </c>
      <c r="H1432" s="179" t="s">
        <v>5296</v>
      </c>
      <c r="I1432" s="180">
        <v>43209</v>
      </c>
      <c r="J1432" s="171" t="s">
        <v>5403</v>
      </c>
      <c r="K1432" s="106" t="s">
        <v>5404</v>
      </c>
    </row>
    <row r="1433" spans="1:11" x14ac:dyDescent="0.45">
      <c r="A1433" s="240">
        <v>1426</v>
      </c>
      <c r="B1433" s="241" t="s">
        <v>5931</v>
      </c>
      <c r="C1433" s="241" t="s">
        <v>1959</v>
      </c>
      <c r="D1433" s="241" t="s">
        <v>1961</v>
      </c>
      <c r="E1433" s="241">
        <v>0</v>
      </c>
      <c r="F1433" s="245">
        <v>43096</v>
      </c>
      <c r="G1433" s="261">
        <f ca="1">IF(ISBLANK(I1433),TODAY()-F1433,I1433-F1433)</f>
        <v>113</v>
      </c>
      <c r="H1433" s="348" t="s">
        <v>5296</v>
      </c>
      <c r="I1433" s="283">
        <v>43209</v>
      </c>
      <c r="J1433" s="171" t="s">
        <v>5403</v>
      </c>
      <c r="K1433" s="106" t="s">
        <v>5404</v>
      </c>
    </row>
    <row r="1434" spans="1:11" x14ac:dyDescent="0.45">
      <c r="A1434" s="240">
        <v>1427</v>
      </c>
      <c r="B1434" s="241" t="s">
        <v>5931</v>
      </c>
      <c r="C1434" s="241" t="s">
        <v>1862</v>
      </c>
      <c r="D1434" s="241" t="s">
        <v>1864</v>
      </c>
      <c r="E1434" s="241">
        <v>0</v>
      </c>
      <c r="F1434" s="245">
        <v>43096</v>
      </c>
      <c r="G1434" s="261">
        <f ca="1">IF(ISBLANK(I1434),TODAY()-F1434,I1434-F1434)</f>
        <v>113</v>
      </c>
      <c r="H1434" s="179" t="s">
        <v>5296</v>
      </c>
      <c r="I1434" s="180">
        <v>43209</v>
      </c>
      <c r="J1434" s="171" t="s">
        <v>5403</v>
      </c>
      <c r="K1434" s="106" t="s">
        <v>5404</v>
      </c>
    </row>
    <row r="1435" spans="1:11" x14ac:dyDescent="0.45">
      <c r="A1435" s="240">
        <v>1428</v>
      </c>
      <c r="B1435" s="241" t="s">
        <v>5931</v>
      </c>
      <c r="C1435" s="241" t="s">
        <v>1893</v>
      </c>
      <c r="D1435" s="241" t="s">
        <v>1895</v>
      </c>
      <c r="E1435" s="241">
        <v>0</v>
      </c>
      <c r="F1435" s="245">
        <v>43096</v>
      </c>
      <c r="G1435" s="261">
        <f ca="1">IF(ISBLANK(I1435),TODAY()-F1435,I1435-F1435)</f>
        <v>113</v>
      </c>
      <c r="H1435" s="170" t="s">
        <v>5296</v>
      </c>
      <c r="I1435" s="127">
        <v>43209</v>
      </c>
      <c r="J1435" s="171" t="s">
        <v>5403</v>
      </c>
      <c r="K1435" s="106" t="s">
        <v>5404</v>
      </c>
    </row>
    <row r="1436" spans="1:11" x14ac:dyDescent="0.45">
      <c r="A1436" s="240">
        <v>1429</v>
      </c>
      <c r="B1436" s="241" t="s">
        <v>5931</v>
      </c>
      <c r="C1436" s="241" t="s">
        <v>1910</v>
      </c>
      <c r="D1436" s="241" t="s">
        <v>1912</v>
      </c>
      <c r="E1436" s="241">
        <v>0</v>
      </c>
      <c r="F1436" s="245">
        <v>43096</v>
      </c>
      <c r="G1436" s="261">
        <f ca="1">IF(ISBLANK(I1436),TODAY()-F1436,I1436-F1436)</f>
        <v>113</v>
      </c>
      <c r="H1436" s="170" t="s">
        <v>5296</v>
      </c>
      <c r="I1436" s="127">
        <v>43209</v>
      </c>
      <c r="J1436" s="171" t="s">
        <v>5403</v>
      </c>
      <c r="K1436" s="106" t="s">
        <v>5404</v>
      </c>
    </row>
    <row r="1437" spans="1:11" x14ac:dyDescent="0.45">
      <c r="A1437" s="240">
        <v>1444</v>
      </c>
      <c r="B1437" s="241" t="s">
        <v>5935</v>
      </c>
      <c r="C1437" s="241" t="s">
        <v>2038</v>
      </c>
      <c r="D1437" s="241" t="s">
        <v>2040</v>
      </c>
      <c r="E1437" s="241">
        <v>0</v>
      </c>
      <c r="F1437" s="245">
        <v>43096</v>
      </c>
      <c r="G1437" s="261">
        <f ca="1">IF(ISBLANK(I1437),TODAY()-F1437,I1437-F1437)</f>
        <v>23</v>
      </c>
      <c r="H1437" s="233" t="s">
        <v>5296</v>
      </c>
      <c r="I1437" s="153">
        <v>43119</v>
      </c>
      <c r="J1437" s="221" t="s">
        <v>5113</v>
      </c>
    </row>
    <row r="1438" spans="1:11" x14ac:dyDescent="0.45">
      <c r="A1438" s="240">
        <v>1445</v>
      </c>
      <c r="B1438" s="241" t="s">
        <v>5936</v>
      </c>
      <c r="C1438" s="241" t="s">
        <v>5911</v>
      </c>
      <c r="D1438" s="241" t="s">
        <v>2044</v>
      </c>
      <c r="E1438" s="241">
        <v>0</v>
      </c>
      <c r="F1438" s="245">
        <v>43096</v>
      </c>
      <c r="G1438" s="261">
        <f ca="1">IF(ISBLANK(I1438),TODAY()-F1438,I1438-F1438)</f>
        <v>113</v>
      </c>
      <c r="H1438" s="170" t="s">
        <v>5296</v>
      </c>
      <c r="I1438" s="127">
        <v>43209</v>
      </c>
      <c r="J1438" s="171" t="s">
        <v>5403</v>
      </c>
      <c r="K1438" s="106" t="s">
        <v>5404</v>
      </c>
    </row>
    <row r="1439" spans="1:11" x14ac:dyDescent="0.45">
      <c r="A1439" s="240">
        <v>1432</v>
      </c>
      <c r="B1439" s="241" t="s">
        <v>5932</v>
      </c>
      <c r="C1439" s="241" t="s">
        <v>1044</v>
      </c>
      <c r="D1439" s="241" t="s">
        <v>1046</v>
      </c>
      <c r="E1439" s="241">
        <v>0</v>
      </c>
      <c r="F1439" s="245">
        <v>43098</v>
      </c>
      <c r="G1439" s="261">
        <f ca="1">IF(ISBLANK(I1439),TODAY()-F1439,I1439-F1439)</f>
        <v>46</v>
      </c>
      <c r="H1439" s="233" t="s">
        <v>5296</v>
      </c>
      <c r="I1439" s="153">
        <v>43144</v>
      </c>
      <c r="J1439" s="221" t="s">
        <v>5113</v>
      </c>
    </row>
    <row r="1440" spans="1:11" x14ac:dyDescent="0.45">
      <c r="A1440" s="240">
        <v>1433</v>
      </c>
      <c r="B1440" s="241" t="s">
        <v>5932</v>
      </c>
      <c r="C1440" s="241" t="s">
        <v>1032</v>
      </c>
      <c r="D1440" s="241" t="s">
        <v>1034</v>
      </c>
      <c r="E1440" s="241">
        <v>0</v>
      </c>
      <c r="F1440" s="245">
        <v>43098</v>
      </c>
      <c r="G1440" s="261">
        <f ca="1">IF(ISBLANK(I1440),TODAY()-F1440,I1440-F1440)</f>
        <v>46</v>
      </c>
      <c r="H1440" s="233" t="s">
        <v>5296</v>
      </c>
      <c r="I1440" s="153">
        <v>43144</v>
      </c>
      <c r="J1440" s="221" t="s">
        <v>5113</v>
      </c>
    </row>
    <row r="1441" spans="1:11" x14ac:dyDescent="0.45">
      <c r="A1441" s="240">
        <v>1434</v>
      </c>
      <c r="B1441" s="241" t="s">
        <v>5932</v>
      </c>
      <c r="C1441" s="241" t="s">
        <v>1035</v>
      </c>
      <c r="D1441" s="241" t="s">
        <v>1037</v>
      </c>
      <c r="E1441" s="241">
        <v>0</v>
      </c>
      <c r="F1441" s="245">
        <v>43098</v>
      </c>
      <c r="G1441" s="261">
        <f ca="1">IF(ISBLANK(I1441),TODAY()-F1441,I1441-F1441)</f>
        <v>46</v>
      </c>
      <c r="H1441" s="233" t="s">
        <v>5296</v>
      </c>
      <c r="I1441" s="153">
        <v>43144</v>
      </c>
      <c r="J1441" s="221" t="s">
        <v>5113</v>
      </c>
    </row>
    <row r="1442" spans="1:11" x14ac:dyDescent="0.45">
      <c r="A1442" s="240">
        <v>1435</v>
      </c>
      <c r="B1442" s="241" t="s">
        <v>5933</v>
      </c>
      <c r="C1442" s="241" t="s">
        <v>1172</v>
      </c>
      <c r="D1442" s="241" t="s">
        <v>1174</v>
      </c>
      <c r="E1442" s="241">
        <v>0</v>
      </c>
      <c r="F1442" s="245">
        <v>43098</v>
      </c>
      <c r="G1442" s="261">
        <f ca="1">IF(ISBLANK(I1442),TODAY()-F1442,I1442-F1442)</f>
        <v>83</v>
      </c>
      <c r="H1442" s="233" t="s">
        <v>5296</v>
      </c>
      <c r="I1442" s="153">
        <v>43181</v>
      </c>
      <c r="J1442" s="221" t="s">
        <v>5895</v>
      </c>
    </row>
    <row r="1443" spans="1:11" x14ac:dyDescent="0.45">
      <c r="A1443" s="240">
        <v>1436</v>
      </c>
      <c r="B1443" s="241" t="s">
        <v>5933</v>
      </c>
      <c r="C1443" s="241" t="s">
        <v>1182</v>
      </c>
      <c r="D1443" s="241" t="s">
        <v>1184</v>
      </c>
      <c r="E1443" s="241">
        <v>0</v>
      </c>
      <c r="F1443" s="245">
        <v>43098</v>
      </c>
      <c r="G1443" s="261">
        <f ca="1">IF(ISBLANK(I1443),TODAY()-F1443,I1443-F1443)</f>
        <v>83</v>
      </c>
      <c r="H1443" s="233" t="s">
        <v>5296</v>
      </c>
      <c r="I1443" s="153">
        <v>43181</v>
      </c>
      <c r="J1443" s="221" t="s">
        <v>5895</v>
      </c>
    </row>
    <row r="1444" spans="1:11" x14ac:dyDescent="0.45">
      <c r="A1444" s="240">
        <v>1437</v>
      </c>
      <c r="B1444" s="241" t="s">
        <v>5933</v>
      </c>
      <c r="C1444" s="241" t="s">
        <v>1168</v>
      </c>
      <c r="D1444" s="241" t="s">
        <v>1170</v>
      </c>
      <c r="E1444" s="241">
        <v>0</v>
      </c>
      <c r="F1444" s="245">
        <v>43098</v>
      </c>
      <c r="G1444" s="261">
        <f ca="1">IF(ISBLANK(I1444),TODAY()-F1444,I1444-F1444)</f>
        <v>83</v>
      </c>
      <c r="H1444" s="233" t="s">
        <v>5296</v>
      </c>
      <c r="I1444" s="153">
        <v>43181</v>
      </c>
      <c r="J1444" s="221" t="s">
        <v>5895</v>
      </c>
    </row>
    <row r="1445" spans="1:11" x14ac:dyDescent="0.45">
      <c r="A1445" s="240">
        <v>1438</v>
      </c>
      <c r="B1445" s="241" t="s">
        <v>5934</v>
      </c>
      <c r="C1445" s="226" t="s">
        <v>1262</v>
      </c>
      <c r="D1445" s="226" t="s">
        <v>1264</v>
      </c>
      <c r="E1445" s="226">
        <v>0</v>
      </c>
      <c r="F1445" s="230">
        <v>43098</v>
      </c>
      <c r="G1445" s="276">
        <f ca="1">IF(ISBLANK(I1445),TODAY()-F1445,I1445-F1445)</f>
        <v>82</v>
      </c>
      <c r="H1445" s="233" t="s">
        <v>5296</v>
      </c>
      <c r="I1445" s="153">
        <v>43180</v>
      </c>
      <c r="J1445" s="221" t="s">
        <v>5113</v>
      </c>
    </row>
    <row r="1446" spans="1:11" x14ac:dyDescent="0.45">
      <c r="A1446" s="240">
        <v>1439</v>
      </c>
      <c r="B1446" s="241" t="s">
        <v>5934</v>
      </c>
      <c r="C1446" s="226" t="s">
        <v>1266</v>
      </c>
      <c r="D1446" s="226" t="s">
        <v>1268</v>
      </c>
      <c r="E1446" s="226">
        <v>0</v>
      </c>
      <c r="F1446" s="230">
        <v>43098</v>
      </c>
      <c r="G1446" s="276">
        <f ca="1">IF(ISBLANK(I1446),TODAY()-F1446,I1446-F1446)</f>
        <v>82</v>
      </c>
      <c r="H1446" s="233" t="s">
        <v>5296</v>
      </c>
      <c r="I1446" s="153">
        <v>43180</v>
      </c>
      <c r="J1446" s="221" t="s">
        <v>5113</v>
      </c>
    </row>
    <row r="1447" spans="1:11" x14ac:dyDescent="0.45">
      <c r="A1447" s="240">
        <v>1440</v>
      </c>
      <c r="B1447" s="241" t="s">
        <v>5934</v>
      </c>
      <c r="C1447" s="226" t="s">
        <v>1274</v>
      </c>
      <c r="D1447" s="226" t="s">
        <v>1276</v>
      </c>
      <c r="E1447" s="226">
        <v>0</v>
      </c>
      <c r="F1447" s="230">
        <v>43098</v>
      </c>
      <c r="G1447" s="276">
        <f ca="1">IF(ISBLANK(I1447),TODAY()-F1447,I1447-F1447)</f>
        <v>82</v>
      </c>
      <c r="H1447" s="233" t="s">
        <v>5296</v>
      </c>
      <c r="I1447" s="153">
        <v>43180</v>
      </c>
      <c r="J1447" s="221" t="s">
        <v>5113</v>
      </c>
    </row>
    <row r="1448" spans="1:11" x14ac:dyDescent="0.45">
      <c r="A1448" s="240">
        <v>1441</v>
      </c>
      <c r="B1448" s="241" t="s">
        <v>5934</v>
      </c>
      <c r="C1448" s="226" t="s">
        <v>1278</v>
      </c>
      <c r="D1448" s="226" t="s">
        <v>1280</v>
      </c>
      <c r="E1448" s="226">
        <v>0</v>
      </c>
      <c r="F1448" s="230">
        <v>43098</v>
      </c>
      <c r="G1448" s="276">
        <f ca="1">IF(ISBLANK(I1448),TODAY()-F1448,I1448-F1448)</f>
        <v>82</v>
      </c>
      <c r="H1448" s="347" t="s">
        <v>5296</v>
      </c>
      <c r="I1448" s="198">
        <v>43180</v>
      </c>
      <c r="J1448" s="221" t="s">
        <v>5113</v>
      </c>
    </row>
    <row r="1449" spans="1:11" x14ac:dyDescent="0.45">
      <c r="A1449" s="240">
        <v>1442</v>
      </c>
      <c r="B1449" s="241" t="s">
        <v>5934</v>
      </c>
      <c r="C1449" s="226" t="s">
        <v>1270</v>
      </c>
      <c r="D1449" s="226" t="s">
        <v>1272</v>
      </c>
      <c r="E1449" s="226">
        <v>0</v>
      </c>
      <c r="F1449" s="230">
        <v>43098</v>
      </c>
      <c r="G1449" s="276">
        <f ca="1">IF(ISBLANK(I1449),TODAY()-F1449,I1449-F1449)</f>
        <v>82</v>
      </c>
      <c r="H1449" s="347" t="s">
        <v>5296</v>
      </c>
      <c r="I1449" s="198">
        <v>43180</v>
      </c>
      <c r="J1449" s="221" t="s">
        <v>5113</v>
      </c>
    </row>
    <row r="1450" spans="1:11" x14ac:dyDescent="0.45">
      <c r="A1450" s="240">
        <v>1443</v>
      </c>
      <c r="B1450" s="241" t="s">
        <v>5934</v>
      </c>
      <c r="C1450" s="226" t="s">
        <v>1257</v>
      </c>
      <c r="D1450" s="226" t="s">
        <v>1259</v>
      </c>
      <c r="E1450" s="226">
        <v>0</v>
      </c>
      <c r="F1450" s="230">
        <v>43098</v>
      </c>
      <c r="G1450" s="276">
        <f ca="1">IF(ISBLANK(I1450),TODAY()-F1450,I1450-F1450)</f>
        <v>82</v>
      </c>
      <c r="H1450" s="233" t="s">
        <v>5296</v>
      </c>
      <c r="I1450" s="153">
        <v>43180</v>
      </c>
      <c r="J1450" s="221" t="s">
        <v>5113</v>
      </c>
    </row>
    <row r="1451" spans="1:11" x14ac:dyDescent="0.45">
      <c r="A1451" s="240">
        <v>1447</v>
      </c>
      <c r="B1451" s="241" t="s">
        <v>5937</v>
      </c>
      <c r="C1451" s="241" t="s">
        <v>5708</v>
      </c>
      <c r="D1451" s="241" t="s">
        <v>236</v>
      </c>
      <c r="E1451" s="241" t="s">
        <v>160</v>
      </c>
      <c r="F1451" s="245">
        <v>43098</v>
      </c>
      <c r="G1451" s="261">
        <f ca="1">IF(ISBLANK(I1451),TODAY()-F1451,I1451-F1451)</f>
        <v>11</v>
      </c>
      <c r="H1451" s="347" t="s">
        <v>5296</v>
      </c>
      <c r="I1451" s="198">
        <v>43109</v>
      </c>
      <c r="J1451" s="221" t="s">
        <v>5113</v>
      </c>
    </row>
    <row r="1452" spans="1:11" x14ac:dyDescent="0.45">
      <c r="A1452" s="240">
        <v>1448</v>
      </c>
      <c r="B1452" s="241" t="s">
        <v>2079</v>
      </c>
      <c r="C1452" s="241" t="s">
        <v>2085</v>
      </c>
      <c r="D1452" s="241" t="s">
        <v>2087</v>
      </c>
      <c r="E1452" s="241">
        <v>0</v>
      </c>
      <c r="F1452" s="245">
        <v>43098</v>
      </c>
      <c r="G1452" s="261">
        <f ca="1">IF(ISBLANK(I1452),TODAY()-F1452,I1452-F1452)</f>
        <v>111</v>
      </c>
      <c r="H1452" s="179" t="s">
        <v>5296</v>
      </c>
      <c r="I1452" s="180">
        <v>43209</v>
      </c>
      <c r="J1452" s="171" t="s">
        <v>5403</v>
      </c>
      <c r="K1452" s="106" t="s">
        <v>5404</v>
      </c>
    </row>
    <row r="1453" spans="1:11" x14ac:dyDescent="0.45">
      <c r="A1453" s="240">
        <v>1449</v>
      </c>
      <c r="B1453" s="241" t="s">
        <v>2079</v>
      </c>
      <c r="C1453" s="241" t="s">
        <v>2076</v>
      </c>
      <c r="D1453" s="241" t="s">
        <v>2078</v>
      </c>
      <c r="E1453" s="241">
        <v>0</v>
      </c>
      <c r="F1453" s="245">
        <v>43098</v>
      </c>
      <c r="G1453" s="261">
        <f ca="1">IF(ISBLANK(I1453),TODAY()-F1453,I1453-F1453)</f>
        <v>111</v>
      </c>
      <c r="H1453" s="179" t="s">
        <v>5296</v>
      </c>
      <c r="I1453" s="180">
        <v>43209</v>
      </c>
      <c r="J1453" s="171" t="s">
        <v>5403</v>
      </c>
      <c r="K1453" s="106" t="s">
        <v>5404</v>
      </c>
    </row>
    <row r="1454" spans="1:11" x14ac:dyDescent="0.45">
      <c r="A1454" s="240">
        <v>1450</v>
      </c>
      <c r="B1454" s="241" t="s">
        <v>2079</v>
      </c>
      <c r="C1454" s="241" t="s">
        <v>2081</v>
      </c>
      <c r="D1454" s="241" t="s">
        <v>2083</v>
      </c>
      <c r="E1454" s="241">
        <v>0</v>
      </c>
      <c r="F1454" s="245">
        <v>43098</v>
      </c>
      <c r="G1454" s="261">
        <f ca="1">IF(ISBLANK(I1454),TODAY()-F1454,I1454-F1454)</f>
        <v>111</v>
      </c>
      <c r="H1454" s="170" t="s">
        <v>5296</v>
      </c>
      <c r="I1454" s="127">
        <v>43209</v>
      </c>
      <c r="J1454" s="380" t="s">
        <v>5403</v>
      </c>
      <c r="K1454" s="106" t="s">
        <v>5404</v>
      </c>
    </row>
    <row r="1455" spans="1:11" x14ac:dyDescent="0.45">
      <c r="A1455" s="240">
        <v>1451</v>
      </c>
      <c r="B1455" s="241" t="s">
        <v>1122</v>
      </c>
      <c r="C1455" s="241" t="s">
        <v>1162</v>
      </c>
      <c r="D1455" s="241" t="s">
        <v>1164</v>
      </c>
      <c r="E1455" s="241">
        <v>0</v>
      </c>
      <c r="F1455" s="245">
        <v>43098</v>
      </c>
      <c r="G1455" s="261">
        <f ca="1">IF(ISBLANK(I1455),TODAY()-F1455,I1455-F1455)</f>
        <v>96</v>
      </c>
      <c r="H1455" s="233" t="s">
        <v>5296</v>
      </c>
      <c r="I1455" s="153">
        <v>43194</v>
      </c>
      <c r="J1455" s="233" t="s">
        <v>5113</v>
      </c>
    </row>
    <row r="1456" spans="1:11" x14ac:dyDescent="0.45">
      <c r="A1456" s="240">
        <v>1452</v>
      </c>
      <c r="B1456" s="241" t="s">
        <v>1122</v>
      </c>
      <c r="C1456" s="241" t="s">
        <v>1124</v>
      </c>
      <c r="D1456" s="241" t="s">
        <v>1126</v>
      </c>
      <c r="E1456" s="241">
        <v>0</v>
      </c>
      <c r="F1456" s="245">
        <v>43098</v>
      </c>
      <c r="G1456" s="261">
        <f ca="1">IF(ISBLANK(I1456),TODAY()-F1456,I1456-F1456)</f>
        <v>101</v>
      </c>
      <c r="H1456" s="233" t="s">
        <v>5296</v>
      </c>
      <c r="I1456" s="153">
        <v>43199</v>
      </c>
      <c r="J1456" s="233" t="s">
        <v>5113</v>
      </c>
    </row>
    <row r="1457" spans="1:11" x14ac:dyDescent="0.45">
      <c r="A1457" s="240">
        <v>1453</v>
      </c>
      <c r="B1457" s="241" t="s">
        <v>1122</v>
      </c>
      <c r="C1457" s="241" t="s">
        <v>1133</v>
      </c>
      <c r="D1457" s="241" t="s">
        <v>1135</v>
      </c>
      <c r="E1457" s="241">
        <v>0</v>
      </c>
      <c r="F1457" s="245">
        <v>43098</v>
      </c>
      <c r="G1457" s="261">
        <f ca="1">IF(ISBLANK(I1457),TODAY()-F1457,I1457-F1457)</f>
        <v>87</v>
      </c>
      <c r="H1457" s="347" t="s">
        <v>5296</v>
      </c>
      <c r="I1457" s="198">
        <v>43185</v>
      </c>
      <c r="J1457" s="221" t="s">
        <v>5113</v>
      </c>
    </row>
    <row r="1458" spans="1:11" x14ac:dyDescent="0.45">
      <c r="A1458" s="240">
        <v>1454</v>
      </c>
      <c r="B1458" s="241" t="s">
        <v>1122</v>
      </c>
      <c r="C1458" s="241" t="s">
        <v>1119</v>
      </c>
      <c r="D1458" s="241" t="s">
        <v>1121</v>
      </c>
      <c r="E1458" s="241">
        <v>0</v>
      </c>
      <c r="F1458" s="245">
        <v>43098</v>
      </c>
      <c r="G1458" s="261">
        <f ca="1">IF(ISBLANK(I1458),TODAY()-F1458,I1458-F1458)</f>
        <v>111</v>
      </c>
      <c r="H1458" s="170" t="s">
        <v>5296</v>
      </c>
      <c r="I1458" s="127">
        <v>43209</v>
      </c>
      <c r="J1458" s="171" t="s">
        <v>5403</v>
      </c>
      <c r="K1458" s="106" t="s">
        <v>5404</v>
      </c>
    </row>
    <row r="1459" spans="1:11" x14ac:dyDescent="0.45">
      <c r="A1459" s="240">
        <v>1455</v>
      </c>
      <c r="B1459" s="241" t="s">
        <v>5938</v>
      </c>
      <c r="C1459" s="241" t="s">
        <v>5939</v>
      </c>
      <c r="D1459" s="241" t="s">
        <v>5131</v>
      </c>
      <c r="E1459" s="241"/>
      <c r="F1459" s="245">
        <v>43098</v>
      </c>
      <c r="G1459" s="261">
        <f ca="1">IF(ISBLANK(I1459),TODAY()-F1459,I1459-F1459)</f>
        <v>17</v>
      </c>
      <c r="H1459" s="347" t="s">
        <v>5062</v>
      </c>
      <c r="I1459" s="198">
        <v>43115</v>
      </c>
      <c r="J1459" s="221" t="s">
        <v>5051</v>
      </c>
    </row>
    <row r="1460" spans="1:11" x14ac:dyDescent="0.45">
      <c r="A1460" s="225">
        <v>1456</v>
      </c>
      <c r="B1460" s="226" t="s">
        <v>1992</v>
      </c>
      <c r="C1460" s="226" t="s">
        <v>1989</v>
      </c>
      <c r="D1460" s="226" t="s">
        <v>1991</v>
      </c>
      <c r="E1460" s="226">
        <v>0</v>
      </c>
      <c r="F1460" s="245">
        <v>43098</v>
      </c>
      <c r="G1460" s="261">
        <f ca="1">IF(ISBLANK(I1460),TODAY()-F1460,I1460-F1460)</f>
        <v>111</v>
      </c>
      <c r="H1460" s="170" t="s">
        <v>5296</v>
      </c>
      <c r="I1460" s="127">
        <v>43209</v>
      </c>
      <c r="J1460" s="171" t="s">
        <v>5403</v>
      </c>
      <c r="K1460" s="106" t="s">
        <v>5404</v>
      </c>
    </row>
    <row r="1461" spans="1:11" x14ac:dyDescent="0.45">
      <c r="A1461" s="225">
        <v>1458</v>
      </c>
      <c r="B1461" s="226" t="s">
        <v>5942</v>
      </c>
      <c r="C1461" s="226" t="s">
        <v>1764</v>
      </c>
      <c r="D1461" s="226" t="s">
        <v>1766</v>
      </c>
      <c r="E1461" s="226" t="s">
        <v>5003</v>
      </c>
      <c r="F1461" s="230">
        <v>43105</v>
      </c>
      <c r="G1461" s="261">
        <f ca="1">IF(ISBLANK(I1461),TODAY()-F1461,I1461-F1461)</f>
        <v>12</v>
      </c>
      <c r="H1461" s="255" t="s">
        <v>5002</v>
      </c>
      <c r="I1461" s="256">
        <v>43117</v>
      </c>
      <c r="J1461" s="257" t="s">
        <v>5113</v>
      </c>
    </row>
    <row r="1462" spans="1:11" x14ac:dyDescent="0.45">
      <c r="A1462" s="225">
        <v>1459</v>
      </c>
      <c r="B1462" s="226" t="s">
        <v>5942</v>
      </c>
      <c r="C1462" s="226" t="s">
        <v>1711</v>
      </c>
      <c r="D1462" s="226" t="s">
        <v>1713</v>
      </c>
      <c r="E1462" s="226" t="s">
        <v>160</v>
      </c>
      <c r="F1462" s="230">
        <v>43105</v>
      </c>
      <c r="G1462" s="261">
        <f ca="1">IF(ISBLANK(I1462),TODAY()-F1462,I1462-F1462)</f>
        <v>12</v>
      </c>
      <c r="H1462" s="255" t="s">
        <v>5003</v>
      </c>
      <c r="I1462" s="256">
        <v>43117</v>
      </c>
      <c r="J1462" s="257" t="s">
        <v>5113</v>
      </c>
    </row>
    <row r="1463" spans="1:11" x14ac:dyDescent="0.45">
      <c r="A1463" s="225">
        <v>1460</v>
      </c>
      <c r="B1463" s="226" t="s">
        <v>148</v>
      </c>
      <c r="C1463" s="226" t="s">
        <v>145</v>
      </c>
      <c r="D1463" s="226" t="s">
        <v>147</v>
      </c>
      <c r="E1463" s="226">
        <v>0</v>
      </c>
      <c r="F1463" s="230">
        <v>43106</v>
      </c>
      <c r="G1463" s="261">
        <f ca="1">IF(ISBLANK(I1463),TODAY()-F1463,I1463-F1463)</f>
        <v>0</v>
      </c>
      <c r="H1463" s="255" t="s">
        <v>5227</v>
      </c>
      <c r="I1463" s="256">
        <v>43106</v>
      </c>
      <c r="J1463" s="257" t="s">
        <v>5113</v>
      </c>
    </row>
    <row r="1464" spans="1:11" x14ac:dyDescent="0.45">
      <c r="A1464" s="225">
        <v>1461</v>
      </c>
      <c r="B1464" s="226" t="s">
        <v>5943</v>
      </c>
      <c r="C1464" s="226" t="s">
        <v>1619</v>
      </c>
      <c r="D1464" s="226" t="s">
        <v>1621</v>
      </c>
      <c r="E1464" s="226">
        <v>1</v>
      </c>
      <c r="F1464" s="230">
        <v>43106</v>
      </c>
      <c r="G1464" s="261">
        <f ca="1">IF(ISBLANK(I1464),TODAY()-F1464,I1464-F1464)</f>
        <v>103</v>
      </c>
      <c r="H1464" s="179" t="s">
        <v>5296</v>
      </c>
      <c r="I1464" s="180">
        <v>43209</v>
      </c>
      <c r="J1464" s="171" t="s">
        <v>5403</v>
      </c>
      <c r="K1464" s="106" t="s">
        <v>5404</v>
      </c>
    </row>
    <row r="1465" spans="1:11" x14ac:dyDescent="0.45">
      <c r="A1465" s="225">
        <v>1462</v>
      </c>
      <c r="B1465" s="226" t="s">
        <v>1801</v>
      </c>
      <c r="C1465" s="226" t="s">
        <v>1830</v>
      </c>
      <c r="D1465" s="226" t="s">
        <v>1832</v>
      </c>
      <c r="E1465" s="226">
        <v>1</v>
      </c>
      <c r="F1465" s="245">
        <v>43109</v>
      </c>
      <c r="G1465" s="261">
        <f ca="1">IF(ISBLANK(I1465),TODAY()-F1465,I1465-F1465)</f>
        <v>15</v>
      </c>
      <c r="H1465" s="255" t="s">
        <v>5344</v>
      </c>
      <c r="I1465" s="256">
        <v>43124</v>
      </c>
      <c r="J1465" s="257" t="s">
        <v>5113</v>
      </c>
    </row>
    <row r="1466" spans="1:11" x14ac:dyDescent="0.45">
      <c r="A1466" s="225">
        <v>1463</v>
      </c>
      <c r="B1466" s="226" t="s">
        <v>1801</v>
      </c>
      <c r="C1466" s="226" t="s">
        <v>1818</v>
      </c>
      <c r="D1466" s="226" t="s">
        <v>1820</v>
      </c>
      <c r="E1466" s="226">
        <v>1</v>
      </c>
      <c r="F1466" s="245">
        <v>43109</v>
      </c>
      <c r="G1466" s="261">
        <f ca="1">IF(ISBLANK(I1466),TODAY()-F1466,I1466-F1466)</f>
        <v>15</v>
      </c>
      <c r="H1466" s="255" t="s">
        <v>5344</v>
      </c>
      <c r="I1466" s="256">
        <v>43124</v>
      </c>
      <c r="J1466" s="257" t="s">
        <v>5113</v>
      </c>
    </row>
    <row r="1467" spans="1:11" x14ac:dyDescent="0.45">
      <c r="A1467" s="225">
        <v>1464</v>
      </c>
      <c r="B1467" s="226" t="s">
        <v>1801</v>
      </c>
      <c r="C1467" s="226" t="s">
        <v>1798</v>
      </c>
      <c r="D1467" s="226" t="s">
        <v>1800</v>
      </c>
      <c r="E1467" s="226">
        <v>1</v>
      </c>
      <c r="F1467" s="245">
        <v>43109</v>
      </c>
      <c r="G1467" s="261">
        <f ca="1">IF(ISBLANK(I1467),TODAY()-F1467,I1467-F1467)</f>
        <v>15</v>
      </c>
      <c r="H1467" s="255" t="s">
        <v>5344</v>
      </c>
      <c r="I1467" s="256">
        <v>43124</v>
      </c>
      <c r="J1467" s="257" t="s">
        <v>5113</v>
      </c>
    </row>
    <row r="1468" spans="1:11" x14ac:dyDescent="0.45">
      <c r="A1468" s="225">
        <v>1465</v>
      </c>
      <c r="B1468" s="226" t="s">
        <v>5944</v>
      </c>
      <c r="C1468" s="226" t="s">
        <v>1156</v>
      </c>
      <c r="D1468" s="226" t="s">
        <v>1158</v>
      </c>
      <c r="E1468" s="226">
        <v>0</v>
      </c>
      <c r="F1468" s="245">
        <v>43109</v>
      </c>
      <c r="G1468" s="261">
        <f ca="1">IF(ISBLANK(I1468),TODAY()-F1468,I1468-F1468)</f>
        <v>15</v>
      </c>
      <c r="H1468" s="255" t="s">
        <v>5344</v>
      </c>
      <c r="I1468" s="256">
        <v>43124</v>
      </c>
      <c r="J1468" s="257" t="s">
        <v>5113</v>
      </c>
    </row>
    <row r="1469" spans="1:11" x14ac:dyDescent="0.45">
      <c r="A1469" s="225">
        <v>1466</v>
      </c>
      <c r="B1469" s="226" t="s">
        <v>5944</v>
      </c>
      <c r="C1469" s="226" t="s">
        <v>1127</v>
      </c>
      <c r="D1469" s="226" t="s">
        <v>1129</v>
      </c>
      <c r="E1469" s="226">
        <v>0</v>
      </c>
      <c r="F1469" s="245">
        <v>43109</v>
      </c>
      <c r="G1469" s="261">
        <f ca="1">IF(ISBLANK(I1469),TODAY()-F1469,I1469-F1469)</f>
        <v>15</v>
      </c>
      <c r="H1469" s="255" t="s">
        <v>5344</v>
      </c>
      <c r="I1469" s="256">
        <v>43124</v>
      </c>
      <c r="J1469" s="257" t="s">
        <v>5113</v>
      </c>
    </row>
    <row r="1470" spans="1:11" x14ac:dyDescent="0.45">
      <c r="A1470" s="225">
        <v>1467</v>
      </c>
      <c r="B1470" s="226" t="s">
        <v>5945</v>
      </c>
      <c r="C1470" s="226" t="s">
        <v>5708</v>
      </c>
      <c r="D1470" s="226" t="s">
        <v>236</v>
      </c>
      <c r="E1470" s="226">
        <v>0</v>
      </c>
      <c r="F1470" s="245">
        <v>43111</v>
      </c>
      <c r="G1470" s="261">
        <f ca="1">IF(ISBLANK(I1470),TODAY()-F1470,I1470-F1470)</f>
        <v>13</v>
      </c>
      <c r="H1470" s="255" t="s">
        <v>5344</v>
      </c>
      <c r="I1470" s="256">
        <v>43124</v>
      </c>
      <c r="J1470" s="278" t="s">
        <v>5113</v>
      </c>
    </row>
    <row r="1471" spans="1:11" x14ac:dyDescent="0.45">
      <c r="A1471" s="225">
        <v>1468</v>
      </c>
      <c r="B1471" s="226" t="s">
        <v>5946</v>
      </c>
      <c r="C1471" s="226" t="s">
        <v>1165</v>
      </c>
      <c r="D1471" s="226" t="s">
        <v>1167</v>
      </c>
      <c r="E1471" s="226">
        <v>0</v>
      </c>
      <c r="F1471" s="230">
        <v>43117</v>
      </c>
      <c r="G1471" s="261">
        <f ca="1">IF(ISBLANK(I1471),TODAY()-F1471,I1471-F1471)</f>
        <v>7</v>
      </c>
      <c r="H1471" s="255" t="s">
        <v>5344</v>
      </c>
      <c r="I1471" s="256">
        <v>43124</v>
      </c>
      <c r="J1471" s="257" t="s">
        <v>5113</v>
      </c>
    </row>
    <row r="1472" spans="1:11" x14ac:dyDescent="0.45">
      <c r="A1472" s="225">
        <v>1469</v>
      </c>
      <c r="B1472" s="226" t="s">
        <v>5946</v>
      </c>
      <c r="C1472" s="226" t="s">
        <v>1150</v>
      </c>
      <c r="D1472" s="226" t="s">
        <v>1152</v>
      </c>
      <c r="E1472" s="226">
        <v>0</v>
      </c>
      <c r="F1472" s="230">
        <v>43117</v>
      </c>
      <c r="G1472" s="261">
        <f ca="1">IF(ISBLANK(I1472),TODAY()-F1472,I1472-F1472)</f>
        <v>7</v>
      </c>
      <c r="H1472" s="255" t="s">
        <v>5227</v>
      </c>
      <c r="I1472" s="256">
        <v>43124</v>
      </c>
      <c r="J1472" s="257" t="s">
        <v>5113</v>
      </c>
    </row>
    <row r="1473" spans="1:11" x14ac:dyDescent="0.45">
      <c r="A1473" s="225">
        <v>1470</v>
      </c>
      <c r="B1473" s="226" t="s">
        <v>2110</v>
      </c>
      <c r="C1473" s="226" t="s">
        <v>2107</v>
      </c>
      <c r="D1473" s="226" t="s">
        <v>2109</v>
      </c>
      <c r="E1473" s="226">
        <v>1</v>
      </c>
      <c r="F1473" s="230">
        <v>43117</v>
      </c>
      <c r="G1473" s="261">
        <f ca="1">IF(ISBLANK(I1473),TODAY()-F1473,I1473-F1473)</f>
        <v>6</v>
      </c>
      <c r="H1473" s="255" t="s">
        <v>5227</v>
      </c>
      <c r="I1473" s="256">
        <v>43123</v>
      </c>
      <c r="J1473" s="257" t="s">
        <v>5113</v>
      </c>
    </row>
    <row r="1474" spans="1:11" x14ac:dyDescent="0.45">
      <c r="A1474" s="225">
        <v>1471</v>
      </c>
      <c r="B1474" s="226" t="s">
        <v>2110</v>
      </c>
      <c r="C1474" s="226" t="s">
        <v>2116</v>
      </c>
      <c r="D1474" s="226" t="s">
        <v>2118</v>
      </c>
      <c r="E1474" s="226">
        <v>1</v>
      </c>
      <c r="F1474" s="230">
        <v>43117</v>
      </c>
      <c r="G1474" s="261">
        <f ca="1">IF(ISBLANK(I1474),TODAY()-F1474,I1474-F1474)</f>
        <v>6</v>
      </c>
      <c r="H1474" s="255" t="s">
        <v>5227</v>
      </c>
      <c r="I1474" s="256">
        <v>43123</v>
      </c>
      <c r="J1474" s="257" t="s">
        <v>5113</v>
      </c>
    </row>
    <row r="1475" spans="1:11" x14ac:dyDescent="0.45">
      <c r="A1475" s="225">
        <v>1472</v>
      </c>
      <c r="B1475" s="226" t="s">
        <v>2110</v>
      </c>
      <c r="C1475" s="226" t="s">
        <v>2112</v>
      </c>
      <c r="D1475" s="226" t="s">
        <v>2114</v>
      </c>
      <c r="E1475" s="226">
        <v>1</v>
      </c>
      <c r="F1475" s="230">
        <v>43117</v>
      </c>
      <c r="G1475" s="261">
        <f ca="1">IF(ISBLANK(I1475),TODAY()-F1475,I1475-F1475)</f>
        <v>6</v>
      </c>
      <c r="H1475" s="255" t="s">
        <v>5227</v>
      </c>
      <c r="I1475" s="256">
        <v>43123</v>
      </c>
      <c r="J1475" s="257" t="s">
        <v>5113</v>
      </c>
    </row>
    <row r="1476" spans="1:11" x14ac:dyDescent="0.45">
      <c r="A1476" s="225">
        <v>1473</v>
      </c>
      <c r="B1476" s="226" t="s">
        <v>2147</v>
      </c>
      <c r="C1476" s="226" t="s">
        <v>2144</v>
      </c>
      <c r="D1476" s="226" t="s">
        <v>2146</v>
      </c>
      <c r="E1476" s="226">
        <v>1</v>
      </c>
      <c r="F1476" s="230">
        <v>43117</v>
      </c>
      <c r="G1476" s="261">
        <f ca="1">IF(ISBLANK(I1476),TODAY()-F1476,I1476-F1476)</f>
        <v>6</v>
      </c>
      <c r="H1476" s="255" t="s">
        <v>5227</v>
      </c>
      <c r="I1476" s="256">
        <v>43123</v>
      </c>
      <c r="J1476" s="257" t="s">
        <v>5113</v>
      </c>
    </row>
    <row r="1477" spans="1:11" x14ac:dyDescent="0.45">
      <c r="A1477" s="225">
        <v>1474</v>
      </c>
      <c r="B1477" s="226" t="s">
        <v>2147</v>
      </c>
      <c r="C1477" s="226" t="s">
        <v>2152</v>
      </c>
      <c r="D1477" s="226" t="s">
        <v>2154</v>
      </c>
      <c r="E1477" s="226">
        <v>1</v>
      </c>
      <c r="F1477" s="230">
        <v>43117</v>
      </c>
      <c r="G1477" s="261">
        <f ca="1">IF(ISBLANK(I1477),TODAY()-F1477,I1477-F1477)</f>
        <v>6</v>
      </c>
      <c r="H1477" s="255" t="s">
        <v>5227</v>
      </c>
      <c r="I1477" s="256">
        <v>43123</v>
      </c>
      <c r="J1477" s="257" t="s">
        <v>5113</v>
      </c>
    </row>
    <row r="1478" spans="1:11" x14ac:dyDescent="0.45">
      <c r="A1478" s="225">
        <v>1475</v>
      </c>
      <c r="B1478" s="226" t="s">
        <v>2147</v>
      </c>
      <c r="C1478" s="226" t="s">
        <v>2148</v>
      </c>
      <c r="D1478" s="226" t="s">
        <v>2150</v>
      </c>
      <c r="E1478" s="226">
        <v>1</v>
      </c>
      <c r="F1478" s="230">
        <v>43117</v>
      </c>
      <c r="G1478" s="261">
        <f ca="1">IF(ISBLANK(I1478),TODAY()-F1478,I1478-F1478)</f>
        <v>6</v>
      </c>
      <c r="H1478" s="255" t="s">
        <v>5227</v>
      </c>
      <c r="I1478" s="256">
        <v>43123</v>
      </c>
      <c r="J1478" s="257" t="s">
        <v>5113</v>
      </c>
    </row>
    <row r="1479" spans="1:11" x14ac:dyDescent="0.45">
      <c r="A1479" s="225">
        <v>1476</v>
      </c>
      <c r="B1479" s="226" t="s">
        <v>5947</v>
      </c>
      <c r="C1479" s="226" t="s">
        <v>5948</v>
      </c>
      <c r="D1479" s="226" t="s">
        <v>1850</v>
      </c>
      <c r="E1479" s="226"/>
      <c r="F1479" s="230">
        <v>43117</v>
      </c>
      <c r="G1479" s="261">
        <f ca="1">IF(ISBLANK(I1479),TODAY()-F1479,I1479-F1479)</f>
        <v>12</v>
      </c>
      <c r="H1479" s="255" t="s">
        <v>5003</v>
      </c>
      <c r="I1479" s="256">
        <v>43129</v>
      </c>
      <c r="J1479" s="257" t="s">
        <v>5113</v>
      </c>
    </row>
    <row r="1480" spans="1:11" x14ac:dyDescent="0.45">
      <c r="A1480" s="225">
        <v>1477</v>
      </c>
      <c r="B1480" s="226" t="s">
        <v>5949</v>
      </c>
      <c r="C1480" s="226" t="s">
        <v>1807</v>
      </c>
      <c r="D1480" s="226" t="s">
        <v>1809</v>
      </c>
      <c r="E1480" s="226">
        <v>1</v>
      </c>
      <c r="F1480" s="230">
        <v>43117</v>
      </c>
      <c r="G1480" s="261">
        <f ca="1">IF(ISBLANK(I1480),TODAY()-F1480,I1480-F1480)</f>
        <v>7</v>
      </c>
      <c r="H1480" s="255" t="s">
        <v>5227</v>
      </c>
      <c r="I1480" s="256">
        <v>43124</v>
      </c>
      <c r="J1480" s="257" t="s">
        <v>5113</v>
      </c>
    </row>
    <row r="1481" spans="1:11" x14ac:dyDescent="0.45">
      <c r="A1481" s="225">
        <v>1478</v>
      </c>
      <c r="B1481" s="226" t="s">
        <v>2186</v>
      </c>
      <c r="C1481" s="226" t="s">
        <v>2218</v>
      </c>
      <c r="D1481" s="226" t="s">
        <v>2220</v>
      </c>
      <c r="E1481" s="226">
        <v>1</v>
      </c>
      <c r="F1481" s="230">
        <v>43117</v>
      </c>
      <c r="G1481" s="261">
        <f ca="1">IF(ISBLANK(I1481),TODAY()-F1481,I1481-F1481)</f>
        <v>7</v>
      </c>
      <c r="H1481" s="255" t="s">
        <v>5062</v>
      </c>
      <c r="I1481" s="256">
        <v>43124</v>
      </c>
      <c r="J1481" s="257" t="s">
        <v>5113</v>
      </c>
    </row>
    <row r="1482" spans="1:11" x14ac:dyDescent="0.45">
      <c r="A1482" s="225">
        <v>1479</v>
      </c>
      <c r="B1482" s="226" t="s">
        <v>2186</v>
      </c>
      <c r="C1482" s="226" t="s">
        <v>2285</v>
      </c>
      <c r="D1482" s="226" t="s">
        <v>2287</v>
      </c>
      <c r="E1482" s="226">
        <v>1</v>
      </c>
      <c r="F1482" s="230">
        <v>43117</v>
      </c>
      <c r="G1482" s="261">
        <f ca="1">IF(ISBLANK(I1482),TODAY()-F1482,I1482-F1482)</f>
        <v>92</v>
      </c>
      <c r="H1482" s="179" t="s">
        <v>5296</v>
      </c>
      <c r="I1482" s="180">
        <v>43209</v>
      </c>
      <c r="J1482" s="171" t="s">
        <v>5403</v>
      </c>
      <c r="K1482" s="106" t="s">
        <v>5404</v>
      </c>
    </row>
    <row r="1483" spans="1:11" x14ac:dyDescent="0.45">
      <c r="A1483" s="225">
        <v>1480</v>
      </c>
      <c r="B1483" s="226" t="s">
        <v>2186</v>
      </c>
      <c r="C1483" s="226" t="s">
        <v>2183</v>
      </c>
      <c r="D1483" s="226" t="s">
        <v>2185</v>
      </c>
      <c r="E1483" s="226">
        <v>1</v>
      </c>
      <c r="F1483" s="230">
        <v>43117</v>
      </c>
      <c r="G1483" s="261">
        <f ca="1">IF(ISBLANK(I1483),TODAY()-F1483,I1483-F1483)</f>
        <v>92</v>
      </c>
      <c r="H1483" s="179" t="s">
        <v>5296</v>
      </c>
      <c r="I1483" s="180">
        <v>43209</v>
      </c>
      <c r="J1483" s="171" t="s">
        <v>5403</v>
      </c>
      <c r="K1483" s="106" t="s">
        <v>5404</v>
      </c>
    </row>
    <row r="1484" spans="1:11" x14ac:dyDescent="0.45">
      <c r="A1484" s="225">
        <v>1481</v>
      </c>
      <c r="B1484" s="226" t="s">
        <v>2186</v>
      </c>
      <c r="C1484" s="226" t="s">
        <v>2215</v>
      </c>
      <c r="D1484" s="226" t="s">
        <v>5885</v>
      </c>
      <c r="E1484" s="226">
        <v>0</v>
      </c>
      <c r="F1484" s="230">
        <v>43117</v>
      </c>
      <c r="G1484" s="261">
        <f ca="1">IF(ISBLANK(I1484),TODAY()-F1484,I1484-F1484)</f>
        <v>92</v>
      </c>
      <c r="H1484" s="179" t="s">
        <v>5296</v>
      </c>
      <c r="I1484" s="180">
        <v>43209</v>
      </c>
      <c r="J1484" s="171" t="s">
        <v>5403</v>
      </c>
      <c r="K1484" s="106" t="s">
        <v>5404</v>
      </c>
    </row>
    <row r="1485" spans="1:11" x14ac:dyDescent="0.45">
      <c r="A1485" s="225">
        <v>1482</v>
      </c>
      <c r="B1485" s="226" t="s">
        <v>5950</v>
      </c>
      <c r="C1485" s="226" t="s">
        <v>886</v>
      </c>
      <c r="D1485" s="226" t="s">
        <v>5951</v>
      </c>
      <c r="E1485" s="226" t="s">
        <v>5002</v>
      </c>
      <c r="F1485" s="230">
        <v>43117</v>
      </c>
      <c r="G1485" s="261">
        <f ca="1">IF(ISBLANK(I1485),TODAY()-F1485,I1485-F1485)</f>
        <v>7</v>
      </c>
      <c r="H1485" s="255" t="s">
        <v>5062</v>
      </c>
      <c r="I1485" s="256">
        <v>43124</v>
      </c>
      <c r="J1485" s="257" t="s">
        <v>5113</v>
      </c>
    </row>
    <row r="1486" spans="1:11" x14ac:dyDescent="0.45">
      <c r="A1486" s="225">
        <v>1483</v>
      </c>
      <c r="B1486" s="226" t="s">
        <v>2041</v>
      </c>
      <c r="C1486" s="226" t="s">
        <v>2038</v>
      </c>
      <c r="D1486" s="226" t="s">
        <v>5952</v>
      </c>
      <c r="E1486" s="226">
        <v>1</v>
      </c>
      <c r="F1486" s="230">
        <v>43119</v>
      </c>
      <c r="G1486" s="261">
        <f ca="1">IF(ISBLANK(I1486),TODAY()-F1486,I1486-F1486)</f>
        <v>90</v>
      </c>
      <c r="H1486" s="179" t="s">
        <v>5296</v>
      </c>
      <c r="I1486" s="180">
        <v>43209</v>
      </c>
      <c r="J1486" s="171" t="s">
        <v>5403</v>
      </c>
      <c r="K1486" s="106" t="s">
        <v>5404</v>
      </c>
    </row>
    <row r="1487" spans="1:11" x14ac:dyDescent="0.45">
      <c r="A1487" s="225">
        <v>1484</v>
      </c>
      <c r="B1487" s="226" t="s">
        <v>791</v>
      </c>
      <c r="C1487" s="226" t="s">
        <v>818</v>
      </c>
      <c r="D1487" s="226" t="s">
        <v>820</v>
      </c>
      <c r="E1487" s="226">
        <v>1</v>
      </c>
      <c r="F1487" s="230">
        <v>43119</v>
      </c>
      <c r="G1487" s="261">
        <f ca="1">IF(ISBLANK(I1487),TODAY()-F1487,I1487-F1487)</f>
        <v>90</v>
      </c>
      <c r="H1487" s="179" t="s">
        <v>5296</v>
      </c>
      <c r="I1487" s="180">
        <v>43209</v>
      </c>
      <c r="J1487" s="171" t="s">
        <v>5403</v>
      </c>
      <c r="K1487" s="106" t="s">
        <v>5404</v>
      </c>
    </row>
    <row r="1488" spans="1:11" x14ac:dyDescent="0.45">
      <c r="A1488" s="225">
        <v>1485</v>
      </c>
      <c r="B1488" s="226" t="s">
        <v>791</v>
      </c>
      <c r="C1488" s="226" t="s">
        <v>832</v>
      </c>
      <c r="D1488" s="226" t="s">
        <v>834</v>
      </c>
      <c r="E1488" s="226">
        <v>1</v>
      </c>
      <c r="F1488" s="230">
        <v>43119</v>
      </c>
      <c r="G1488" s="261">
        <f ca="1">IF(ISBLANK(I1488),TODAY()-F1488,I1488-F1488)</f>
        <v>5</v>
      </c>
      <c r="H1488" s="255" t="s">
        <v>64</v>
      </c>
      <c r="I1488" s="256">
        <v>43124</v>
      </c>
      <c r="J1488" s="279" t="s">
        <v>5160</v>
      </c>
    </row>
    <row r="1489" spans="1:10" x14ac:dyDescent="0.45">
      <c r="A1489" s="225">
        <v>1486</v>
      </c>
      <c r="B1489" s="226" t="s">
        <v>791</v>
      </c>
      <c r="C1489" s="226" t="s">
        <v>797</v>
      </c>
      <c r="D1489" s="226" t="s">
        <v>799</v>
      </c>
      <c r="E1489" s="226">
        <v>1</v>
      </c>
      <c r="F1489" s="230">
        <v>43119</v>
      </c>
      <c r="G1489" s="261">
        <f ca="1">IF(ISBLANK(I1489),TODAY()-F1489,I1489-F1489)</f>
        <v>5</v>
      </c>
      <c r="H1489" s="255" t="s">
        <v>64</v>
      </c>
      <c r="I1489" s="256">
        <v>43124</v>
      </c>
      <c r="J1489" s="279" t="s">
        <v>5160</v>
      </c>
    </row>
    <row r="1490" spans="1:10" x14ac:dyDescent="0.45">
      <c r="A1490" s="225">
        <v>1487</v>
      </c>
      <c r="B1490" s="226" t="s">
        <v>791</v>
      </c>
      <c r="C1490" s="226" t="s">
        <v>837</v>
      </c>
      <c r="D1490" s="226" t="s">
        <v>839</v>
      </c>
      <c r="E1490" s="226">
        <v>1</v>
      </c>
      <c r="F1490" s="230">
        <v>43119</v>
      </c>
      <c r="G1490" s="261">
        <f ca="1">IF(ISBLANK(I1490),TODAY()-F1490,I1490-F1490)</f>
        <v>5</v>
      </c>
      <c r="H1490" s="255" t="s">
        <v>64</v>
      </c>
      <c r="I1490" s="256">
        <v>43124</v>
      </c>
      <c r="J1490" s="279" t="s">
        <v>5160</v>
      </c>
    </row>
    <row r="1491" spans="1:10" x14ac:dyDescent="0.45">
      <c r="A1491" s="225">
        <v>1488</v>
      </c>
      <c r="B1491" s="226" t="s">
        <v>791</v>
      </c>
      <c r="C1491" s="226" t="s">
        <v>788</v>
      </c>
      <c r="D1491" s="226" t="s">
        <v>790</v>
      </c>
      <c r="E1491" s="226">
        <v>1</v>
      </c>
      <c r="F1491" s="230">
        <v>43119</v>
      </c>
      <c r="G1491" s="261">
        <f ca="1">IF(ISBLANK(I1491),TODAY()-F1491,I1491-F1491)</f>
        <v>5</v>
      </c>
      <c r="H1491" s="255" t="s">
        <v>64</v>
      </c>
      <c r="I1491" s="256">
        <v>43124</v>
      </c>
      <c r="J1491" s="279" t="s">
        <v>5160</v>
      </c>
    </row>
    <row r="1492" spans="1:10" x14ac:dyDescent="0.45">
      <c r="A1492" s="225">
        <v>1489</v>
      </c>
      <c r="B1492" s="226" t="s">
        <v>791</v>
      </c>
      <c r="C1492" s="226" t="s">
        <v>827</v>
      </c>
      <c r="D1492" s="226" t="s">
        <v>829</v>
      </c>
      <c r="E1492" s="226">
        <v>1</v>
      </c>
      <c r="F1492" s="230">
        <v>43119</v>
      </c>
      <c r="G1492" s="261">
        <f ca="1">IF(ISBLANK(I1492),TODAY()-F1492,I1492-F1492)</f>
        <v>10</v>
      </c>
      <c r="H1492" s="255" t="s">
        <v>5344</v>
      </c>
      <c r="I1492" s="256">
        <v>43129</v>
      </c>
      <c r="J1492" s="279" t="s">
        <v>5113</v>
      </c>
    </row>
    <row r="1493" spans="1:10" x14ac:dyDescent="0.45">
      <c r="A1493" s="225">
        <v>1490</v>
      </c>
      <c r="B1493" s="226" t="s">
        <v>791</v>
      </c>
      <c r="C1493" s="226" t="s">
        <v>793</v>
      </c>
      <c r="D1493" s="226" t="s">
        <v>795</v>
      </c>
      <c r="E1493" s="226">
        <v>1</v>
      </c>
      <c r="F1493" s="230">
        <v>43119</v>
      </c>
      <c r="G1493" s="261">
        <f ca="1">IF(ISBLANK(I1493),TODAY()-F1493,I1493-F1493)</f>
        <v>5</v>
      </c>
      <c r="H1493" s="255" t="s">
        <v>64</v>
      </c>
      <c r="I1493" s="256">
        <v>43124</v>
      </c>
      <c r="J1493" s="279" t="s">
        <v>5160</v>
      </c>
    </row>
    <row r="1494" spans="1:10" x14ac:dyDescent="0.45">
      <c r="A1494" s="225">
        <v>1491</v>
      </c>
      <c r="B1494" s="226" t="s">
        <v>5953</v>
      </c>
      <c r="C1494" s="226" t="s">
        <v>1656</v>
      </c>
      <c r="D1494" s="226" t="s">
        <v>5954</v>
      </c>
      <c r="E1494" s="226" t="s">
        <v>65</v>
      </c>
      <c r="F1494" s="230">
        <v>43119</v>
      </c>
      <c r="G1494" s="261">
        <f ca="1">IF(ISBLANK(I1494),TODAY()-F1494,I1494-F1494)</f>
        <v>13</v>
      </c>
      <c r="H1494" s="255" t="s">
        <v>5002</v>
      </c>
      <c r="I1494" s="256">
        <v>43132</v>
      </c>
      <c r="J1494" s="279" t="s">
        <v>5113</v>
      </c>
    </row>
    <row r="1495" spans="1:10" x14ac:dyDescent="0.45">
      <c r="A1495" s="225">
        <v>1492</v>
      </c>
      <c r="B1495" s="226" t="s">
        <v>5955</v>
      </c>
      <c r="C1495" s="226" t="s">
        <v>1690</v>
      </c>
      <c r="D1495" s="226" t="s">
        <v>1692</v>
      </c>
      <c r="E1495" s="226">
        <v>0</v>
      </c>
      <c r="F1495" s="230">
        <v>43123</v>
      </c>
      <c r="G1495" s="261">
        <f ca="1">IF(ISBLANK(I1495),TODAY()-F1495,I1495-F1495)</f>
        <v>8</v>
      </c>
      <c r="H1495" s="255" t="s">
        <v>5062</v>
      </c>
      <c r="I1495" s="256">
        <v>43131</v>
      </c>
      <c r="J1495" s="257" t="s">
        <v>5113</v>
      </c>
    </row>
    <row r="1496" spans="1:10" x14ac:dyDescent="0.45">
      <c r="A1496" s="225">
        <v>1493</v>
      </c>
      <c r="B1496" s="226" t="s">
        <v>5955</v>
      </c>
      <c r="C1496" s="226" t="s">
        <v>1687</v>
      </c>
      <c r="D1496" s="226" t="s">
        <v>1689</v>
      </c>
      <c r="E1496" s="226">
        <v>0</v>
      </c>
      <c r="F1496" s="230">
        <v>43123</v>
      </c>
      <c r="G1496" s="261">
        <f ca="1">IF(ISBLANK(I1496),TODAY()-F1496,I1496-F1496)</f>
        <v>8</v>
      </c>
      <c r="H1496" s="255" t="s">
        <v>5062</v>
      </c>
      <c r="I1496" s="256">
        <v>43131</v>
      </c>
      <c r="J1496" s="257" t="s">
        <v>5113</v>
      </c>
    </row>
    <row r="1497" spans="1:10" x14ac:dyDescent="0.45">
      <c r="A1497" s="225">
        <v>1494</v>
      </c>
      <c r="B1497" s="226" t="s">
        <v>5955</v>
      </c>
      <c r="C1497" s="226" t="s">
        <v>2678</v>
      </c>
      <c r="D1497" s="226" t="s">
        <v>1685</v>
      </c>
      <c r="E1497" s="226">
        <v>0</v>
      </c>
      <c r="F1497" s="230">
        <v>43123</v>
      </c>
      <c r="G1497" s="261">
        <f ca="1">IF(ISBLANK(I1497),TODAY()-F1497,I1497-F1497)</f>
        <v>8</v>
      </c>
      <c r="H1497" s="255" t="s">
        <v>5062</v>
      </c>
      <c r="I1497" s="256">
        <v>43131</v>
      </c>
      <c r="J1497" s="257" t="s">
        <v>5113</v>
      </c>
    </row>
    <row r="1498" spans="1:10" ht="16.5" customHeight="1" x14ac:dyDescent="0.45">
      <c r="A1498" s="225">
        <v>1495</v>
      </c>
      <c r="B1498" s="226" t="s">
        <v>5956</v>
      </c>
      <c r="C1498" s="226" t="s">
        <v>183</v>
      </c>
      <c r="D1498" s="226" t="s">
        <v>185</v>
      </c>
      <c r="E1498" s="226" t="s">
        <v>3979</v>
      </c>
      <c r="F1498" s="230">
        <v>43123</v>
      </c>
      <c r="G1498" s="261">
        <f ca="1">IF(ISBLANK(I1498),TODAY()-F1498,I1498-F1498)</f>
        <v>9</v>
      </c>
      <c r="H1498" s="255" t="s">
        <v>5003</v>
      </c>
      <c r="I1498" s="256">
        <v>43132</v>
      </c>
      <c r="J1498" s="257" t="s">
        <v>5113</v>
      </c>
    </row>
    <row r="1499" spans="1:10" x14ac:dyDescent="0.45">
      <c r="A1499" s="225">
        <v>1496</v>
      </c>
      <c r="B1499" s="226" t="s">
        <v>5956</v>
      </c>
      <c r="C1499" s="226" t="s">
        <v>180</v>
      </c>
      <c r="D1499" s="226" t="s">
        <v>182</v>
      </c>
      <c r="E1499" s="226" t="s">
        <v>3979</v>
      </c>
      <c r="F1499" s="230">
        <v>43123</v>
      </c>
      <c r="G1499" s="261">
        <f ca="1">IF(ISBLANK(I1499),TODAY()-F1499,I1499-F1499)</f>
        <v>9</v>
      </c>
      <c r="H1499" s="255" t="s">
        <v>5003</v>
      </c>
      <c r="I1499" s="256">
        <v>43132</v>
      </c>
      <c r="J1499" s="257" t="s">
        <v>5113</v>
      </c>
    </row>
    <row r="1500" spans="1:10" x14ac:dyDescent="0.45">
      <c r="A1500" s="225">
        <v>1497</v>
      </c>
      <c r="B1500" s="226" t="s">
        <v>5956</v>
      </c>
      <c r="C1500" s="226" t="s">
        <v>177</v>
      </c>
      <c r="D1500" s="226" t="s">
        <v>179</v>
      </c>
      <c r="E1500" s="226" t="s">
        <v>3979</v>
      </c>
      <c r="F1500" s="230">
        <v>43123</v>
      </c>
      <c r="G1500" s="261">
        <f ca="1">IF(ISBLANK(I1500),TODAY()-F1500,I1500-F1500)</f>
        <v>9</v>
      </c>
      <c r="H1500" s="255" t="s">
        <v>5003</v>
      </c>
      <c r="I1500" s="256">
        <v>43132</v>
      </c>
      <c r="J1500" s="257" t="s">
        <v>5113</v>
      </c>
    </row>
    <row r="1501" spans="1:10" x14ac:dyDescent="0.45">
      <c r="A1501" s="225">
        <v>1498</v>
      </c>
      <c r="B1501" s="226" t="s">
        <v>5956</v>
      </c>
      <c r="C1501" s="226" t="s">
        <v>174</v>
      </c>
      <c r="D1501" s="226" t="s">
        <v>176</v>
      </c>
      <c r="E1501" s="226" t="s">
        <v>3979</v>
      </c>
      <c r="F1501" s="230">
        <v>43123</v>
      </c>
      <c r="G1501" s="261">
        <f ca="1">IF(ISBLANK(I1501),TODAY()-F1501,I1501-F1501)</f>
        <v>9</v>
      </c>
      <c r="H1501" s="255" t="s">
        <v>5003</v>
      </c>
      <c r="I1501" s="256">
        <v>43132</v>
      </c>
      <c r="J1501" s="257" t="s">
        <v>5113</v>
      </c>
    </row>
    <row r="1502" spans="1:10" x14ac:dyDescent="0.45">
      <c r="A1502" s="225">
        <v>1499</v>
      </c>
      <c r="B1502" s="226" t="s">
        <v>5956</v>
      </c>
      <c r="C1502" s="226" t="s">
        <v>171</v>
      </c>
      <c r="D1502" s="226" t="s">
        <v>173</v>
      </c>
      <c r="E1502" s="226" t="s">
        <v>3979</v>
      </c>
      <c r="F1502" s="230">
        <v>43123</v>
      </c>
      <c r="G1502" s="261">
        <f ca="1">IF(ISBLANK(I1502),TODAY()-F1502,I1502-F1502)</f>
        <v>9</v>
      </c>
      <c r="H1502" s="255" t="s">
        <v>5003</v>
      </c>
      <c r="I1502" s="256">
        <v>43132</v>
      </c>
      <c r="J1502" s="257" t="s">
        <v>5113</v>
      </c>
    </row>
    <row r="1503" spans="1:10" x14ac:dyDescent="0.45">
      <c r="A1503" s="225">
        <v>1500</v>
      </c>
      <c r="B1503" s="226" t="s">
        <v>5956</v>
      </c>
      <c r="C1503" s="226" t="s">
        <v>168</v>
      </c>
      <c r="D1503" s="226" t="s">
        <v>170</v>
      </c>
      <c r="E1503" s="226" t="s">
        <v>3979</v>
      </c>
      <c r="F1503" s="230">
        <v>43123</v>
      </c>
      <c r="G1503" s="261">
        <f ca="1">IF(ISBLANK(I1503),TODAY()-F1503,I1503-F1503)</f>
        <v>9</v>
      </c>
      <c r="H1503" s="255" t="s">
        <v>5003</v>
      </c>
      <c r="I1503" s="256">
        <v>43132</v>
      </c>
      <c r="J1503" s="257" t="s">
        <v>5113</v>
      </c>
    </row>
    <row r="1504" spans="1:10" x14ac:dyDescent="0.45">
      <c r="A1504" s="225">
        <v>1501</v>
      </c>
      <c r="B1504" s="226" t="s">
        <v>5956</v>
      </c>
      <c r="C1504" s="226" t="s">
        <v>166</v>
      </c>
      <c r="D1504" s="226" t="s">
        <v>167</v>
      </c>
      <c r="E1504" s="226" t="s">
        <v>3979</v>
      </c>
      <c r="F1504" s="230">
        <v>43123</v>
      </c>
      <c r="G1504" s="261">
        <f ca="1">IF(ISBLANK(I1504),TODAY()-F1504,I1504-F1504)</f>
        <v>9</v>
      </c>
      <c r="H1504" s="255" t="s">
        <v>5003</v>
      </c>
      <c r="I1504" s="256">
        <v>43132</v>
      </c>
      <c r="J1504" s="257" t="s">
        <v>5113</v>
      </c>
    </row>
    <row r="1505" spans="1:11" x14ac:dyDescent="0.45">
      <c r="A1505" s="225">
        <v>1502</v>
      </c>
      <c r="B1505" s="226" t="s">
        <v>5957</v>
      </c>
      <c r="C1505" s="226" t="s">
        <v>1138</v>
      </c>
      <c r="D1505" s="226" t="s">
        <v>1140</v>
      </c>
      <c r="E1505" s="226">
        <v>0</v>
      </c>
      <c r="F1505" s="230">
        <v>43123</v>
      </c>
      <c r="G1505" s="261">
        <f ca="1">IF(ISBLANK(I1505),TODAY()-F1505,I1505-F1505)</f>
        <v>6</v>
      </c>
      <c r="H1505" s="255" t="s">
        <v>5344</v>
      </c>
      <c r="I1505" s="256">
        <v>43129</v>
      </c>
      <c r="J1505" s="257" t="s">
        <v>5051</v>
      </c>
    </row>
    <row r="1506" spans="1:11" x14ac:dyDescent="0.45">
      <c r="A1506" s="225">
        <v>1503</v>
      </c>
      <c r="B1506" s="226" t="s">
        <v>5957</v>
      </c>
      <c r="C1506" s="226" t="s">
        <v>1130</v>
      </c>
      <c r="D1506" s="226" t="s">
        <v>1132</v>
      </c>
      <c r="E1506" s="226">
        <v>0</v>
      </c>
      <c r="F1506" s="230">
        <v>43123</v>
      </c>
      <c r="G1506" s="261">
        <f ca="1">IF(ISBLANK(I1506),TODAY()-F1506,I1506-F1506)</f>
        <v>6</v>
      </c>
      <c r="H1506" s="255" t="s">
        <v>5344</v>
      </c>
      <c r="I1506" s="256">
        <v>43129</v>
      </c>
      <c r="J1506" s="257" t="s">
        <v>5051</v>
      </c>
    </row>
    <row r="1507" spans="1:11" x14ac:dyDescent="0.45">
      <c r="A1507" s="225">
        <v>1504</v>
      </c>
      <c r="B1507" s="226" t="s">
        <v>5957</v>
      </c>
      <c r="C1507" s="226" t="s">
        <v>1153</v>
      </c>
      <c r="D1507" s="226" t="s">
        <v>1155</v>
      </c>
      <c r="E1507" s="226">
        <v>0</v>
      </c>
      <c r="F1507" s="230">
        <v>43123</v>
      </c>
      <c r="G1507" s="261">
        <f ca="1">IF(ISBLANK(I1507),TODAY()-F1507,I1507-F1507)</f>
        <v>6</v>
      </c>
      <c r="H1507" s="255" t="s">
        <v>5344</v>
      </c>
      <c r="I1507" s="256">
        <v>43129</v>
      </c>
      <c r="J1507" s="257" t="s">
        <v>5051</v>
      </c>
    </row>
    <row r="1508" spans="1:11" x14ac:dyDescent="0.45">
      <c r="A1508" s="225">
        <v>1506</v>
      </c>
      <c r="B1508" s="226" t="s">
        <v>5959</v>
      </c>
      <c r="C1508" s="226" t="s">
        <v>5960</v>
      </c>
      <c r="D1508" s="226" t="s">
        <v>5961</v>
      </c>
      <c r="E1508" s="226"/>
      <c r="F1508" s="230">
        <v>43125</v>
      </c>
      <c r="G1508" s="261">
        <f ca="1">IF(ISBLANK(I1508),TODAY()-F1508,I1508-F1508)</f>
        <v>7</v>
      </c>
      <c r="H1508" s="233" t="s">
        <v>5062</v>
      </c>
      <c r="I1508" s="153">
        <v>43132</v>
      </c>
      <c r="J1508" s="221" t="s">
        <v>5113</v>
      </c>
    </row>
    <row r="1509" spans="1:11" x14ac:dyDescent="0.45">
      <c r="A1509" s="225">
        <v>1507</v>
      </c>
      <c r="B1509" s="226" t="s">
        <v>5962</v>
      </c>
      <c r="C1509" s="226" t="s">
        <v>5963</v>
      </c>
      <c r="D1509" s="226" t="s">
        <v>5964</v>
      </c>
      <c r="E1509" s="226"/>
      <c r="F1509" s="230">
        <v>43125</v>
      </c>
      <c r="G1509" s="261">
        <f ca="1">IF(ISBLANK(I1509),TODAY()-F1509,I1509-F1509)</f>
        <v>7</v>
      </c>
      <c r="H1509" s="247" t="s">
        <v>5062</v>
      </c>
      <c r="I1509" s="228">
        <v>43132</v>
      </c>
      <c r="J1509" s="257" t="s">
        <v>5113</v>
      </c>
    </row>
    <row r="1510" spans="1:11" x14ac:dyDescent="0.45">
      <c r="A1510" s="225">
        <v>1508</v>
      </c>
      <c r="B1510" s="226" t="s">
        <v>5965</v>
      </c>
      <c r="C1510" s="226" t="s">
        <v>1753</v>
      </c>
      <c r="D1510" s="226" t="s">
        <v>1755</v>
      </c>
      <c r="E1510" s="226" t="s">
        <v>5003</v>
      </c>
      <c r="F1510" s="230">
        <v>43125</v>
      </c>
      <c r="G1510" s="261">
        <f ca="1">IF(ISBLANK(I1510),TODAY()-F1510,I1510-F1510)</f>
        <v>7</v>
      </c>
      <c r="H1510" s="255" t="s">
        <v>5062</v>
      </c>
      <c r="I1510" s="228">
        <v>43132</v>
      </c>
      <c r="J1510" s="257" t="s">
        <v>5113</v>
      </c>
    </row>
    <row r="1511" spans="1:11" x14ac:dyDescent="0.45">
      <c r="A1511" s="225">
        <v>1509</v>
      </c>
      <c r="B1511" s="226" t="s">
        <v>5966</v>
      </c>
      <c r="C1511" s="226" t="s">
        <v>2369</v>
      </c>
      <c r="D1511" s="226" t="s">
        <v>2371</v>
      </c>
      <c r="E1511" s="226" t="s">
        <v>5002</v>
      </c>
      <c r="F1511" s="230">
        <v>43125</v>
      </c>
      <c r="G1511" s="261">
        <f ca="1">IF(ISBLANK(I1511),TODAY()-F1511,I1511-F1511)</f>
        <v>7</v>
      </c>
      <c r="H1511" s="255" t="s">
        <v>5967</v>
      </c>
      <c r="I1511" s="256">
        <v>43132</v>
      </c>
      <c r="J1511" s="257" t="s">
        <v>5051</v>
      </c>
      <c r="K1511" s="106" t="s">
        <v>5968</v>
      </c>
    </row>
    <row r="1512" spans="1:11" x14ac:dyDescent="0.45">
      <c r="A1512" s="225">
        <v>1510</v>
      </c>
      <c r="B1512" s="226" t="s">
        <v>5969</v>
      </c>
      <c r="C1512" s="226" t="s">
        <v>2372</v>
      </c>
      <c r="D1512" s="226" t="s">
        <v>2374</v>
      </c>
      <c r="E1512" s="226" t="s">
        <v>5002</v>
      </c>
      <c r="F1512" s="230">
        <v>43125</v>
      </c>
      <c r="G1512" s="261">
        <f ca="1">IF(ISBLANK(I1512),TODAY()-F1512,I1512-F1512)</f>
        <v>7</v>
      </c>
      <c r="H1512" s="255" t="s">
        <v>5967</v>
      </c>
      <c r="I1512" s="256">
        <v>43132</v>
      </c>
      <c r="J1512" s="257" t="s">
        <v>5051</v>
      </c>
      <c r="K1512" s="106" t="s">
        <v>5968</v>
      </c>
    </row>
    <row r="1513" spans="1:11" x14ac:dyDescent="0.45">
      <c r="A1513" s="225">
        <v>1511</v>
      </c>
      <c r="B1513" s="226" t="s">
        <v>5970</v>
      </c>
      <c r="C1513" s="226" t="s">
        <v>2375</v>
      </c>
      <c r="D1513" s="226" t="s">
        <v>2377</v>
      </c>
      <c r="E1513" s="226" t="s">
        <v>5002</v>
      </c>
      <c r="F1513" s="230">
        <v>43125</v>
      </c>
      <c r="G1513" s="261">
        <f ca="1">IF(ISBLANK(I1513),TODAY()-F1513,I1513-F1513)</f>
        <v>7</v>
      </c>
      <c r="H1513" s="255" t="s">
        <v>5967</v>
      </c>
      <c r="I1513" s="256">
        <v>43132</v>
      </c>
      <c r="J1513" s="257" t="s">
        <v>5051</v>
      </c>
      <c r="K1513" s="106" t="s">
        <v>5968</v>
      </c>
    </row>
    <row r="1514" spans="1:11" x14ac:dyDescent="0.45">
      <c r="A1514" s="225">
        <v>1513</v>
      </c>
      <c r="B1514" s="226" t="s">
        <v>5973</v>
      </c>
      <c r="C1514" s="226" t="s">
        <v>2381</v>
      </c>
      <c r="D1514" s="226" t="s">
        <v>2383</v>
      </c>
      <c r="E1514" s="226" t="s">
        <v>5002</v>
      </c>
      <c r="F1514" s="230">
        <v>43129</v>
      </c>
      <c r="G1514" s="261">
        <f ca="1">IF(ISBLANK(I1514),TODAY()-F1514,I1514-F1514)</f>
        <v>3</v>
      </c>
      <c r="H1514" s="255" t="s">
        <v>5967</v>
      </c>
      <c r="I1514" s="256">
        <v>43132</v>
      </c>
      <c r="J1514" s="257" t="s">
        <v>5051</v>
      </c>
      <c r="K1514" s="106" t="s">
        <v>5968</v>
      </c>
    </row>
    <row r="1515" spans="1:11" x14ac:dyDescent="0.45">
      <c r="A1515" s="225">
        <v>1514</v>
      </c>
      <c r="B1515" s="226" t="s">
        <v>5974</v>
      </c>
      <c r="C1515" s="226" t="s">
        <v>2378</v>
      </c>
      <c r="D1515" s="226" t="s">
        <v>2380</v>
      </c>
      <c r="E1515" s="226" t="s">
        <v>65</v>
      </c>
      <c r="F1515" s="230">
        <v>43129</v>
      </c>
      <c r="G1515" s="261">
        <f ca="1">IF(ISBLANK(I1515),TODAY()-F1515,I1515-F1515)</f>
        <v>3</v>
      </c>
      <c r="H1515" s="255" t="s">
        <v>5967</v>
      </c>
      <c r="I1515" s="256">
        <v>43132</v>
      </c>
      <c r="J1515" s="257" t="s">
        <v>5051</v>
      </c>
      <c r="K1515" s="106" t="s">
        <v>5968</v>
      </c>
    </row>
    <row r="1516" spans="1:11" x14ac:dyDescent="0.45">
      <c r="A1516" s="225">
        <v>1505</v>
      </c>
      <c r="B1516" s="226" t="s">
        <v>5958</v>
      </c>
      <c r="C1516" s="226" t="s">
        <v>1681</v>
      </c>
      <c r="D1516" s="226" t="s">
        <v>1683</v>
      </c>
      <c r="E1516" s="226">
        <v>0</v>
      </c>
      <c r="F1516" s="230">
        <v>43131</v>
      </c>
      <c r="G1516" s="261">
        <f ca="1">IF(ISBLANK(I1516),TODAY()-F1516,I1516-F1516)</f>
        <v>19</v>
      </c>
      <c r="H1516" s="255" t="s">
        <v>5062</v>
      </c>
      <c r="I1516" s="256">
        <v>43150</v>
      </c>
      <c r="J1516" s="257" t="s">
        <v>5113</v>
      </c>
    </row>
    <row r="1517" spans="1:11" x14ac:dyDescent="0.45">
      <c r="A1517" s="225">
        <v>1516</v>
      </c>
      <c r="B1517" s="226" t="s">
        <v>5976</v>
      </c>
      <c r="C1517" s="226" t="s">
        <v>5977</v>
      </c>
      <c r="D1517" s="226" t="s">
        <v>5978</v>
      </c>
      <c r="E1517" s="226"/>
      <c r="F1517" s="230">
        <v>43131</v>
      </c>
      <c r="G1517" s="261">
        <f ca="1">IF(ISBLANK(I1517),TODAY()-F1517,I1517-F1517)</f>
        <v>21</v>
      </c>
      <c r="H1517" s="255" t="s">
        <v>5062</v>
      </c>
      <c r="I1517" s="256">
        <v>43152</v>
      </c>
      <c r="J1517" s="257" t="s">
        <v>5113</v>
      </c>
    </row>
    <row r="1518" spans="1:11" x14ac:dyDescent="0.45">
      <c r="A1518" s="225">
        <v>1517</v>
      </c>
      <c r="B1518" s="226" t="s">
        <v>5979</v>
      </c>
      <c r="C1518" s="226" t="s">
        <v>1672</v>
      </c>
      <c r="D1518" s="226" t="s">
        <v>1674</v>
      </c>
      <c r="E1518" s="226" t="s">
        <v>5003</v>
      </c>
      <c r="F1518" s="230">
        <v>43131</v>
      </c>
      <c r="G1518" s="261">
        <f ca="1">IF(ISBLANK(I1518),TODAY()-F1518,I1518-F1518)</f>
        <v>13</v>
      </c>
      <c r="H1518" s="233" t="s">
        <v>5296</v>
      </c>
      <c r="I1518" s="153">
        <v>43144</v>
      </c>
      <c r="J1518" s="221" t="s">
        <v>5113</v>
      </c>
    </row>
    <row r="1519" spans="1:11" x14ac:dyDescent="0.45">
      <c r="A1519" s="225">
        <v>1515</v>
      </c>
      <c r="B1519" s="331" t="s">
        <v>5975</v>
      </c>
      <c r="C1519" s="331" t="s">
        <v>2366</v>
      </c>
      <c r="D1519" s="331" t="s">
        <v>2368</v>
      </c>
      <c r="E1519" s="331" t="s">
        <v>65</v>
      </c>
      <c r="F1519" s="387">
        <v>43132</v>
      </c>
      <c r="G1519" s="261"/>
      <c r="H1519" s="363" t="s">
        <v>5967</v>
      </c>
      <c r="I1519" s="378">
        <v>43132</v>
      </c>
      <c r="J1519" s="257" t="s">
        <v>5051</v>
      </c>
      <c r="K1519" s="106" t="s">
        <v>5968</v>
      </c>
    </row>
    <row r="1520" spans="1:11" x14ac:dyDescent="0.45">
      <c r="A1520" s="225">
        <v>1518</v>
      </c>
      <c r="B1520" s="226" t="s">
        <v>1617</v>
      </c>
      <c r="C1520" s="226" t="s">
        <v>1764</v>
      </c>
      <c r="D1520" s="226" t="s">
        <v>1766</v>
      </c>
      <c r="E1520" s="226">
        <v>0</v>
      </c>
      <c r="F1520" s="230">
        <v>43139</v>
      </c>
      <c r="G1520" s="261">
        <f ca="1">IF(ISBLANK(I1520),TODAY()-F1520,I1520-F1520)</f>
        <v>12</v>
      </c>
      <c r="H1520" s="255" t="s">
        <v>5227</v>
      </c>
      <c r="I1520" s="256">
        <v>43151</v>
      </c>
      <c r="J1520" s="257" t="s">
        <v>5113</v>
      </c>
    </row>
    <row r="1521" spans="1:11" x14ac:dyDescent="0.45">
      <c r="A1521" s="225">
        <v>1519</v>
      </c>
      <c r="B1521" s="226" t="s">
        <v>1617</v>
      </c>
      <c r="C1521" s="226" t="s">
        <v>1699</v>
      </c>
      <c r="D1521" s="226" t="s">
        <v>1701</v>
      </c>
      <c r="E1521" s="226">
        <v>0</v>
      </c>
      <c r="F1521" s="230">
        <v>43139</v>
      </c>
      <c r="G1521" s="261">
        <f ca="1">IF(ISBLANK(I1521),TODAY()-F1521,I1521-F1521)</f>
        <v>12</v>
      </c>
      <c r="H1521" s="255" t="s">
        <v>5227</v>
      </c>
      <c r="I1521" s="256">
        <v>43151</v>
      </c>
      <c r="J1521" s="257" t="s">
        <v>5113</v>
      </c>
    </row>
    <row r="1522" spans="1:11" x14ac:dyDescent="0.45">
      <c r="A1522" s="225">
        <v>1520</v>
      </c>
      <c r="B1522" s="226" t="s">
        <v>1617</v>
      </c>
      <c r="C1522" s="226" t="s">
        <v>1696</v>
      </c>
      <c r="D1522" s="226" t="s">
        <v>1698</v>
      </c>
      <c r="E1522" s="226">
        <v>0</v>
      </c>
      <c r="F1522" s="230">
        <v>43139</v>
      </c>
      <c r="G1522" s="261">
        <f ca="1">IF(ISBLANK(I1522),TODAY()-F1522,I1522-F1522)</f>
        <v>12</v>
      </c>
      <c r="H1522" s="274" t="s">
        <v>5493</v>
      </c>
      <c r="I1522" s="256">
        <v>43151</v>
      </c>
      <c r="J1522" s="257" t="s">
        <v>5113</v>
      </c>
    </row>
    <row r="1523" spans="1:11" x14ac:dyDescent="0.45">
      <c r="A1523" s="225">
        <v>1521</v>
      </c>
      <c r="B1523" s="226" t="s">
        <v>1617</v>
      </c>
      <c r="C1523" s="226" t="s">
        <v>1693</v>
      </c>
      <c r="D1523" s="226" t="s">
        <v>1695</v>
      </c>
      <c r="E1523" s="226">
        <v>0</v>
      </c>
      <c r="F1523" s="230">
        <v>43139</v>
      </c>
      <c r="G1523" s="261">
        <f ca="1">IF(ISBLANK(I1523),TODAY()-F1523,I1523-F1523)</f>
        <v>12</v>
      </c>
      <c r="H1523" s="362" t="s">
        <v>5062</v>
      </c>
      <c r="I1523" s="256">
        <v>43151</v>
      </c>
      <c r="J1523" s="257" t="s">
        <v>5113</v>
      </c>
    </row>
    <row r="1524" spans="1:11" x14ac:dyDescent="0.45">
      <c r="A1524" s="225">
        <v>1522</v>
      </c>
      <c r="B1524" s="226" t="s">
        <v>1617</v>
      </c>
      <c r="C1524" s="226" t="s">
        <v>1663</v>
      </c>
      <c r="D1524" s="226" t="s">
        <v>1665</v>
      </c>
      <c r="E1524" s="226">
        <v>0</v>
      </c>
      <c r="F1524" s="230">
        <v>43139</v>
      </c>
      <c r="G1524" s="261">
        <f ca="1">IF(ISBLANK(I1524),TODAY()-F1524,I1524-F1524)</f>
        <v>21</v>
      </c>
      <c r="H1524" s="363" t="s">
        <v>5227</v>
      </c>
      <c r="I1524" s="256">
        <v>43160</v>
      </c>
      <c r="J1524" s="257" t="s">
        <v>5113</v>
      </c>
    </row>
    <row r="1525" spans="1:11" x14ac:dyDescent="0.45">
      <c r="A1525" s="225">
        <v>1523</v>
      </c>
      <c r="B1525" s="226" t="s">
        <v>1617</v>
      </c>
      <c r="C1525" s="226" t="s">
        <v>1614</v>
      </c>
      <c r="D1525" s="226" t="s">
        <v>1616</v>
      </c>
      <c r="E1525" s="226">
        <v>0</v>
      </c>
      <c r="F1525" s="230">
        <v>43139</v>
      </c>
      <c r="G1525" s="261">
        <f ca="1">IF(ISBLANK(I1525),TODAY()-F1525,I1525-F1525)</f>
        <v>21</v>
      </c>
      <c r="H1525" s="255" t="s">
        <v>5227</v>
      </c>
      <c r="I1525" s="256">
        <v>43160</v>
      </c>
      <c r="J1525" s="257" t="s">
        <v>5113</v>
      </c>
    </row>
    <row r="1526" spans="1:11" x14ac:dyDescent="0.45">
      <c r="A1526" s="225">
        <v>1524</v>
      </c>
      <c r="B1526" s="226" t="s">
        <v>2052</v>
      </c>
      <c r="C1526" s="226" t="s">
        <v>2049</v>
      </c>
      <c r="D1526" s="226" t="s">
        <v>5923</v>
      </c>
      <c r="E1526" s="226">
        <v>2</v>
      </c>
      <c r="F1526" s="230">
        <v>43139</v>
      </c>
      <c r="G1526" s="261">
        <f ca="1">IF(ISBLANK(I1526),TODAY()-F1526,I1526-F1526)</f>
        <v>70</v>
      </c>
      <c r="H1526" s="170" t="s">
        <v>5296</v>
      </c>
      <c r="I1526" s="127">
        <v>43209</v>
      </c>
      <c r="J1526" s="171" t="s">
        <v>5403</v>
      </c>
      <c r="K1526" s="106" t="s">
        <v>5404</v>
      </c>
    </row>
    <row r="1527" spans="1:11" x14ac:dyDescent="0.45">
      <c r="A1527" s="225">
        <v>1525</v>
      </c>
      <c r="B1527" s="226" t="s">
        <v>2052</v>
      </c>
      <c r="C1527" s="226" t="s">
        <v>2054</v>
      </c>
      <c r="D1527" s="226" t="s">
        <v>5980</v>
      </c>
      <c r="E1527" s="226">
        <v>1</v>
      </c>
      <c r="F1527" s="230">
        <v>43139</v>
      </c>
      <c r="G1527" s="261">
        <f ca="1">IF(ISBLANK(I1527),TODAY()-F1527,I1527-F1527)</f>
        <v>70</v>
      </c>
      <c r="H1527" s="179" t="s">
        <v>5296</v>
      </c>
      <c r="I1527" s="180">
        <v>43209</v>
      </c>
      <c r="J1527" s="171" t="s">
        <v>5403</v>
      </c>
      <c r="K1527" s="106" t="s">
        <v>5404</v>
      </c>
    </row>
    <row r="1528" spans="1:11" x14ac:dyDescent="0.45">
      <c r="A1528" s="225">
        <v>1526</v>
      </c>
      <c r="B1528" s="226" t="s">
        <v>5981</v>
      </c>
      <c r="C1528" s="226" t="s">
        <v>1753</v>
      </c>
      <c r="D1528" s="226" t="s">
        <v>1755</v>
      </c>
      <c r="E1528" s="226">
        <v>0</v>
      </c>
      <c r="F1528" s="230">
        <v>43139</v>
      </c>
      <c r="G1528" s="261">
        <f ca="1">IF(ISBLANK(I1528),TODAY()-F1528,I1528-F1528)</f>
        <v>11</v>
      </c>
      <c r="H1528" s="348" t="s">
        <v>5062</v>
      </c>
      <c r="I1528" s="283">
        <v>43150</v>
      </c>
      <c r="J1528" s="257" t="s">
        <v>5113</v>
      </c>
    </row>
    <row r="1529" spans="1:11" x14ac:dyDescent="0.45">
      <c r="A1529" s="225">
        <v>1527</v>
      </c>
      <c r="B1529" s="226" t="s">
        <v>5982</v>
      </c>
      <c r="C1529" s="226" t="s">
        <v>1672</v>
      </c>
      <c r="D1529" s="226" t="s">
        <v>1674</v>
      </c>
      <c r="E1529" s="226">
        <v>0</v>
      </c>
      <c r="F1529" s="230">
        <v>43145</v>
      </c>
      <c r="G1529" s="261">
        <f ca="1">IF(ISBLANK(I1529),TODAY()-F1529,I1529-F1529)</f>
        <v>6</v>
      </c>
      <c r="H1529" s="363" t="s">
        <v>5344</v>
      </c>
      <c r="I1529" s="378">
        <v>43151</v>
      </c>
      <c r="J1529" s="257" t="s">
        <v>5113</v>
      </c>
    </row>
    <row r="1530" spans="1:11" x14ac:dyDescent="0.45">
      <c r="A1530" s="240">
        <v>1540</v>
      </c>
      <c r="B1530" s="241" t="s">
        <v>1855</v>
      </c>
      <c r="C1530" s="241" t="s">
        <v>1852</v>
      </c>
      <c r="D1530" s="241" t="s">
        <v>1854</v>
      </c>
      <c r="E1530" s="241">
        <v>1</v>
      </c>
      <c r="F1530" s="245">
        <v>43145</v>
      </c>
      <c r="G1530" s="261">
        <f ca="1">IF(ISBLANK(I1530),TODAY()-F1530,I1530-F1530)</f>
        <v>15</v>
      </c>
      <c r="H1530" s="255" t="s">
        <v>5227</v>
      </c>
      <c r="I1530" s="256">
        <v>43160</v>
      </c>
      <c r="J1530" s="257" t="s">
        <v>5113</v>
      </c>
    </row>
    <row r="1531" spans="1:11" x14ac:dyDescent="0.45">
      <c r="A1531" s="225">
        <v>1528</v>
      </c>
      <c r="B1531" s="226" t="s">
        <v>1053</v>
      </c>
      <c r="C1531" s="226" t="s">
        <v>1057</v>
      </c>
      <c r="D1531" s="226" t="s">
        <v>1059</v>
      </c>
      <c r="E1531" s="226">
        <v>0</v>
      </c>
      <c r="F1531" s="230">
        <v>43150</v>
      </c>
      <c r="G1531" s="261">
        <f ca="1">IF(ISBLANK(I1531),TODAY()-F1531,I1531-F1531)</f>
        <v>10</v>
      </c>
      <c r="H1531" s="253" t="s">
        <v>64</v>
      </c>
      <c r="I1531" s="256">
        <v>43160</v>
      </c>
      <c r="J1531" s="257" t="s">
        <v>5113</v>
      </c>
    </row>
    <row r="1532" spans="1:11" x14ac:dyDescent="0.45">
      <c r="A1532" s="225">
        <v>1529</v>
      </c>
      <c r="B1532" s="226" t="s">
        <v>1053</v>
      </c>
      <c r="C1532" s="226" t="s">
        <v>1054</v>
      </c>
      <c r="D1532" s="226" t="s">
        <v>1056</v>
      </c>
      <c r="E1532" s="226">
        <v>0</v>
      </c>
      <c r="F1532" s="230">
        <v>43150</v>
      </c>
      <c r="G1532" s="261">
        <f ca="1">IF(ISBLANK(I1532),TODAY()-F1532,I1532-F1532)</f>
        <v>10</v>
      </c>
      <c r="H1532" s="253" t="s">
        <v>64</v>
      </c>
      <c r="I1532" s="256">
        <v>43160</v>
      </c>
      <c r="J1532" s="257" t="s">
        <v>5113</v>
      </c>
    </row>
    <row r="1533" spans="1:11" x14ac:dyDescent="0.45">
      <c r="A1533" s="225">
        <v>1530</v>
      </c>
      <c r="B1533" s="226" t="s">
        <v>1053</v>
      </c>
      <c r="C1533" s="226" t="s">
        <v>1068</v>
      </c>
      <c r="D1533" s="226" t="s">
        <v>1070</v>
      </c>
      <c r="E1533" s="226">
        <v>0</v>
      </c>
      <c r="F1533" s="230">
        <v>43150</v>
      </c>
      <c r="G1533" s="261">
        <f ca="1">IF(ISBLANK(I1533),TODAY()-F1533,I1533-F1533)</f>
        <v>10</v>
      </c>
      <c r="H1533" s="253" t="s">
        <v>64</v>
      </c>
      <c r="I1533" s="256">
        <v>43160</v>
      </c>
      <c r="J1533" s="257" t="s">
        <v>5113</v>
      </c>
    </row>
    <row r="1534" spans="1:11" x14ac:dyDescent="0.45">
      <c r="A1534" s="225">
        <v>1531</v>
      </c>
      <c r="B1534" s="226" t="s">
        <v>1053</v>
      </c>
      <c r="C1534" s="226" t="s">
        <v>1050</v>
      </c>
      <c r="D1534" s="226" t="s">
        <v>1052</v>
      </c>
      <c r="E1534" s="226">
        <v>0</v>
      </c>
      <c r="F1534" s="230">
        <v>43150</v>
      </c>
      <c r="G1534" s="261">
        <f ca="1">IF(ISBLANK(I1534),TODAY()-F1534,I1534-F1534)</f>
        <v>10</v>
      </c>
      <c r="H1534" s="253" t="s">
        <v>64</v>
      </c>
      <c r="I1534" s="256">
        <v>43160</v>
      </c>
      <c r="J1534" s="257" t="s">
        <v>5113</v>
      </c>
    </row>
    <row r="1535" spans="1:11" x14ac:dyDescent="0.45">
      <c r="A1535" s="225">
        <v>1532</v>
      </c>
      <c r="B1535" s="226" t="s">
        <v>1053</v>
      </c>
      <c r="C1535" s="226" t="s">
        <v>1061</v>
      </c>
      <c r="D1535" s="226" t="s">
        <v>1063</v>
      </c>
      <c r="E1535" s="226">
        <v>0</v>
      </c>
      <c r="F1535" s="230">
        <v>43150</v>
      </c>
      <c r="G1535" s="261">
        <f ca="1">IF(ISBLANK(I1535),TODAY()-F1535,I1535-F1535)</f>
        <v>10</v>
      </c>
      <c r="H1535" s="253" t="s">
        <v>64</v>
      </c>
      <c r="I1535" s="256">
        <v>43160</v>
      </c>
      <c r="J1535" s="257" t="s">
        <v>5113</v>
      </c>
    </row>
    <row r="1536" spans="1:11" x14ac:dyDescent="0.45">
      <c r="A1536" s="225">
        <v>1533</v>
      </c>
      <c r="B1536" s="226" t="s">
        <v>1053</v>
      </c>
      <c r="C1536" s="226" t="s">
        <v>1041</v>
      </c>
      <c r="D1536" s="226" t="s">
        <v>1043</v>
      </c>
      <c r="E1536" s="226">
        <v>0</v>
      </c>
      <c r="F1536" s="230">
        <v>43150</v>
      </c>
      <c r="G1536" s="261">
        <f ca="1">IF(ISBLANK(I1536),TODAY()-F1536,I1536-F1536)</f>
        <v>10</v>
      </c>
      <c r="H1536" s="253" t="s">
        <v>64</v>
      </c>
      <c r="I1536" s="256">
        <v>43160</v>
      </c>
      <c r="J1536" s="257" t="s">
        <v>5113</v>
      </c>
    </row>
    <row r="1537" spans="1:10" x14ac:dyDescent="0.45">
      <c r="A1537" s="225">
        <v>1534</v>
      </c>
      <c r="B1537" s="226" t="s">
        <v>1053</v>
      </c>
      <c r="C1537" s="226" t="s">
        <v>1047</v>
      </c>
      <c r="D1537" s="226" t="s">
        <v>1049</v>
      </c>
      <c r="E1537" s="226">
        <v>0</v>
      </c>
      <c r="F1537" s="230">
        <v>43150</v>
      </c>
      <c r="G1537" s="261">
        <f ca="1">IF(ISBLANK(I1537),TODAY()-F1537,I1537-F1537)</f>
        <v>10</v>
      </c>
      <c r="H1537" s="253" t="s">
        <v>64</v>
      </c>
      <c r="I1537" s="256">
        <v>43160</v>
      </c>
      <c r="J1537" s="257" t="s">
        <v>5113</v>
      </c>
    </row>
    <row r="1538" spans="1:10" x14ac:dyDescent="0.45">
      <c r="A1538" s="225">
        <v>1535</v>
      </c>
      <c r="B1538" s="226" t="s">
        <v>1053</v>
      </c>
      <c r="C1538" s="226" t="s">
        <v>1038</v>
      </c>
      <c r="D1538" s="226" t="s">
        <v>1040</v>
      </c>
      <c r="E1538" s="226">
        <v>0</v>
      </c>
      <c r="F1538" s="230">
        <v>43150</v>
      </c>
      <c r="G1538" s="261">
        <f ca="1">IF(ISBLANK(I1538),TODAY()-F1538,I1538-F1538)</f>
        <v>10</v>
      </c>
      <c r="H1538" s="253" t="s">
        <v>64</v>
      </c>
      <c r="I1538" s="256">
        <v>43160</v>
      </c>
      <c r="J1538" s="257" t="s">
        <v>5113</v>
      </c>
    </row>
    <row r="1539" spans="1:10" x14ac:dyDescent="0.45">
      <c r="A1539" s="225">
        <v>1536</v>
      </c>
      <c r="B1539" s="226" t="s">
        <v>1053</v>
      </c>
      <c r="C1539" s="226" t="s">
        <v>1035</v>
      </c>
      <c r="D1539" s="226" t="s">
        <v>1037</v>
      </c>
      <c r="E1539" s="226">
        <v>1</v>
      </c>
      <c r="F1539" s="230">
        <v>43150</v>
      </c>
      <c r="G1539" s="261">
        <f ca="1">IF(ISBLANK(I1539),TODAY()-F1539,I1539-F1539)</f>
        <v>10</v>
      </c>
      <c r="H1539" s="253" t="s">
        <v>64</v>
      </c>
      <c r="I1539" s="256">
        <v>43160</v>
      </c>
      <c r="J1539" s="257" t="s">
        <v>5113</v>
      </c>
    </row>
    <row r="1540" spans="1:10" x14ac:dyDescent="0.45">
      <c r="A1540" s="225">
        <v>1537</v>
      </c>
      <c r="B1540" s="226" t="s">
        <v>1053</v>
      </c>
      <c r="C1540" s="226" t="s">
        <v>1032</v>
      </c>
      <c r="D1540" s="226" t="s">
        <v>1034</v>
      </c>
      <c r="E1540" s="226">
        <v>1</v>
      </c>
      <c r="F1540" s="230">
        <v>43150</v>
      </c>
      <c r="G1540" s="261">
        <f ca="1">IF(ISBLANK(I1540),TODAY()-F1540,I1540-F1540)</f>
        <v>10</v>
      </c>
      <c r="H1540" s="253" t="s">
        <v>64</v>
      </c>
      <c r="I1540" s="256">
        <v>43160</v>
      </c>
      <c r="J1540" s="257" t="s">
        <v>5113</v>
      </c>
    </row>
    <row r="1541" spans="1:10" x14ac:dyDescent="0.45">
      <c r="A1541" s="225">
        <v>1538</v>
      </c>
      <c r="B1541" s="226" t="s">
        <v>1053</v>
      </c>
      <c r="C1541" s="226" t="s">
        <v>1044</v>
      </c>
      <c r="D1541" s="226" t="s">
        <v>1046</v>
      </c>
      <c r="E1541" s="226">
        <v>1</v>
      </c>
      <c r="F1541" s="230">
        <v>43150</v>
      </c>
      <c r="G1541" s="261">
        <f ca="1">IF(ISBLANK(I1541),TODAY()-F1541,I1541-F1541)</f>
        <v>10</v>
      </c>
      <c r="H1541" s="253" t="s">
        <v>64</v>
      </c>
      <c r="I1541" s="256">
        <v>43160</v>
      </c>
      <c r="J1541" s="257" t="s">
        <v>5113</v>
      </c>
    </row>
    <row r="1542" spans="1:10" x14ac:dyDescent="0.45">
      <c r="A1542" s="240">
        <v>1539</v>
      </c>
      <c r="B1542" s="241" t="s">
        <v>5983</v>
      </c>
      <c r="C1542" s="241" t="s">
        <v>1983</v>
      </c>
      <c r="D1542" s="241" t="s">
        <v>1985</v>
      </c>
      <c r="E1542" s="241">
        <v>1</v>
      </c>
      <c r="F1542" s="245">
        <v>43150</v>
      </c>
      <c r="G1542" s="261">
        <f ca="1">IF(ISBLANK(I1542),TODAY()-F1542,I1542-F1542)</f>
        <v>10</v>
      </c>
      <c r="H1542" s="280" t="s">
        <v>5984</v>
      </c>
      <c r="I1542" s="256">
        <v>43160</v>
      </c>
      <c r="J1542" s="257" t="s">
        <v>5113</v>
      </c>
    </row>
    <row r="1543" spans="1:10" x14ac:dyDescent="0.45">
      <c r="A1543" s="240">
        <v>1541</v>
      </c>
      <c r="B1543" s="241" t="s">
        <v>1247</v>
      </c>
      <c r="C1543" s="241" t="s">
        <v>1249</v>
      </c>
      <c r="D1543" s="241" t="s">
        <v>1251</v>
      </c>
      <c r="E1543" s="241">
        <v>1</v>
      </c>
      <c r="F1543" s="245">
        <v>43152</v>
      </c>
      <c r="G1543" s="261">
        <f ca="1">IF(ISBLANK(I1543),TODAY()-F1543,I1543-F1543)</f>
        <v>8</v>
      </c>
      <c r="H1543" s="363" t="s">
        <v>5227</v>
      </c>
      <c r="I1543" s="256">
        <v>43160</v>
      </c>
      <c r="J1543" s="257" t="s">
        <v>5113</v>
      </c>
    </row>
    <row r="1544" spans="1:10" x14ac:dyDescent="0.45">
      <c r="A1544" s="240">
        <v>1542</v>
      </c>
      <c r="B1544" s="241" t="s">
        <v>1247</v>
      </c>
      <c r="C1544" s="241" t="s">
        <v>1253</v>
      </c>
      <c r="D1544" s="241" t="s">
        <v>1255</v>
      </c>
      <c r="E1544" s="241">
        <v>1</v>
      </c>
      <c r="F1544" s="245">
        <v>43152</v>
      </c>
      <c r="G1544" s="261">
        <f ca="1">IF(ISBLANK(I1544),TODAY()-F1544,I1544-F1544)</f>
        <v>8</v>
      </c>
      <c r="H1544" s="255" t="s">
        <v>5227</v>
      </c>
      <c r="I1544" s="256">
        <v>43160</v>
      </c>
      <c r="J1544" s="257" t="s">
        <v>5113</v>
      </c>
    </row>
    <row r="1545" spans="1:10" x14ac:dyDescent="0.45">
      <c r="A1545" s="240">
        <v>1543</v>
      </c>
      <c r="B1545" s="241" t="s">
        <v>1247</v>
      </c>
      <c r="C1545" s="241" t="s">
        <v>1244</v>
      </c>
      <c r="D1545" s="241" t="s">
        <v>1246</v>
      </c>
      <c r="E1545" s="241">
        <v>1</v>
      </c>
      <c r="F1545" s="245">
        <v>43152</v>
      </c>
      <c r="G1545" s="261">
        <f ca="1">IF(ISBLANK(I1545),TODAY()-F1545,I1545-F1545)</f>
        <v>8</v>
      </c>
      <c r="H1545" s="255" t="s">
        <v>5227</v>
      </c>
      <c r="I1545" s="256">
        <v>43160</v>
      </c>
      <c r="J1545" s="257" t="s">
        <v>5113</v>
      </c>
    </row>
    <row r="1546" spans="1:10" x14ac:dyDescent="0.45">
      <c r="A1546" s="225">
        <v>1544</v>
      </c>
      <c r="B1546" s="226" t="s">
        <v>810</v>
      </c>
      <c r="C1546" s="226" t="s">
        <v>859</v>
      </c>
      <c r="D1546" s="226" t="s">
        <v>861</v>
      </c>
      <c r="E1546" s="226">
        <v>1</v>
      </c>
      <c r="F1546" s="245">
        <v>43158</v>
      </c>
      <c r="G1546" s="261">
        <f ca="1">IF(ISBLANK(I1546),TODAY()-F1546,I1546-F1546)</f>
        <v>2</v>
      </c>
      <c r="H1546" s="255" t="s">
        <v>5227</v>
      </c>
      <c r="I1546" s="256">
        <v>43160</v>
      </c>
      <c r="J1546" s="257" t="s">
        <v>5113</v>
      </c>
    </row>
    <row r="1547" spans="1:10" x14ac:dyDescent="0.45">
      <c r="A1547" s="225">
        <v>1545</v>
      </c>
      <c r="B1547" s="226" t="s">
        <v>810</v>
      </c>
      <c r="C1547" s="226" t="s">
        <v>855</v>
      </c>
      <c r="D1547" s="226" t="s">
        <v>857</v>
      </c>
      <c r="E1547" s="226">
        <v>1</v>
      </c>
      <c r="F1547" s="245">
        <v>43158</v>
      </c>
      <c r="G1547" s="261">
        <f ca="1">IF(ISBLANK(I1547),TODAY()-F1547,I1547-F1547)</f>
        <v>2</v>
      </c>
      <c r="H1547" s="255" t="s">
        <v>5227</v>
      </c>
      <c r="I1547" s="256">
        <v>43160</v>
      </c>
      <c r="J1547" s="257" t="s">
        <v>5113</v>
      </c>
    </row>
    <row r="1548" spans="1:10" x14ac:dyDescent="0.45">
      <c r="A1548" s="225">
        <v>1546</v>
      </c>
      <c r="B1548" s="226" t="s">
        <v>810</v>
      </c>
      <c r="C1548" s="226" t="s">
        <v>875</v>
      </c>
      <c r="D1548" s="226" t="s">
        <v>877</v>
      </c>
      <c r="E1548" s="226">
        <v>1</v>
      </c>
      <c r="F1548" s="245">
        <v>43158</v>
      </c>
      <c r="G1548" s="261">
        <f ca="1">IF(ISBLANK(I1548),TODAY()-F1548,I1548-F1548)</f>
        <v>2</v>
      </c>
      <c r="H1548" s="255" t="s">
        <v>5344</v>
      </c>
      <c r="I1548" s="256">
        <v>43160</v>
      </c>
      <c r="J1548" s="257" t="s">
        <v>5113</v>
      </c>
    </row>
    <row r="1549" spans="1:10" x14ac:dyDescent="0.45">
      <c r="A1549" s="225">
        <v>1547</v>
      </c>
      <c r="B1549" s="226" t="s">
        <v>810</v>
      </c>
      <c r="C1549" s="226" t="s">
        <v>882</v>
      </c>
      <c r="D1549" s="226" t="s">
        <v>884</v>
      </c>
      <c r="E1549" s="226">
        <v>1</v>
      </c>
      <c r="F1549" s="245">
        <v>43158</v>
      </c>
      <c r="G1549" s="261">
        <f ca="1">IF(ISBLANK(I1549),TODAY()-F1549,I1549-F1549)</f>
        <v>7</v>
      </c>
      <c r="H1549" s="255" t="s">
        <v>5984</v>
      </c>
      <c r="I1549" s="256">
        <v>43165</v>
      </c>
      <c r="J1549" s="257" t="s">
        <v>5113</v>
      </c>
    </row>
    <row r="1550" spans="1:10" x14ac:dyDescent="0.45">
      <c r="A1550" s="225">
        <v>1548</v>
      </c>
      <c r="B1550" s="226" t="s">
        <v>810</v>
      </c>
      <c r="C1550" s="226" t="s">
        <v>871</v>
      </c>
      <c r="D1550" s="226" t="s">
        <v>873</v>
      </c>
      <c r="E1550" s="226">
        <v>1</v>
      </c>
      <c r="F1550" s="245">
        <v>43158</v>
      </c>
      <c r="G1550" s="261">
        <f ca="1">IF(ISBLANK(I1550),TODAY()-F1550,I1550-F1550)</f>
        <v>2</v>
      </c>
      <c r="H1550" s="255" t="s">
        <v>5227</v>
      </c>
      <c r="I1550" s="256">
        <v>43160</v>
      </c>
      <c r="J1550" s="257" t="s">
        <v>5113</v>
      </c>
    </row>
    <row r="1551" spans="1:10" x14ac:dyDescent="0.45">
      <c r="A1551" s="225">
        <v>1549</v>
      </c>
      <c r="B1551" s="226" t="s">
        <v>810</v>
      </c>
      <c r="C1551" s="226" t="s">
        <v>807</v>
      </c>
      <c r="D1551" s="226" t="s">
        <v>809</v>
      </c>
      <c r="E1551" s="226">
        <v>1</v>
      </c>
      <c r="F1551" s="245">
        <v>43158</v>
      </c>
      <c r="G1551" s="261">
        <f ca="1">IF(ISBLANK(I1551),TODAY()-F1551,I1551-F1551)</f>
        <v>7</v>
      </c>
      <c r="H1551" s="255" t="s">
        <v>5227</v>
      </c>
      <c r="I1551" s="256">
        <v>43165</v>
      </c>
      <c r="J1551" s="257" t="s">
        <v>5113</v>
      </c>
    </row>
    <row r="1552" spans="1:10" x14ac:dyDescent="0.45">
      <c r="A1552" s="225">
        <v>1550</v>
      </c>
      <c r="B1552" s="226" t="s">
        <v>810</v>
      </c>
      <c r="C1552" s="226" t="s">
        <v>822</v>
      </c>
      <c r="D1552" s="226" t="s">
        <v>824</v>
      </c>
      <c r="E1552" s="226">
        <v>1</v>
      </c>
      <c r="F1552" s="245">
        <v>43158</v>
      </c>
      <c r="G1552" s="261">
        <f ca="1">IF(ISBLANK(I1552),TODAY()-F1552,I1552-F1552)</f>
        <v>2</v>
      </c>
      <c r="H1552" s="255" t="s">
        <v>5227</v>
      </c>
      <c r="I1552" s="256">
        <v>43160</v>
      </c>
      <c r="J1552" s="257" t="s">
        <v>5113</v>
      </c>
    </row>
    <row r="1553" spans="1:10" x14ac:dyDescent="0.45">
      <c r="A1553" s="225">
        <v>1551</v>
      </c>
      <c r="B1553" s="226" t="s">
        <v>5985</v>
      </c>
      <c r="C1553" s="226" t="s">
        <v>5986</v>
      </c>
      <c r="D1553" s="226" t="s">
        <v>5987</v>
      </c>
      <c r="E1553" s="226"/>
      <c r="F1553" s="245">
        <v>43158</v>
      </c>
      <c r="G1553" s="261">
        <f ca="1">IF(ISBLANK(I1553),TODAY()-F1553,I1553-F1553)</f>
        <v>13</v>
      </c>
      <c r="H1553" s="255" t="s">
        <v>5344</v>
      </c>
      <c r="I1553" s="256">
        <v>43171</v>
      </c>
      <c r="J1553" s="257" t="s">
        <v>5113</v>
      </c>
    </row>
    <row r="1554" spans="1:10" x14ac:dyDescent="0.45">
      <c r="A1554" s="225">
        <v>1512</v>
      </c>
      <c r="B1554" s="226" t="s">
        <v>5971</v>
      </c>
      <c r="C1554" s="226" t="s">
        <v>5972</v>
      </c>
      <c r="D1554" s="226" t="s">
        <v>696</v>
      </c>
      <c r="E1554" s="226" t="s">
        <v>65</v>
      </c>
      <c r="F1554" s="230">
        <v>43160</v>
      </c>
      <c r="G1554" s="261">
        <f ca="1">IF(ISBLANK(I1554),TODAY()-F1554,I1554-F1554)</f>
        <v>12</v>
      </c>
      <c r="H1554" s="247" t="s">
        <v>64</v>
      </c>
      <c r="I1554" s="228">
        <v>43172</v>
      </c>
      <c r="J1554" s="257" t="s">
        <v>5160</v>
      </c>
    </row>
    <row r="1555" spans="1:10" x14ac:dyDescent="0.45">
      <c r="A1555" s="225">
        <v>1552</v>
      </c>
      <c r="B1555" s="226" t="s">
        <v>5988</v>
      </c>
      <c r="C1555" s="226" t="s">
        <v>2369</v>
      </c>
      <c r="D1555" s="226" t="s">
        <v>5989</v>
      </c>
      <c r="E1555" s="226" t="s">
        <v>65</v>
      </c>
      <c r="F1555" s="230">
        <v>43160</v>
      </c>
      <c r="G1555" s="261">
        <f ca="1">IF(ISBLANK(I1555),TODAY()-F1555,I1555-F1555)</f>
        <v>12</v>
      </c>
      <c r="H1555" s="247" t="s">
        <v>5493</v>
      </c>
      <c r="I1555" s="228">
        <v>43172</v>
      </c>
      <c r="J1555" s="257" t="s">
        <v>5160</v>
      </c>
    </row>
    <row r="1556" spans="1:10" x14ac:dyDescent="0.45">
      <c r="A1556" s="225">
        <v>1553</v>
      </c>
      <c r="B1556" s="226" t="s">
        <v>5990</v>
      </c>
      <c r="C1556" s="226" t="s">
        <v>2366</v>
      </c>
      <c r="D1556" s="226" t="s">
        <v>5991</v>
      </c>
      <c r="E1556" s="226" t="s">
        <v>65</v>
      </c>
      <c r="F1556" s="230">
        <v>43160</v>
      </c>
      <c r="G1556" s="261">
        <f ca="1">IF(ISBLANK(I1556),TODAY()-F1556,I1556-F1556)</f>
        <v>12</v>
      </c>
      <c r="H1556" s="247" t="s">
        <v>5493</v>
      </c>
      <c r="I1556" s="228">
        <v>43172</v>
      </c>
      <c r="J1556" s="257" t="s">
        <v>5160</v>
      </c>
    </row>
    <row r="1557" spans="1:10" x14ac:dyDescent="0.45">
      <c r="A1557" s="225">
        <v>1554</v>
      </c>
      <c r="B1557" s="226" t="s">
        <v>5992</v>
      </c>
      <c r="C1557" s="226" t="s">
        <v>2372</v>
      </c>
      <c r="D1557" s="226" t="s">
        <v>2374</v>
      </c>
      <c r="E1557" s="226" t="s">
        <v>65</v>
      </c>
      <c r="F1557" s="230">
        <v>43160</v>
      </c>
      <c r="G1557" s="261">
        <f ca="1">IF(ISBLANK(I1557),TODAY()-F1557,I1557-F1557)</f>
        <v>12</v>
      </c>
      <c r="H1557" s="247" t="s">
        <v>5493</v>
      </c>
      <c r="I1557" s="228">
        <v>43172</v>
      </c>
      <c r="J1557" s="257" t="s">
        <v>5160</v>
      </c>
    </row>
    <row r="1558" spans="1:10" x14ac:dyDescent="0.45">
      <c r="A1558" s="225">
        <v>1555</v>
      </c>
      <c r="B1558" s="226" t="s">
        <v>5993</v>
      </c>
      <c r="C1558" s="226" t="s">
        <v>2384</v>
      </c>
      <c r="D1558" s="226" t="s">
        <v>2386</v>
      </c>
      <c r="E1558" s="226" t="s">
        <v>65</v>
      </c>
      <c r="F1558" s="230">
        <v>43160</v>
      </c>
      <c r="G1558" s="261">
        <f ca="1">IF(ISBLANK(I1558),TODAY()-F1558,I1558-F1558)</f>
        <v>12</v>
      </c>
      <c r="H1558" s="247" t="s">
        <v>5493</v>
      </c>
      <c r="I1558" s="228">
        <v>43172</v>
      </c>
      <c r="J1558" s="257" t="s">
        <v>5160</v>
      </c>
    </row>
    <row r="1559" spans="1:10" x14ac:dyDescent="0.45">
      <c r="A1559" s="225">
        <v>1556</v>
      </c>
      <c r="B1559" s="226" t="s">
        <v>5994</v>
      </c>
      <c r="C1559" s="226" t="s">
        <v>2381</v>
      </c>
      <c r="D1559" s="226" t="s">
        <v>2383</v>
      </c>
      <c r="E1559" s="226" t="s">
        <v>65</v>
      </c>
      <c r="F1559" s="230">
        <v>43160</v>
      </c>
      <c r="G1559" s="261">
        <f ca="1">IF(ISBLANK(I1559),TODAY()-F1559,I1559-F1559)</f>
        <v>12</v>
      </c>
      <c r="H1559" s="247" t="s">
        <v>5493</v>
      </c>
      <c r="I1559" s="228">
        <v>43172</v>
      </c>
      <c r="J1559" s="257" t="s">
        <v>5160</v>
      </c>
    </row>
    <row r="1560" spans="1:10" x14ac:dyDescent="0.45">
      <c r="A1560" s="225">
        <v>1557</v>
      </c>
      <c r="B1560" s="226" t="s">
        <v>5995</v>
      </c>
      <c r="C1560" s="226" t="s">
        <v>2375</v>
      </c>
      <c r="D1560" s="226" t="s">
        <v>2377</v>
      </c>
      <c r="E1560" s="226" t="s">
        <v>65</v>
      </c>
      <c r="F1560" s="230">
        <v>43160</v>
      </c>
      <c r="G1560" s="261">
        <f ca="1">IF(ISBLANK(I1560),TODAY()-F1560,I1560-F1560)</f>
        <v>12</v>
      </c>
      <c r="H1560" s="247" t="s">
        <v>5493</v>
      </c>
      <c r="I1560" s="228">
        <v>43172</v>
      </c>
      <c r="J1560" s="257" t="s">
        <v>5160</v>
      </c>
    </row>
    <row r="1561" spans="1:10" x14ac:dyDescent="0.45">
      <c r="A1561" s="225">
        <v>1558</v>
      </c>
      <c r="B1561" s="226" t="s">
        <v>5996</v>
      </c>
      <c r="C1561" s="226" t="s">
        <v>2378</v>
      </c>
      <c r="D1561" s="226" t="s">
        <v>2380</v>
      </c>
      <c r="E1561" s="226" t="s">
        <v>65</v>
      </c>
      <c r="F1561" s="230">
        <v>43160</v>
      </c>
      <c r="G1561" s="261">
        <f ca="1">IF(ISBLANK(I1561),TODAY()-F1561,I1561-F1561)</f>
        <v>12</v>
      </c>
      <c r="H1561" s="247" t="s">
        <v>5493</v>
      </c>
      <c r="I1561" s="228">
        <v>43172</v>
      </c>
      <c r="J1561" s="257" t="s">
        <v>5160</v>
      </c>
    </row>
    <row r="1562" spans="1:10" x14ac:dyDescent="0.45">
      <c r="A1562" s="225">
        <v>1559</v>
      </c>
      <c r="B1562" s="226" t="s">
        <v>5997</v>
      </c>
      <c r="C1562" s="226" t="s">
        <v>2390</v>
      </c>
      <c r="D1562" s="226" t="s">
        <v>2392</v>
      </c>
      <c r="E1562" s="226" t="s">
        <v>65</v>
      </c>
      <c r="F1562" s="230">
        <v>43160</v>
      </c>
      <c r="G1562" s="261">
        <f ca="1">IF(ISBLANK(I1562),TODAY()-F1562,I1562-F1562)</f>
        <v>12</v>
      </c>
      <c r="H1562" s="247" t="s">
        <v>5493</v>
      </c>
      <c r="I1562" s="228">
        <v>43172</v>
      </c>
      <c r="J1562" s="257" t="s">
        <v>5160</v>
      </c>
    </row>
    <row r="1563" spans="1:10" x14ac:dyDescent="0.45">
      <c r="A1563" s="225">
        <v>1560</v>
      </c>
      <c r="B1563" s="226" t="s">
        <v>5998</v>
      </c>
      <c r="C1563" s="226" t="s">
        <v>2393</v>
      </c>
      <c r="D1563" s="226" t="s">
        <v>2395</v>
      </c>
      <c r="E1563" s="226" t="s">
        <v>65</v>
      </c>
      <c r="F1563" s="230">
        <v>43160</v>
      </c>
      <c r="G1563" s="261">
        <f ca="1">IF(ISBLANK(I1563),TODAY()-F1563,I1563-F1563)</f>
        <v>12</v>
      </c>
      <c r="H1563" s="247" t="s">
        <v>5493</v>
      </c>
      <c r="I1563" s="228">
        <v>43172</v>
      </c>
      <c r="J1563" s="257" t="s">
        <v>5160</v>
      </c>
    </row>
    <row r="1564" spans="1:10" x14ac:dyDescent="0.45">
      <c r="A1564" s="225">
        <v>1561</v>
      </c>
      <c r="B1564" s="226" t="s">
        <v>5999</v>
      </c>
      <c r="C1564" s="226" t="s">
        <v>2363</v>
      </c>
      <c r="D1564" s="226" t="s">
        <v>2365</v>
      </c>
      <c r="E1564" s="226" t="s">
        <v>65</v>
      </c>
      <c r="F1564" s="230">
        <v>43160</v>
      </c>
      <c r="G1564" s="261">
        <f ca="1">IF(ISBLANK(I1564),TODAY()-F1564,I1564-F1564)</f>
        <v>12</v>
      </c>
      <c r="H1564" s="247" t="s">
        <v>5493</v>
      </c>
      <c r="I1564" s="228">
        <v>43172</v>
      </c>
      <c r="J1564" s="257" t="s">
        <v>5160</v>
      </c>
    </row>
    <row r="1565" spans="1:10" x14ac:dyDescent="0.45">
      <c r="A1565" s="225">
        <v>1562</v>
      </c>
      <c r="B1565" s="226" t="s">
        <v>6000</v>
      </c>
      <c r="C1565" s="226" t="s">
        <v>2399</v>
      </c>
      <c r="D1565" s="226" t="s">
        <v>2401</v>
      </c>
      <c r="E1565" s="226" t="s">
        <v>65</v>
      </c>
      <c r="F1565" s="230">
        <v>43160</v>
      </c>
      <c r="G1565" s="261">
        <f ca="1">IF(ISBLANK(I1565),TODAY()-F1565,I1565-F1565)</f>
        <v>12</v>
      </c>
      <c r="H1565" s="247" t="s">
        <v>5493</v>
      </c>
      <c r="I1565" s="228">
        <v>43172</v>
      </c>
      <c r="J1565" s="257" t="s">
        <v>5160</v>
      </c>
    </row>
    <row r="1566" spans="1:10" x14ac:dyDescent="0.45">
      <c r="A1566" s="225">
        <v>1563</v>
      </c>
      <c r="B1566" s="226" t="s">
        <v>6001</v>
      </c>
      <c r="C1566" s="226" t="s">
        <v>2402</v>
      </c>
      <c r="D1566" s="226" t="s">
        <v>2404</v>
      </c>
      <c r="E1566" s="226" t="s">
        <v>65</v>
      </c>
      <c r="F1566" s="230">
        <v>43160</v>
      </c>
      <c r="G1566" s="261">
        <f ca="1">IF(ISBLANK(I1566),TODAY()-F1566,I1566-F1566)</f>
        <v>12</v>
      </c>
      <c r="H1566" s="247" t="s">
        <v>5493</v>
      </c>
      <c r="I1566" s="228">
        <v>43172</v>
      </c>
      <c r="J1566" s="257" t="s">
        <v>5160</v>
      </c>
    </row>
    <row r="1567" spans="1:10" x14ac:dyDescent="0.45">
      <c r="A1567" s="225">
        <v>1564</v>
      </c>
      <c r="B1567" s="226" t="s">
        <v>6002</v>
      </c>
      <c r="C1567" s="226" t="s">
        <v>2387</v>
      </c>
      <c r="D1567" s="226" t="s">
        <v>2389</v>
      </c>
      <c r="E1567" s="226" t="s">
        <v>65</v>
      </c>
      <c r="F1567" s="230">
        <v>43160</v>
      </c>
      <c r="G1567" s="261">
        <f ca="1">IF(ISBLANK(I1567),TODAY()-F1567,I1567-F1567)</f>
        <v>12</v>
      </c>
      <c r="H1567" s="247" t="s">
        <v>5493</v>
      </c>
      <c r="I1567" s="228">
        <v>43172</v>
      </c>
      <c r="J1567" s="257" t="s">
        <v>5160</v>
      </c>
    </row>
    <row r="1568" spans="1:10" x14ac:dyDescent="0.45">
      <c r="A1568" s="259">
        <v>1565</v>
      </c>
      <c r="B1568" s="260" t="s">
        <v>6003</v>
      </c>
      <c r="C1568" s="260" t="s">
        <v>2405</v>
      </c>
      <c r="D1568" s="260" t="s">
        <v>2407</v>
      </c>
      <c r="E1568" s="260" t="s">
        <v>5002</v>
      </c>
      <c r="F1568" s="230">
        <v>43160</v>
      </c>
      <c r="G1568" s="261">
        <f ca="1">IF(ISBLANK(I1568),TODAY()-F1568,I1568-F1568)</f>
        <v>12</v>
      </c>
      <c r="H1568" s="247" t="s">
        <v>5493</v>
      </c>
      <c r="I1568" s="228">
        <v>43172</v>
      </c>
      <c r="J1568" s="257" t="s">
        <v>5160</v>
      </c>
    </row>
    <row r="1569" spans="1:10" x14ac:dyDescent="0.45">
      <c r="A1569" s="225">
        <v>1566</v>
      </c>
      <c r="B1569" s="331" t="s">
        <v>6004</v>
      </c>
      <c r="C1569" s="331" t="s">
        <v>6005</v>
      </c>
      <c r="D1569" s="331" t="s">
        <v>5978</v>
      </c>
      <c r="E1569" s="331"/>
      <c r="F1569" s="230">
        <v>43160</v>
      </c>
      <c r="G1569" s="261">
        <f ca="1">IF(ISBLANK(I1569),TODAY()-F1569,I1569-F1569)</f>
        <v>12</v>
      </c>
      <c r="H1569" s="247" t="s">
        <v>64</v>
      </c>
      <c r="I1569" s="228">
        <v>43172</v>
      </c>
      <c r="J1569" s="257" t="s">
        <v>5160</v>
      </c>
    </row>
    <row r="1570" spans="1:10" x14ac:dyDescent="0.45">
      <c r="A1570" s="259">
        <v>1567</v>
      </c>
      <c r="B1570" s="260" t="s">
        <v>6006</v>
      </c>
      <c r="C1570" s="260" t="s">
        <v>6007</v>
      </c>
      <c r="D1570" s="260" t="s">
        <v>6008</v>
      </c>
      <c r="E1570" s="260"/>
      <c r="F1570" s="281">
        <v>43160</v>
      </c>
      <c r="G1570" s="261">
        <f ca="1">IF(ISBLANK(I1570),TODAY()-F1570,I1570-F1570)</f>
        <v>18</v>
      </c>
      <c r="H1570" s="282" t="s">
        <v>5062</v>
      </c>
      <c r="I1570" s="283">
        <v>43178</v>
      </c>
      <c r="J1570" s="257" t="s">
        <v>5160</v>
      </c>
    </row>
    <row r="1571" spans="1:10" x14ac:dyDescent="0.45">
      <c r="A1571" s="332">
        <v>1568</v>
      </c>
      <c r="B1571" s="332" t="s">
        <v>6009</v>
      </c>
      <c r="C1571" s="332" t="s">
        <v>6010</v>
      </c>
      <c r="D1571" s="332" t="s">
        <v>1783</v>
      </c>
      <c r="E1571" s="332" t="s">
        <v>65</v>
      </c>
      <c r="F1571" s="340">
        <v>43165</v>
      </c>
      <c r="G1571" s="261">
        <f ca="1">IF(ISBLANK(I1571),TODAY()-F1571,I1571-F1571)</f>
        <v>13</v>
      </c>
      <c r="H1571" s="284" t="s">
        <v>5003</v>
      </c>
      <c r="I1571" s="283">
        <v>43178</v>
      </c>
      <c r="J1571" s="257" t="s">
        <v>5160</v>
      </c>
    </row>
    <row r="1572" spans="1:10" x14ac:dyDescent="0.45">
      <c r="A1572" s="241">
        <v>1569</v>
      </c>
      <c r="B1572" s="241" t="s">
        <v>6009</v>
      </c>
      <c r="C1572" s="241" t="s">
        <v>6011</v>
      </c>
      <c r="D1572" s="241" t="s">
        <v>1755</v>
      </c>
      <c r="E1572" s="241" t="s">
        <v>164</v>
      </c>
      <c r="F1572" s="245">
        <v>43165</v>
      </c>
      <c r="G1572" s="261">
        <f ca="1">IF(ISBLANK(I1572),TODAY()-F1572,I1572-F1572)</f>
        <v>6</v>
      </c>
      <c r="H1572" s="170" t="s">
        <v>5003</v>
      </c>
      <c r="I1572" s="209">
        <v>43171</v>
      </c>
      <c r="J1572" s="257" t="s">
        <v>5113</v>
      </c>
    </row>
    <row r="1573" spans="1:10" x14ac:dyDescent="0.45">
      <c r="A1573" s="226">
        <v>1570</v>
      </c>
      <c r="B1573" s="226" t="s">
        <v>943</v>
      </c>
      <c r="C1573" s="226" t="s">
        <v>1004</v>
      </c>
      <c r="D1573" s="226" t="s">
        <v>1006</v>
      </c>
      <c r="E1573" s="226">
        <v>1</v>
      </c>
      <c r="F1573" s="230">
        <v>43171</v>
      </c>
      <c r="G1573" s="261">
        <f ca="1">IF(ISBLANK(I1573),TODAY()-F1573,I1573-F1573)</f>
        <v>7</v>
      </c>
      <c r="H1573" s="284" t="s">
        <v>5227</v>
      </c>
      <c r="I1573" s="256">
        <v>43178</v>
      </c>
      <c r="J1573" s="257" t="s">
        <v>5113</v>
      </c>
    </row>
    <row r="1574" spans="1:10" x14ac:dyDescent="0.45">
      <c r="A1574" s="226">
        <v>1571</v>
      </c>
      <c r="B1574" s="226" t="s">
        <v>943</v>
      </c>
      <c r="C1574" s="226" t="s">
        <v>1016</v>
      </c>
      <c r="D1574" s="226" t="s">
        <v>1018</v>
      </c>
      <c r="E1574" s="226">
        <v>1</v>
      </c>
      <c r="F1574" s="230">
        <v>43171</v>
      </c>
      <c r="G1574" s="261">
        <f ca="1">IF(ISBLANK(I1574),TODAY()-F1574,I1574-F1574)</f>
        <v>7</v>
      </c>
      <c r="H1574" s="284" t="s">
        <v>5344</v>
      </c>
      <c r="I1574" s="256">
        <v>43178</v>
      </c>
      <c r="J1574" s="257" t="s">
        <v>5113</v>
      </c>
    </row>
    <row r="1575" spans="1:10" x14ac:dyDescent="0.45">
      <c r="A1575" s="226">
        <v>1572</v>
      </c>
      <c r="B1575" s="226" t="s">
        <v>943</v>
      </c>
      <c r="C1575" s="226" t="s">
        <v>1008</v>
      </c>
      <c r="D1575" s="226" t="s">
        <v>1010</v>
      </c>
      <c r="E1575" s="226">
        <v>1</v>
      </c>
      <c r="F1575" s="230">
        <v>43171</v>
      </c>
      <c r="G1575" s="261">
        <f ca="1">IF(ISBLANK(I1575),TODAY()-F1575,I1575-F1575)</f>
        <v>7</v>
      </c>
      <c r="H1575" s="284" t="s">
        <v>5227</v>
      </c>
      <c r="I1575" s="256">
        <v>43178</v>
      </c>
      <c r="J1575" s="257" t="s">
        <v>5113</v>
      </c>
    </row>
    <row r="1576" spans="1:10" x14ac:dyDescent="0.45">
      <c r="A1576" s="226">
        <v>1573</v>
      </c>
      <c r="B1576" s="226" t="s">
        <v>943</v>
      </c>
      <c r="C1576" s="226" t="s">
        <v>1012</v>
      </c>
      <c r="D1576" s="226" t="s">
        <v>1014</v>
      </c>
      <c r="E1576" s="226">
        <v>1</v>
      </c>
      <c r="F1576" s="230">
        <v>43171</v>
      </c>
      <c r="G1576" s="261">
        <f ca="1">IF(ISBLANK(I1576),TODAY()-F1576,I1576-F1576)</f>
        <v>7</v>
      </c>
      <c r="H1576" s="284" t="s">
        <v>5227</v>
      </c>
      <c r="I1576" s="256">
        <v>43178</v>
      </c>
      <c r="J1576" s="257" t="s">
        <v>5113</v>
      </c>
    </row>
    <row r="1577" spans="1:10" x14ac:dyDescent="0.45">
      <c r="A1577" s="226">
        <v>1574</v>
      </c>
      <c r="B1577" s="226" t="s">
        <v>943</v>
      </c>
      <c r="C1577" s="226" t="s">
        <v>1019</v>
      </c>
      <c r="D1577" s="226" t="s">
        <v>1021</v>
      </c>
      <c r="E1577" s="226">
        <v>1</v>
      </c>
      <c r="F1577" s="230">
        <v>43171</v>
      </c>
      <c r="G1577" s="261">
        <f ca="1">IF(ISBLANK(I1577),TODAY()-F1577,I1577-F1577)</f>
        <v>7</v>
      </c>
      <c r="H1577" s="284" t="s">
        <v>5227</v>
      </c>
      <c r="I1577" s="256">
        <v>43178</v>
      </c>
      <c r="J1577" s="257" t="s">
        <v>5113</v>
      </c>
    </row>
    <row r="1578" spans="1:10" x14ac:dyDescent="0.45">
      <c r="A1578" s="226">
        <v>1575</v>
      </c>
      <c r="B1578" s="226" t="s">
        <v>943</v>
      </c>
      <c r="C1578" s="226" t="s">
        <v>959</v>
      </c>
      <c r="D1578" s="226" t="s">
        <v>961</v>
      </c>
      <c r="E1578" s="226">
        <v>1</v>
      </c>
      <c r="F1578" s="230">
        <v>43171</v>
      </c>
      <c r="G1578" s="261">
        <f ca="1">IF(ISBLANK(I1578),TODAY()-F1578,I1578-F1578)</f>
        <v>7</v>
      </c>
      <c r="H1578" s="284" t="s">
        <v>5344</v>
      </c>
      <c r="I1578" s="256">
        <v>43178</v>
      </c>
      <c r="J1578" s="257" t="s">
        <v>5113</v>
      </c>
    </row>
    <row r="1579" spans="1:10" x14ac:dyDescent="0.45">
      <c r="A1579" s="226">
        <v>1576</v>
      </c>
      <c r="B1579" s="226" t="s">
        <v>943</v>
      </c>
      <c r="C1579" s="226" t="s">
        <v>940</v>
      </c>
      <c r="D1579" s="226" t="s">
        <v>942</v>
      </c>
      <c r="E1579" s="226">
        <v>1</v>
      </c>
      <c r="F1579" s="230">
        <v>43171</v>
      </c>
      <c r="G1579" s="261">
        <f ca="1">IF(ISBLANK(I1579),TODAY()-F1579,I1579-F1579)</f>
        <v>7</v>
      </c>
      <c r="H1579" s="284" t="s">
        <v>5227</v>
      </c>
      <c r="I1579" s="256">
        <v>43178</v>
      </c>
      <c r="J1579" s="257" t="s">
        <v>5113</v>
      </c>
    </row>
    <row r="1580" spans="1:10" x14ac:dyDescent="0.45">
      <c r="A1580" s="226">
        <v>1577</v>
      </c>
      <c r="B1580" s="226" t="s">
        <v>943</v>
      </c>
      <c r="C1580" s="226" t="s">
        <v>976</v>
      </c>
      <c r="D1580" s="226" t="s">
        <v>978</v>
      </c>
      <c r="E1580" s="226">
        <v>1</v>
      </c>
      <c r="F1580" s="230">
        <v>43171</v>
      </c>
      <c r="G1580" s="261">
        <f ca="1">IF(ISBLANK(I1580),TODAY()-F1580,I1580-F1580)</f>
        <v>7</v>
      </c>
      <c r="H1580" s="284" t="s">
        <v>5227</v>
      </c>
      <c r="I1580" s="256">
        <v>43178</v>
      </c>
      <c r="J1580" s="257" t="s">
        <v>5113</v>
      </c>
    </row>
    <row r="1581" spans="1:10" x14ac:dyDescent="0.45">
      <c r="A1581" s="226">
        <v>1578</v>
      </c>
      <c r="B1581" s="226" t="s">
        <v>943</v>
      </c>
      <c r="C1581" s="226" t="s">
        <v>946</v>
      </c>
      <c r="D1581" s="226" t="s">
        <v>948</v>
      </c>
      <c r="E1581" s="226">
        <v>1</v>
      </c>
      <c r="F1581" s="230">
        <v>43171</v>
      </c>
      <c r="G1581" s="261">
        <f ca="1">IF(ISBLANK(I1581),TODAY()-F1581,I1581-F1581)</f>
        <v>7</v>
      </c>
      <c r="H1581" s="284" t="s">
        <v>5227</v>
      </c>
      <c r="I1581" s="256">
        <v>43178</v>
      </c>
      <c r="J1581" s="257" t="s">
        <v>5113</v>
      </c>
    </row>
    <row r="1582" spans="1:10" x14ac:dyDescent="0.45">
      <c r="A1582" s="241">
        <v>1579</v>
      </c>
      <c r="B1582" s="241" t="s">
        <v>6012</v>
      </c>
      <c r="C1582" s="241" t="s">
        <v>1983</v>
      </c>
      <c r="D1582" s="241" t="s">
        <v>1985</v>
      </c>
      <c r="E1582" s="241">
        <v>2</v>
      </c>
      <c r="F1582" s="245">
        <v>43171</v>
      </c>
      <c r="G1582" s="261">
        <f ca="1">IF(ISBLANK(I1582),TODAY()-F1582,I1582-F1582)</f>
        <v>7</v>
      </c>
      <c r="H1582" s="388" t="s">
        <v>5493</v>
      </c>
      <c r="I1582" s="228">
        <v>43178</v>
      </c>
      <c r="J1582" s="257" t="s">
        <v>5113</v>
      </c>
    </row>
    <row r="1583" spans="1:10" x14ac:dyDescent="0.45">
      <c r="A1583" s="226">
        <v>1580</v>
      </c>
      <c r="B1583" s="226" t="s">
        <v>6013</v>
      </c>
      <c r="C1583" s="226" t="s">
        <v>6014</v>
      </c>
      <c r="D1583" s="226" t="s">
        <v>6015</v>
      </c>
      <c r="E1583" s="226"/>
      <c r="F1583" s="230">
        <v>43174</v>
      </c>
      <c r="G1583" s="261">
        <f ca="1">IF(ISBLANK(I1583),TODAY()-F1583,I1583-F1583)</f>
        <v>6</v>
      </c>
      <c r="H1583" s="363" t="s">
        <v>5003</v>
      </c>
      <c r="I1583" s="256">
        <v>43180</v>
      </c>
      <c r="J1583" s="257" t="s">
        <v>5113</v>
      </c>
    </row>
    <row r="1584" spans="1:10" x14ac:dyDescent="0.45">
      <c r="A1584" s="226">
        <v>1581</v>
      </c>
      <c r="B1584" s="226" t="s">
        <v>6016</v>
      </c>
      <c r="C1584" s="226" t="s">
        <v>6017</v>
      </c>
      <c r="D1584" s="226" t="s">
        <v>1763</v>
      </c>
      <c r="E1584" s="226" t="s">
        <v>160</v>
      </c>
      <c r="F1584" s="230">
        <v>43178</v>
      </c>
      <c r="G1584" s="276">
        <f ca="1">IF(ISBLANK(I1584),TODAY()-F1584,I1584-F1584)</f>
        <v>8</v>
      </c>
      <c r="H1584" s="255" t="s">
        <v>5062</v>
      </c>
      <c r="I1584" s="256">
        <v>43186</v>
      </c>
      <c r="J1584" s="257" t="s">
        <v>5113</v>
      </c>
    </row>
    <row r="1585" spans="1:10" x14ac:dyDescent="0.45">
      <c r="A1585" s="226">
        <v>1582</v>
      </c>
      <c r="B1585" s="226" t="s">
        <v>1759</v>
      </c>
      <c r="C1585" s="226" t="s">
        <v>6018</v>
      </c>
      <c r="D1585" s="226" t="s">
        <v>1758</v>
      </c>
      <c r="E1585" s="226">
        <v>0</v>
      </c>
      <c r="F1585" s="230">
        <v>43178</v>
      </c>
      <c r="G1585" s="261">
        <f ca="1">IF(ISBLANK(I1585),TODAY()-F1585,I1585-F1585)</f>
        <v>1</v>
      </c>
      <c r="H1585" s="388" t="s">
        <v>64</v>
      </c>
      <c r="I1585" s="256">
        <v>43179</v>
      </c>
      <c r="J1585" s="257" t="s">
        <v>5113</v>
      </c>
    </row>
    <row r="1586" spans="1:10" x14ac:dyDescent="0.45">
      <c r="A1586" s="226">
        <v>1583</v>
      </c>
      <c r="B1586" s="226" t="s">
        <v>6019</v>
      </c>
      <c r="C1586" s="226" t="s">
        <v>6020</v>
      </c>
      <c r="D1586" s="226" t="s">
        <v>240</v>
      </c>
      <c r="E1586" s="226" t="s">
        <v>65</v>
      </c>
      <c r="F1586" s="230">
        <v>43178</v>
      </c>
      <c r="G1586" s="261">
        <f ca="1">IF(ISBLANK(I1586),TODAY()-F1586,I1586-F1586)</f>
        <v>8</v>
      </c>
      <c r="H1586" s="363" t="s">
        <v>5003</v>
      </c>
      <c r="I1586" s="256">
        <v>43186</v>
      </c>
      <c r="J1586" s="257" t="s">
        <v>5113</v>
      </c>
    </row>
    <row r="1587" spans="1:10" x14ac:dyDescent="0.45">
      <c r="A1587" s="226">
        <v>1595</v>
      </c>
      <c r="B1587" s="226" t="s">
        <v>1260</v>
      </c>
      <c r="C1587" s="226" t="s">
        <v>1278</v>
      </c>
      <c r="D1587" s="226" t="s">
        <v>1280</v>
      </c>
      <c r="E1587" s="226">
        <v>1</v>
      </c>
      <c r="F1587" s="230">
        <v>43180</v>
      </c>
      <c r="G1587" s="276">
        <f ca="1">IF(ISBLANK(I1587),TODAY()-F1587,I1587-F1587)</f>
        <v>6</v>
      </c>
      <c r="H1587" s="362" t="s">
        <v>5227</v>
      </c>
      <c r="I1587" s="256">
        <v>43186</v>
      </c>
      <c r="J1587" s="279" t="s">
        <v>5113</v>
      </c>
    </row>
    <row r="1588" spans="1:10" x14ac:dyDescent="0.45">
      <c r="A1588" s="226">
        <v>1596</v>
      </c>
      <c r="B1588" s="226" t="s">
        <v>1260</v>
      </c>
      <c r="C1588" s="226" t="s">
        <v>1257</v>
      </c>
      <c r="D1588" s="226" t="s">
        <v>1259</v>
      </c>
      <c r="E1588" s="226">
        <v>1</v>
      </c>
      <c r="F1588" s="230">
        <v>43180</v>
      </c>
      <c r="G1588" s="276">
        <f ca="1">IF(ISBLANK(I1588),TODAY()-F1588,I1588-F1588)</f>
        <v>6</v>
      </c>
      <c r="H1588" s="362" t="s">
        <v>5344</v>
      </c>
      <c r="I1588" s="256">
        <v>43186</v>
      </c>
      <c r="J1588" s="279" t="s">
        <v>5113</v>
      </c>
    </row>
    <row r="1589" spans="1:10" x14ac:dyDescent="0.45">
      <c r="A1589" s="226">
        <v>1597</v>
      </c>
      <c r="B1589" s="226" t="s">
        <v>1260</v>
      </c>
      <c r="C1589" s="226" t="s">
        <v>1262</v>
      </c>
      <c r="D1589" s="226" t="s">
        <v>1264</v>
      </c>
      <c r="E1589" s="226">
        <v>1</v>
      </c>
      <c r="F1589" s="230">
        <v>43180</v>
      </c>
      <c r="G1589" s="276">
        <f ca="1">IF(ISBLANK(I1589),TODAY()-F1589,I1589-F1589)</f>
        <v>6</v>
      </c>
      <c r="H1589" s="362" t="s">
        <v>5344</v>
      </c>
      <c r="I1589" s="256">
        <v>43186</v>
      </c>
      <c r="J1589" s="279" t="s">
        <v>5113</v>
      </c>
    </row>
    <row r="1590" spans="1:10" x14ac:dyDescent="0.45">
      <c r="A1590" s="226">
        <v>1598</v>
      </c>
      <c r="B1590" s="226" t="s">
        <v>1260</v>
      </c>
      <c r="C1590" s="226" t="s">
        <v>1266</v>
      </c>
      <c r="D1590" s="226" t="s">
        <v>1268</v>
      </c>
      <c r="E1590" s="226">
        <v>1</v>
      </c>
      <c r="F1590" s="230">
        <v>43180</v>
      </c>
      <c r="G1590" s="276">
        <f ca="1">IF(ISBLANK(I1590),TODAY()-F1590,I1590-F1590)</f>
        <v>6</v>
      </c>
      <c r="H1590" s="362" t="s">
        <v>5227</v>
      </c>
      <c r="I1590" s="256">
        <v>43186</v>
      </c>
      <c r="J1590" s="279" t="s">
        <v>5113</v>
      </c>
    </row>
    <row r="1591" spans="1:10" x14ac:dyDescent="0.45">
      <c r="A1591" s="226">
        <v>1599</v>
      </c>
      <c r="B1591" s="226" t="s">
        <v>1260</v>
      </c>
      <c r="C1591" s="226" t="s">
        <v>1270</v>
      </c>
      <c r="D1591" s="226" t="s">
        <v>1272</v>
      </c>
      <c r="E1591" s="226">
        <v>1</v>
      </c>
      <c r="F1591" s="230">
        <v>43180</v>
      </c>
      <c r="G1591" s="276">
        <f ca="1">IF(ISBLANK(I1591),TODAY()-F1591,I1591-F1591)</f>
        <v>6</v>
      </c>
      <c r="H1591" s="362" t="s">
        <v>5227</v>
      </c>
      <c r="I1591" s="256">
        <v>43186</v>
      </c>
      <c r="J1591" s="279" t="s">
        <v>5113</v>
      </c>
    </row>
    <row r="1592" spans="1:10" x14ac:dyDescent="0.45">
      <c r="A1592" s="226">
        <v>1600</v>
      </c>
      <c r="B1592" s="226" t="s">
        <v>1260</v>
      </c>
      <c r="C1592" s="226" t="s">
        <v>1274</v>
      </c>
      <c r="D1592" s="226" t="s">
        <v>1276</v>
      </c>
      <c r="E1592" s="226">
        <v>1</v>
      </c>
      <c r="F1592" s="230">
        <v>43180</v>
      </c>
      <c r="G1592" s="276">
        <f ca="1">IF(ISBLANK(I1592),TODAY()-F1592,I1592-F1592)</f>
        <v>6</v>
      </c>
      <c r="H1592" s="362" t="s">
        <v>5227</v>
      </c>
      <c r="I1592" s="256">
        <v>43186</v>
      </c>
      <c r="J1592" s="279" t="s">
        <v>5113</v>
      </c>
    </row>
    <row r="1593" spans="1:10" x14ac:dyDescent="0.45">
      <c r="A1593" s="226">
        <v>1601</v>
      </c>
      <c r="B1593" s="226" t="s">
        <v>835</v>
      </c>
      <c r="C1593" s="226" t="s">
        <v>832</v>
      </c>
      <c r="D1593" s="226" t="s">
        <v>834</v>
      </c>
      <c r="E1593" s="226">
        <v>2</v>
      </c>
      <c r="F1593" s="230">
        <v>43180</v>
      </c>
      <c r="G1593" s="261">
        <f ca="1">IF(ISBLANK(I1593),TODAY()-F1593,I1593-F1593)</f>
        <v>6</v>
      </c>
      <c r="H1593" s="362" t="s">
        <v>5227</v>
      </c>
      <c r="I1593" s="256">
        <v>43186</v>
      </c>
      <c r="J1593" s="279" t="s">
        <v>5113</v>
      </c>
    </row>
    <row r="1594" spans="1:10" x14ac:dyDescent="0.45">
      <c r="A1594" s="226">
        <v>1602</v>
      </c>
      <c r="B1594" s="226" t="s">
        <v>835</v>
      </c>
      <c r="C1594" s="226" t="s">
        <v>882</v>
      </c>
      <c r="D1594" s="226" t="s">
        <v>884</v>
      </c>
      <c r="E1594" s="226">
        <v>2</v>
      </c>
      <c r="F1594" s="230">
        <v>43180</v>
      </c>
      <c r="G1594" s="261">
        <f ca="1">IF(ISBLANK(I1594),TODAY()-F1594,I1594-F1594)</f>
        <v>6</v>
      </c>
      <c r="H1594" s="362" t="s">
        <v>5227</v>
      </c>
      <c r="I1594" s="256">
        <v>43186</v>
      </c>
      <c r="J1594" s="279" t="s">
        <v>5113</v>
      </c>
    </row>
    <row r="1595" spans="1:10" x14ac:dyDescent="0.45">
      <c r="A1595" s="226">
        <v>1603</v>
      </c>
      <c r="B1595" s="226" t="s">
        <v>6025</v>
      </c>
      <c r="C1595" s="226" t="s">
        <v>5545</v>
      </c>
      <c r="D1595" s="226" t="s">
        <v>5546</v>
      </c>
      <c r="E1595" s="226">
        <v>1</v>
      </c>
      <c r="F1595" s="230">
        <v>43180</v>
      </c>
      <c r="G1595" s="276">
        <f ca="1">IF(ISBLANK(I1595),TODAY()-F1595,I1595-F1595)</f>
        <v>6</v>
      </c>
      <c r="H1595" s="362" t="s">
        <v>5227</v>
      </c>
      <c r="I1595" s="256">
        <v>43186</v>
      </c>
      <c r="J1595" s="279" t="s">
        <v>5113</v>
      </c>
    </row>
    <row r="1596" spans="1:10" x14ac:dyDescent="0.45">
      <c r="A1596" s="226">
        <v>1604</v>
      </c>
      <c r="B1596" s="226" t="s">
        <v>6026</v>
      </c>
      <c r="C1596" s="226" t="s">
        <v>6027</v>
      </c>
      <c r="D1596" s="226" t="s">
        <v>5866</v>
      </c>
      <c r="E1596" s="226">
        <v>0</v>
      </c>
      <c r="F1596" s="230">
        <v>43180</v>
      </c>
      <c r="G1596" s="276">
        <f ca="1">IF(ISBLANK(I1596),TODAY()-F1596,I1596-F1596)</f>
        <v>7</v>
      </c>
      <c r="H1596" s="362" t="s">
        <v>5984</v>
      </c>
      <c r="I1596" s="256">
        <v>43187</v>
      </c>
      <c r="J1596" s="257" t="s">
        <v>5113</v>
      </c>
    </row>
    <row r="1597" spans="1:10" x14ac:dyDescent="0.45">
      <c r="A1597" s="226">
        <v>1605</v>
      </c>
      <c r="B1597" s="226" t="s">
        <v>6028</v>
      </c>
      <c r="C1597" s="226" t="s">
        <v>6029</v>
      </c>
      <c r="D1597" s="226" t="s">
        <v>5746</v>
      </c>
      <c r="E1597" s="226">
        <v>1</v>
      </c>
      <c r="F1597" s="230">
        <v>43180</v>
      </c>
      <c r="G1597" s="276">
        <f ca="1">IF(ISBLANK(I1597),TODAY()-F1597,I1597-F1597)</f>
        <v>6</v>
      </c>
      <c r="H1597" s="362" t="s">
        <v>5227</v>
      </c>
      <c r="I1597" s="256">
        <v>43186</v>
      </c>
      <c r="J1597" s="279" t="s">
        <v>5113</v>
      </c>
    </row>
    <row r="1598" spans="1:10" x14ac:dyDescent="0.45">
      <c r="A1598" s="226">
        <v>1584</v>
      </c>
      <c r="B1598" s="226" t="s">
        <v>1171</v>
      </c>
      <c r="C1598" s="226" t="s">
        <v>6021</v>
      </c>
      <c r="D1598" s="226" t="s">
        <v>1193</v>
      </c>
      <c r="E1598" s="226">
        <v>0</v>
      </c>
      <c r="F1598" s="230">
        <v>43181</v>
      </c>
      <c r="G1598" s="261">
        <f ca="1">IF(ISBLANK(I1598),TODAY()-F1598,I1598-F1598)</f>
        <v>13</v>
      </c>
      <c r="H1598" s="274" t="s">
        <v>5493</v>
      </c>
      <c r="I1598" s="256">
        <v>43194</v>
      </c>
      <c r="J1598" s="257" t="s">
        <v>5113</v>
      </c>
    </row>
    <row r="1599" spans="1:10" x14ac:dyDescent="0.45">
      <c r="A1599" s="226">
        <v>1585</v>
      </c>
      <c r="B1599" s="226" t="s">
        <v>1171</v>
      </c>
      <c r="C1599" s="226" t="s">
        <v>1168</v>
      </c>
      <c r="D1599" s="226" t="s">
        <v>1170</v>
      </c>
      <c r="E1599" s="226">
        <v>1</v>
      </c>
      <c r="F1599" s="230">
        <v>43181</v>
      </c>
      <c r="G1599" s="261">
        <f ca="1">IF(ISBLANK(I1599),TODAY()-F1599,I1599-F1599)</f>
        <v>13</v>
      </c>
      <c r="H1599" s="274" t="s">
        <v>64</v>
      </c>
      <c r="I1599" s="256">
        <v>43194</v>
      </c>
      <c r="J1599" s="257" t="s">
        <v>5113</v>
      </c>
    </row>
    <row r="1600" spans="1:10" x14ac:dyDescent="0.45">
      <c r="A1600" s="226">
        <v>1586</v>
      </c>
      <c r="B1600" s="226" t="s">
        <v>1171</v>
      </c>
      <c r="C1600" s="226" t="s">
        <v>1172</v>
      </c>
      <c r="D1600" s="226" t="s">
        <v>1174</v>
      </c>
      <c r="E1600" s="226">
        <v>1</v>
      </c>
      <c r="F1600" s="230">
        <v>43181</v>
      </c>
      <c r="G1600" s="261">
        <f ca="1">IF(ISBLANK(I1600),TODAY()-F1600,I1600-F1600)</f>
        <v>13</v>
      </c>
      <c r="H1600" s="274" t="s">
        <v>64</v>
      </c>
      <c r="I1600" s="256">
        <v>43194</v>
      </c>
      <c r="J1600" s="257" t="s">
        <v>5113</v>
      </c>
    </row>
    <row r="1601" spans="1:11" x14ac:dyDescent="0.45">
      <c r="A1601" s="226">
        <v>1587</v>
      </c>
      <c r="B1601" s="226" t="s">
        <v>1171</v>
      </c>
      <c r="C1601" s="226" t="s">
        <v>1175</v>
      </c>
      <c r="D1601" s="226" t="s">
        <v>1177</v>
      </c>
      <c r="E1601" s="226">
        <v>0</v>
      </c>
      <c r="F1601" s="230">
        <v>43181</v>
      </c>
      <c r="G1601" s="261">
        <f ca="1">IF(ISBLANK(I1601),TODAY()-F1601,I1601-F1601)</f>
        <v>13</v>
      </c>
      <c r="H1601" s="274" t="s">
        <v>64</v>
      </c>
      <c r="I1601" s="256">
        <v>43194</v>
      </c>
      <c r="J1601" s="257" t="s">
        <v>5113</v>
      </c>
    </row>
    <row r="1602" spans="1:11" x14ac:dyDescent="0.45">
      <c r="A1602" s="226">
        <v>1588</v>
      </c>
      <c r="B1602" s="226" t="s">
        <v>1171</v>
      </c>
      <c r="C1602" s="226" t="s">
        <v>1185</v>
      </c>
      <c r="D1602" s="226" t="s">
        <v>1187</v>
      </c>
      <c r="E1602" s="226">
        <v>0</v>
      </c>
      <c r="F1602" s="230">
        <v>43181</v>
      </c>
      <c r="G1602" s="261">
        <f ca="1">IF(ISBLANK(I1602),TODAY()-F1602,I1602-F1602)</f>
        <v>13</v>
      </c>
      <c r="H1602" s="274" t="s">
        <v>5493</v>
      </c>
      <c r="I1602" s="256">
        <v>43194</v>
      </c>
      <c r="J1602" s="257" t="s">
        <v>5113</v>
      </c>
    </row>
    <row r="1603" spans="1:11" ht="18.75" customHeight="1" x14ac:dyDescent="0.45">
      <c r="A1603" s="226">
        <v>1589</v>
      </c>
      <c r="B1603" s="226" t="s">
        <v>1171</v>
      </c>
      <c r="C1603" s="226" t="s">
        <v>1178</v>
      </c>
      <c r="D1603" s="226" t="s">
        <v>1180</v>
      </c>
      <c r="E1603" s="226">
        <v>0</v>
      </c>
      <c r="F1603" s="230">
        <v>43181</v>
      </c>
      <c r="G1603" s="261">
        <f ca="1">IF(ISBLANK(I1603),TODAY()-F1603,I1603-F1603)</f>
        <v>13</v>
      </c>
      <c r="H1603" s="274" t="s">
        <v>5493</v>
      </c>
      <c r="I1603" s="256">
        <v>43194</v>
      </c>
      <c r="J1603" s="257" t="s">
        <v>5113</v>
      </c>
    </row>
    <row r="1604" spans="1:11" x14ac:dyDescent="0.45">
      <c r="A1604" s="226">
        <v>1590</v>
      </c>
      <c r="B1604" s="226" t="s">
        <v>1171</v>
      </c>
      <c r="C1604" s="226" t="s">
        <v>1198</v>
      </c>
      <c r="D1604" s="226" t="s">
        <v>1200</v>
      </c>
      <c r="E1604" s="226">
        <v>0</v>
      </c>
      <c r="F1604" s="230">
        <v>43181</v>
      </c>
      <c r="G1604" s="261">
        <f ca="1">IF(ISBLANK(I1604),TODAY()-F1604,I1604-F1604)</f>
        <v>13</v>
      </c>
      <c r="H1604" s="274" t="s">
        <v>5493</v>
      </c>
      <c r="I1604" s="256">
        <v>43194</v>
      </c>
      <c r="J1604" s="257" t="s">
        <v>5113</v>
      </c>
    </row>
    <row r="1605" spans="1:11" x14ac:dyDescent="0.45">
      <c r="A1605" s="226">
        <v>1591</v>
      </c>
      <c r="B1605" s="226" t="s">
        <v>1171</v>
      </c>
      <c r="C1605" s="226" t="s">
        <v>1182</v>
      </c>
      <c r="D1605" s="226" t="s">
        <v>1184</v>
      </c>
      <c r="E1605" s="226">
        <v>1</v>
      </c>
      <c r="F1605" s="230">
        <v>43181</v>
      </c>
      <c r="G1605" s="261">
        <f ca="1">IF(ISBLANK(I1605),TODAY()-F1605,I1605-F1605)</f>
        <v>13</v>
      </c>
      <c r="H1605" s="274" t="s">
        <v>64</v>
      </c>
      <c r="I1605" s="256">
        <v>43194</v>
      </c>
      <c r="J1605" s="257" t="s">
        <v>5113</v>
      </c>
    </row>
    <row r="1606" spans="1:11" x14ac:dyDescent="0.45">
      <c r="A1606" s="226">
        <v>1592</v>
      </c>
      <c r="B1606" s="226" t="s">
        <v>1171</v>
      </c>
      <c r="C1606" s="226" t="s">
        <v>6022</v>
      </c>
      <c r="D1606" s="226" t="s">
        <v>1206</v>
      </c>
      <c r="E1606" s="226">
        <v>0</v>
      </c>
      <c r="F1606" s="230">
        <v>43181</v>
      </c>
      <c r="G1606" s="261">
        <f ca="1">IF(ISBLANK(I1606),TODAY()-F1606,I1606-F1606)</f>
        <v>13</v>
      </c>
      <c r="H1606" s="274" t="s">
        <v>64</v>
      </c>
      <c r="I1606" s="256">
        <v>43194</v>
      </c>
      <c r="J1606" s="257" t="s">
        <v>5113</v>
      </c>
    </row>
    <row r="1607" spans="1:11" x14ac:dyDescent="0.45">
      <c r="A1607" s="226">
        <v>1593</v>
      </c>
      <c r="B1607" s="226" t="s">
        <v>1171</v>
      </c>
      <c r="C1607" s="226" t="s">
        <v>6023</v>
      </c>
      <c r="D1607" s="226" t="s">
        <v>1196</v>
      </c>
      <c r="E1607" s="226">
        <v>0</v>
      </c>
      <c r="F1607" s="230">
        <v>43181</v>
      </c>
      <c r="G1607" s="261">
        <f ca="1">IF(ISBLANK(I1607),TODAY()-F1607,I1607-F1607)</f>
        <v>13</v>
      </c>
      <c r="H1607" s="274" t="s">
        <v>5493</v>
      </c>
      <c r="I1607" s="256">
        <v>43194</v>
      </c>
      <c r="J1607" s="257" t="s">
        <v>5113</v>
      </c>
    </row>
    <row r="1608" spans="1:11" x14ac:dyDescent="0.45">
      <c r="A1608" s="226">
        <v>1594</v>
      </c>
      <c r="B1608" s="226" t="s">
        <v>1171</v>
      </c>
      <c r="C1608" s="226" t="s">
        <v>6024</v>
      </c>
      <c r="D1608" s="226" t="s">
        <v>1190</v>
      </c>
      <c r="E1608" s="226">
        <v>0</v>
      </c>
      <c r="F1608" s="230">
        <v>43181</v>
      </c>
      <c r="G1608" s="261">
        <f ca="1">IF(ISBLANK(I1608),TODAY()-F1608,I1608-F1608)</f>
        <v>13</v>
      </c>
      <c r="H1608" s="274" t="s">
        <v>64</v>
      </c>
      <c r="I1608" s="256">
        <v>43194</v>
      </c>
      <c r="J1608" s="257" t="s">
        <v>5113</v>
      </c>
    </row>
    <row r="1609" spans="1:11" x14ac:dyDescent="0.45">
      <c r="A1609" s="226">
        <v>1606</v>
      </c>
      <c r="B1609" s="226" t="s">
        <v>6030</v>
      </c>
      <c r="C1609" s="226" t="s">
        <v>6031</v>
      </c>
      <c r="D1609" s="226" t="s">
        <v>5951</v>
      </c>
      <c r="E1609" s="226" t="s">
        <v>5003</v>
      </c>
      <c r="F1609" s="230">
        <v>43181</v>
      </c>
      <c r="G1609" s="276">
        <f ca="1">IF(ISBLANK(I1609),TODAY()-F1609,I1609-F1609)</f>
        <v>6</v>
      </c>
      <c r="H1609" s="255" t="s">
        <v>5003</v>
      </c>
      <c r="I1609" s="256">
        <v>43187</v>
      </c>
      <c r="J1609" s="257" t="s">
        <v>5113</v>
      </c>
    </row>
    <row r="1610" spans="1:11" x14ac:dyDescent="0.45">
      <c r="A1610" s="226">
        <v>1607</v>
      </c>
      <c r="B1610" s="226" t="s">
        <v>6032</v>
      </c>
      <c r="C1610" s="226" t="s">
        <v>6033</v>
      </c>
      <c r="D1610" s="226" t="s">
        <v>6034</v>
      </c>
      <c r="E1610" s="226" t="s">
        <v>5002</v>
      </c>
      <c r="F1610" s="230">
        <v>43186</v>
      </c>
      <c r="G1610" s="276">
        <f ca="1">IF(ISBLANK(I1610),TODAY()-F1610,I1610-F1610)</f>
        <v>17</v>
      </c>
      <c r="H1610" s="255" t="s">
        <v>5003</v>
      </c>
      <c r="I1610" s="256">
        <v>43203</v>
      </c>
      <c r="J1610" s="257" t="s">
        <v>5113</v>
      </c>
    </row>
    <row r="1611" spans="1:11" x14ac:dyDescent="0.45">
      <c r="A1611" s="226">
        <v>1608</v>
      </c>
      <c r="B1611" s="226" t="s">
        <v>6035</v>
      </c>
      <c r="C1611" s="226" t="s">
        <v>6036</v>
      </c>
      <c r="D1611" s="226" t="s">
        <v>6037</v>
      </c>
      <c r="E1611" s="226"/>
      <c r="F1611" s="230">
        <v>43187</v>
      </c>
      <c r="G1611" s="276">
        <f ca="1">IF(ISBLANK(I1611),TODAY()-F1611,I1611-F1611)</f>
        <v>9</v>
      </c>
      <c r="H1611" s="255" t="s">
        <v>5002</v>
      </c>
      <c r="I1611" s="256">
        <v>43196</v>
      </c>
      <c r="J1611" s="257" t="s">
        <v>5113</v>
      </c>
    </row>
    <row r="1612" spans="1:11" x14ac:dyDescent="0.45">
      <c r="A1612" s="226">
        <v>1609</v>
      </c>
      <c r="B1612" s="226" t="s">
        <v>6038</v>
      </c>
      <c r="C1612" s="226" t="s">
        <v>6039</v>
      </c>
      <c r="D1612" s="226" t="s">
        <v>6040</v>
      </c>
      <c r="E1612" s="226">
        <v>0</v>
      </c>
      <c r="F1612" s="230">
        <v>43187</v>
      </c>
      <c r="G1612" s="276">
        <f ca="1">IF(ISBLANK(I1612),TODAY()-F1612,I1612-F1612)</f>
        <v>26</v>
      </c>
      <c r="H1612" s="285" t="s">
        <v>5227</v>
      </c>
      <c r="I1612" s="286">
        <v>43213</v>
      </c>
      <c r="J1612" s="287" t="s">
        <v>5403</v>
      </c>
      <c r="K1612" s="106" t="s">
        <v>5404</v>
      </c>
    </row>
    <row r="1613" spans="1:11" x14ac:dyDescent="0.45">
      <c r="A1613" s="288">
        <v>1610</v>
      </c>
      <c r="B1613" s="288" t="s">
        <v>6041</v>
      </c>
      <c r="C1613" s="288" t="s">
        <v>6042</v>
      </c>
      <c r="D1613" s="288" t="s">
        <v>6043</v>
      </c>
      <c r="E1613" s="288">
        <v>1</v>
      </c>
      <c r="F1613" s="230">
        <v>43192</v>
      </c>
      <c r="G1613" s="276">
        <f ca="1">IF(ISBLANK(I1613),TODAY()-F1613,I1613-F1613)</f>
        <v>11</v>
      </c>
      <c r="H1613" s="280" t="s">
        <v>5227</v>
      </c>
      <c r="I1613" s="289">
        <v>43203</v>
      </c>
      <c r="J1613" s="290" t="s">
        <v>5113</v>
      </c>
    </row>
    <row r="1614" spans="1:11" x14ac:dyDescent="0.45">
      <c r="A1614" s="288">
        <v>1611</v>
      </c>
      <c r="B1614" s="288" t="s">
        <v>6041</v>
      </c>
      <c r="C1614" s="288" t="s">
        <v>5907</v>
      </c>
      <c r="D1614" s="288" t="s">
        <v>6044</v>
      </c>
      <c r="E1614" s="288">
        <v>0</v>
      </c>
      <c r="F1614" s="230">
        <v>43192</v>
      </c>
      <c r="G1614" s="276">
        <f ca="1">IF(ISBLANK(I1614),TODAY()-F1614,I1614-F1614)</f>
        <v>11</v>
      </c>
      <c r="H1614" s="280" t="s">
        <v>5227</v>
      </c>
      <c r="I1614" s="289">
        <v>43203</v>
      </c>
      <c r="J1614" s="290" t="s">
        <v>5113</v>
      </c>
    </row>
    <row r="1615" spans="1:11" x14ac:dyDescent="0.45">
      <c r="A1615" s="288">
        <v>1612</v>
      </c>
      <c r="B1615" s="288" t="s">
        <v>6045</v>
      </c>
      <c r="C1615" s="288" t="s">
        <v>5158</v>
      </c>
      <c r="D1615" s="288" t="s">
        <v>6046</v>
      </c>
      <c r="E1615" s="288" t="s">
        <v>5062</v>
      </c>
      <c r="F1615" s="230">
        <v>43192</v>
      </c>
      <c r="G1615" s="276">
        <f ca="1">IF(ISBLANK(I1615),TODAY()-F1615,I1615-F1615)</f>
        <v>2</v>
      </c>
      <c r="H1615" s="280" t="s">
        <v>5002</v>
      </c>
      <c r="I1615" s="289">
        <v>43194</v>
      </c>
      <c r="J1615" s="290" t="s">
        <v>5113</v>
      </c>
    </row>
    <row r="1616" spans="1:11" x14ac:dyDescent="0.45">
      <c r="A1616" s="288">
        <v>1613</v>
      </c>
      <c r="B1616" s="288" t="s">
        <v>6047</v>
      </c>
      <c r="C1616" s="288" t="s">
        <v>6048</v>
      </c>
      <c r="D1616" s="288" t="s">
        <v>6049</v>
      </c>
      <c r="E1616" s="288" t="s">
        <v>5002</v>
      </c>
      <c r="F1616" s="230">
        <v>43192</v>
      </c>
      <c r="G1616" s="276">
        <f ca="1">IF(ISBLANK(I1616),TODAY()-F1616,I1616-F1616)</f>
        <v>11</v>
      </c>
      <c r="H1616" s="291" t="s">
        <v>5003</v>
      </c>
      <c r="I1616" s="289">
        <v>43203</v>
      </c>
      <c r="J1616" s="290" t="s">
        <v>5113</v>
      </c>
    </row>
    <row r="1617" spans="1:11" x14ac:dyDescent="0.45">
      <c r="A1617" s="288">
        <v>1614</v>
      </c>
      <c r="B1617" s="288" t="s">
        <v>6047</v>
      </c>
      <c r="C1617" s="288" t="s">
        <v>6050</v>
      </c>
      <c r="D1617" s="288" t="s">
        <v>6051</v>
      </c>
      <c r="E1617" s="288" t="s">
        <v>5002</v>
      </c>
      <c r="F1617" s="230">
        <v>43192</v>
      </c>
      <c r="G1617" s="276">
        <f ca="1">IF(ISBLANK(I1617),TODAY()-F1617,I1617-F1617)</f>
        <v>9</v>
      </c>
      <c r="H1617" s="280" t="s">
        <v>5003</v>
      </c>
      <c r="I1617" s="289">
        <v>43201</v>
      </c>
      <c r="J1617" s="290" t="s">
        <v>5113</v>
      </c>
    </row>
    <row r="1618" spans="1:11" x14ac:dyDescent="0.45">
      <c r="A1618" s="288">
        <v>1615</v>
      </c>
      <c r="B1618" s="288" t="s">
        <v>6047</v>
      </c>
      <c r="C1618" s="288" t="s">
        <v>6052</v>
      </c>
      <c r="D1618" s="288" t="s">
        <v>6053</v>
      </c>
      <c r="E1618" s="288" t="s">
        <v>5002</v>
      </c>
      <c r="F1618" s="230">
        <v>43192</v>
      </c>
      <c r="G1618" s="276">
        <f ca="1">IF(ISBLANK(I1618),TODAY()-F1618,I1618-F1618)</f>
        <v>9</v>
      </c>
      <c r="H1618" s="280" t="s">
        <v>5003</v>
      </c>
      <c r="I1618" s="289">
        <v>43201</v>
      </c>
      <c r="J1618" s="290" t="s">
        <v>5113</v>
      </c>
    </row>
    <row r="1619" spans="1:11" x14ac:dyDescent="0.45">
      <c r="A1619" s="288">
        <v>1616</v>
      </c>
      <c r="B1619" s="288" t="s">
        <v>6054</v>
      </c>
      <c r="C1619" s="288" t="s">
        <v>5524</v>
      </c>
      <c r="D1619" s="288" t="s">
        <v>6055</v>
      </c>
      <c r="E1619" s="288">
        <v>1</v>
      </c>
      <c r="F1619" s="230">
        <v>43192</v>
      </c>
      <c r="G1619" s="276">
        <f ca="1">IF(ISBLANK(I1619),TODAY()-F1619,I1619-F1619)</f>
        <v>4</v>
      </c>
      <c r="H1619" s="280" t="s">
        <v>5227</v>
      </c>
      <c r="I1619" s="289">
        <v>43196</v>
      </c>
      <c r="J1619" s="290" t="s">
        <v>5113</v>
      </c>
    </row>
    <row r="1620" spans="1:11" x14ac:dyDescent="0.45">
      <c r="A1620" s="288">
        <v>1617</v>
      </c>
      <c r="B1620" s="288" t="s">
        <v>6054</v>
      </c>
      <c r="C1620" s="288" t="s">
        <v>5629</v>
      </c>
      <c r="D1620" s="288" t="s">
        <v>6056</v>
      </c>
      <c r="E1620" s="288">
        <v>1</v>
      </c>
      <c r="F1620" s="230">
        <v>43192</v>
      </c>
      <c r="G1620" s="276">
        <f ca="1">IF(ISBLANK(I1620),TODAY()-F1620,I1620-F1620)</f>
        <v>4</v>
      </c>
      <c r="H1620" s="280" t="s">
        <v>5227</v>
      </c>
      <c r="I1620" s="289">
        <v>43196</v>
      </c>
      <c r="J1620" s="290" t="s">
        <v>5113</v>
      </c>
    </row>
    <row r="1621" spans="1:11" x14ac:dyDescent="0.45">
      <c r="A1621" s="331">
        <v>1618</v>
      </c>
      <c r="B1621" s="331" t="s">
        <v>6057</v>
      </c>
      <c r="C1621" s="331" t="s">
        <v>5120</v>
      </c>
      <c r="D1621" s="337" t="s">
        <v>5540</v>
      </c>
      <c r="E1621" s="331">
        <v>3</v>
      </c>
      <c r="F1621" s="230">
        <v>43192</v>
      </c>
      <c r="G1621" s="276">
        <f ca="1">IF(ISBLANK(I1621),TODAY()-F1621,I1621-F1621)</f>
        <v>4</v>
      </c>
      <c r="H1621" s="280" t="s">
        <v>5227</v>
      </c>
      <c r="I1621" s="289">
        <v>43196</v>
      </c>
      <c r="J1621" s="290" t="s">
        <v>5113</v>
      </c>
    </row>
    <row r="1622" spans="1:11" s="293" customFormat="1" x14ac:dyDescent="0.45">
      <c r="A1622" s="226">
        <v>1619</v>
      </c>
      <c r="B1622" s="226" t="s">
        <v>6058</v>
      </c>
      <c r="C1622" s="226" t="s">
        <v>6059</v>
      </c>
      <c r="D1622" s="292" t="s">
        <v>6060</v>
      </c>
      <c r="E1622" s="226">
        <v>1</v>
      </c>
      <c r="F1622" s="230">
        <v>43192</v>
      </c>
      <c r="G1622" s="276">
        <f ca="1">IF(ISBLANK(I1622),TODAY()-F1622,I1622-F1622)</f>
        <v>2</v>
      </c>
      <c r="H1622" s="363" t="s">
        <v>5227</v>
      </c>
      <c r="I1622" s="378">
        <v>43194</v>
      </c>
      <c r="J1622" s="278" t="s">
        <v>5113</v>
      </c>
    </row>
    <row r="1623" spans="1:11" x14ac:dyDescent="0.45">
      <c r="A1623" s="226">
        <v>1620</v>
      </c>
      <c r="B1623" s="226" t="s">
        <v>6061</v>
      </c>
      <c r="C1623" s="226" t="s">
        <v>5631</v>
      </c>
      <c r="D1623" s="292" t="s">
        <v>6062</v>
      </c>
      <c r="E1623" s="226">
        <v>1</v>
      </c>
      <c r="F1623" s="230">
        <v>43192</v>
      </c>
      <c r="G1623" s="276">
        <f ca="1">IF(ISBLANK(I1623),TODAY()-F1623,I1623-F1623)</f>
        <v>4</v>
      </c>
      <c r="H1623" s="280" t="s">
        <v>5227</v>
      </c>
      <c r="I1623" s="289">
        <v>43196</v>
      </c>
      <c r="J1623" s="290" t="s">
        <v>5113</v>
      </c>
      <c r="K1623" s="390"/>
    </row>
    <row r="1624" spans="1:11" x14ac:dyDescent="0.45">
      <c r="A1624" s="226">
        <v>1621</v>
      </c>
      <c r="B1624" s="226" t="s">
        <v>6061</v>
      </c>
      <c r="C1624" s="226" t="s">
        <v>5632</v>
      </c>
      <c r="D1624" s="292" t="s">
        <v>6063</v>
      </c>
      <c r="E1624" s="226">
        <v>1</v>
      </c>
      <c r="F1624" s="230">
        <v>43192</v>
      </c>
      <c r="G1624" s="276">
        <f ca="1">IF(ISBLANK(I1624),TODAY()-F1624,I1624-F1624)</f>
        <v>4</v>
      </c>
      <c r="H1624" s="280" t="s">
        <v>5227</v>
      </c>
      <c r="I1624" s="289">
        <v>43196</v>
      </c>
      <c r="J1624" s="290" t="s">
        <v>5113</v>
      </c>
    </row>
    <row r="1625" spans="1:11" x14ac:dyDescent="0.45">
      <c r="A1625" s="226">
        <v>1622</v>
      </c>
      <c r="B1625" s="226" t="s">
        <v>6064</v>
      </c>
      <c r="C1625" s="226" t="s">
        <v>5482</v>
      </c>
      <c r="D1625" s="292" t="s">
        <v>6065</v>
      </c>
      <c r="E1625" s="226">
        <v>1</v>
      </c>
      <c r="F1625" s="230">
        <v>43192</v>
      </c>
      <c r="G1625" s="276">
        <f ca="1">IF(ISBLANK(I1625),TODAY()-F1625,I1625-F1625)</f>
        <v>4</v>
      </c>
      <c r="H1625" s="280" t="s">
        <v>5227</v>
      </c>
      <c r="I1625" s="289">
        <v>43196</v>
      </c>
      <c r="J1625" s="290" t="s">
        <v>5113</v>
      </c>
    </row>
    <row r="1626" spans="1:11" x14ac:dyDescent="0.45">
      <c r="A1626" s="226">
        <v>1623</v>
      </c>
      <c r="B1626" s="226" t="s">
        <v>6064</v>
      </c>
      <c r="C1626" s="226" t="s">
        <v>5481</v>
      </c>
      <c r="D1626" s="292" t="s">
        <v>6066</v>
      </c>
      <c r="E1626" s="226">
        <v>1</v>
      </c>
      <c r="F1626" s="230">
        <v>43192</v>
      </c>
      <c r="G1626" s="276">
        <f ca="1">IF(ISBLANK(I1626),TODAY()-F1626,I1626-F1626)</f>
        <v>4</v>
      </c>
      <c r="H1626" s="280" t="s">
        <v>5984</v>
      </c>
      <c r="I1626" s="289">
        <v>43196</v>
      </c>
      <c r="J1626" s="290" t="s">
        <v>5113</v>
      </c>
    </row>
    <row r="1627" spans="1:11" x14ac:dyDescent="0.45">
      <c r="A1627" s="226">
        <v>1624</v>
      </c>
      <c r="B1627" s="226" t="s">
        <v>6067</v>
      </c>
      <c r="C1627" s="226" t="s">
        <v>6068</v>
      </c>
      <c r="D1627" s="292" t="s">
        <v>6069</v>
      </c>
      <c r="E1627" s="226" t="s">
        <v>5002</v>
      </c>
      <c r="F1627" s="230">
        <v>43194</v>
      </c>
      <c r="G1627" s="276">
        <f ca="1">IF(ISBLANK(I1627),TODAY()-F1627,I1627-F1627)</f>
        <v>21</v>
      </c>
      <c r="H1627" s="363" t="s">
        <v>5062</v>
      </c>
      <c r="I1627" s="378">
        <v>43215</v>
      </c>
      <c r="J1627" s="278" t="s">
        <v>5113</v>
      </c>
    </row>
    <row r="1628" spans="1:11" x14ac:dyDescent="0.45">
      <c r="A1628" s="226">
        <v>1625</v>
      </c>
      <c r="B1628" s="226" t="s">
        <v>6070</v>
      </c>
      <c r="C1628" s="226" t="s">
        <v>5523</v>
      </c>
      <c r="D1628" s="292" t="s">
        <v>6071</v>
      </c>
      <c r="E1628" s="226">
        <v>1</v>
      </c>
      <c r="F1628" s="230">
        <v>43194</v>
      </c>
      <c r="G1628" s="276">
        <f ca="1">IF(ISBLANK(I1628),TODAY()-F1628,I1628-F1628)</f>
        <v>2</v>
      </c>
      <c r="H1628" s="280" t="s">
        <v>5227</v>
      </c>
      <c r="I1628" s="289">
        <v>43196</v>
      </c>
      <c r="J1628" s="290" t="s">
        <v>5113</v>
      </c>
    </row>
    <row r="1629" spans="1:11" x14ac:dyDescent="0.45">
      <c r="A1629" s="226">
        <v>1626</v>
      </c>
      <c r="B1629" s="226" t="s">
        <v>6070</v>
      </c>
      <c r="C1629" s="226" t="s">
        <v>5525</v>
      </c>
      <c r="D1629" s="292" t="s">
        <v>6072</v>
      </c>
      <c r="E1629" s="226">
        <v>1</v>
      </c>
      <c r="F1629" s="230">
        <v>43194</v>
      </c>
      <c r="G1629" s="276">
        <f ca="1">IF(ISBLANK(I1629),TODAY()-F1629,I1629-F1629)</f>
        <v>2</v>
      </c>
      <c r="H1629" s="280" t="s">
        <v>5227</v>
      </c>
      <c r="I1629" s="289">
        <v>43196</v>
      </c>
      <c r="J1629" s="290" t="s">
        <v>5113</v>
      </c>
    </row>
    <row r="1630" spans="1:11" x14ac:dyDescent="0.45">
      <c r="A1630" s="226">
        <v>1627</v>
      </c>
      <c r="B1630" s="226" t="s">
        <v>6070</v>
      </c>
      <c r="C1630" s="226" t="s">
        <v>5633</v>
      </c>
      <c r="D1630" s="292" t="s">
        <v>6073</v>
      </c>
      <c r="E1630" s="226">
        <v>1</v>
      </c>
      <c r="F1630" s="230">
        <v>43194</v>
      </c>
      <c r="G1630" s="276">
        <f ca="1">IF(ISBLANK(I1630),TODAY()-F1630,I1630-F1630)</f>
        <v>2</v>
      </c>
      <c r="H1630" s="280" t="s">
        <v>5984</v>
      </c>
      <c r="I1630" s="289">
        <v>43196</v>
      </c>
      <c r="J1630" s="290" t="s">
        <v>5113</v>
      </c>
    </row>
    <row r="1631" spans="1:11" x14ac:dyDescent="0.45">
      <c r="A1631" s="226">
        <v>1629</v>
      </c>
      <c r="B1631" s="226" t="s">
        <v>6077</v>
      </c>
      <c r="C1631" s="226" t="s">
        <v>5634</v>
      </c>
      <c r="D1631" s="292" t="s">
        <v>6078</v>
      </c>
      <c r="E1631" s="226">
        <v>1</v>
      </c>
      <c r="F1631" s="230">
        <v>43196</v>
      </c>
      <c r="G1631" s="276">
        <f ca="1">IF(ISBLANK(I1631),TODAY()-F1631,I1631-F1631)</f>
        <v>19</v>
      </c>
      <c r="H1631" s="363" t="s">
        <v>5344</v>
      </c>
      <c r="I1631" s="378">
        <v>43215</v>
      </c>
      <c r="J1631" s="278" t="s">
        <v>5113</v>
      </c>
    </row>
    <row r="1632" spans="1:11" x14ac:dyDescent="0.45">
      <c r="A1632" s="226">
        <v>1630</v>
      </c>
      <c r="B1632" s="226" t="s">
        <v>6077</v>
      </c>
      <c r="C1632" s="226" t="s">
        <v>5507</v>
      </c>
      <c r="D1632" s="292" t="s">
        <v>6079</v>
      </c>
      <c r="E1632" s="226">
        <v>1</v>
      </c>
      <c r="F1632" s="230">
        <v>43196</v>
      </c>
      <c r="G1632" s="276">
        <f ca="1">IF(ISBLANK(I1632),TODAY()-F1632,I1632-F1632)</f>
        <v>19</v>
      </c>
      <c r="H1632" s="255" t="s">
        <v>5227</v>
      </c>
      <c r="I1632" s="256">
        <v>43215</v>
      </c>
      <c r="J1632" s="278" t="s">
        <v>5113</v>
      </c>
    </row>
    <row r="1633" spans="1:10" x14ac:dyDescent="0.45">
      <c r="A1633" s="226">
        <v>1631</v>
      </c>
      <c r="B1633" s="226" t="s">
        <v>6080</v>
      </c>
      <c r="C1633" s="226" t="s">
        <v>5017</v>
      </c>
      <c r="D1633" s="292" t="s">
        <v>6081</v>
      </c>
      <c r="E1633" s="226" t="s">
        <v>5002</v>
      </c>
      <c r="F1633" s="230">
        <v>43196</v>
      </c>
      <c r="G1633" s="276">
        <f ca="1">IF(ISBLANK(I1633),TODAY()-F1633,I1633-F1633)</f>
        <v>19</v>
      </c>
      <c r="H1633" s="255" t="s">
        <v>5227</v>
      </c>
      <c r="I1633" s="256">
        <v>43215</v>
      </c>
      <c r="J1633" s="278" t="s">
        <v>5113</v>
      </c>
    </row>
    <row r="1634" spans="1:10" x14ac:dyDescent="0.45">
      <c r="A1634" s="226">
        <v>1632</v>
      </c>
      <c r="B1634" s="226" t="s">
        <v>6082</v>
      </c>
      <c r="C1634" s="226" t="s">
        <v>6083</v>
      </c>
      <c r="D1634" s="292" t="s">
        <v>6084</v>
      </c>
      <c r="E1634" s="226" t="s">
        <v>5002</v>
      </c>
      <c r="F1634" s="230">
        <v>43196</v>
      </c>
      <c r="G1634" s="276">
        <f ca="1">IF(ISBLANK(I1634),TODAY()-F1634,I1634-F1634)</f>
        <v>19</v>
      </c>
      <c r="H1634" s="255" t="s">
        <v>5227</v>
      </c>
      <c r="I1634" s="256">
        <v>43215</v>
      </c>
      <c r="J1634" s="278" t="s">
        <v>5113</v>
      </c>
    </row>
    <row r="1635" spans="1:10" x14ac:dyDescent="0.45">
      <c r="A1635" s="226">
        <v>1628</v>
      </c>
      <c r="B1635" s="226" t="s">
        <v>6074</v>
      </c>
      <c r="C1635" s="226" t="s">
        <v>6075</v>
      </c>
      <c r="D1635" s="292" t="s">
        <v>6076</v>
      </c>
      <c r="E1635" s="226"/>
      <c r="F1635" s="230">
        <v>43201</v>
      </c>
      <c r="G1635" s="276">
        <f ca="1">IF(ISBLANK(I1635),TODAY()-F1635,I1635-F1635)</f>
        <v>14</v>
      </c>
      <c r="H1635" s="255" t="s">
        <v>5003</v>
      </c>
      <c r="I1635" s="256">
        <v>43215</v>
      </c>
      <c r="J1635" s="278" t="s">
        <v>5113</v>
      </c>
    </row>
    <row r="1636" spans="1:10" x14ac:dyDescent="0.45">
      <c r="A1636" s="226">
        <v>1633</v>
      </c>
      <c r="B1636" s="226" t="s">
        <v>6085</v>
      </c>
      <c r="C1636" s="226" t="s">
        <v>6086</v>
      </c>
      <c r="D1636" s="292" t="s">
        <v>6087</v>
      </c>
      <c r="E1636" s="226"/>
      <c r="F1636" s="230">
        <v>43201</v>
      </c>
      <c r="G1636" s="276">
        <f ca="1">IF(ISBLANK(I1636),TODAY()-F1636,I1636-F1636)</f>
        <v>14</v>
      </c>
      <c r="H1636" s="255" t="s">
        <v>5003</v>
      </c>
      <c r="I1636" s="256">
        <v>43215</v>
      </c>
      <c r="J1636" s="278" t="s">
        <v>5113</v>
      </c>
    </row>
    <row r="1637" spans="1:10" x14ac:dyDescent="0.45">
      <c r="A1637" s="226">
        <v>1640</v>
      </c>
      <c r="B1637" s="226" t="s">
        <v>6101</v>
      </c>
      <c r="C1637" s="226" t="s">
        <v>6102</v>
      </c>
      <c r="D1637" s="292" t="s">
        <v>6103</v>
      </c>
      <c r="E1637" s="226">
        <v>1</v>
      </c>
      <c r="F1637" s="230">
        <v>43201</v>
      </c>
      <c r="G1637" s="276">
        <f ca="1">IF(ISBLANK(I1637),TODAY()-F1637,I1637-F1637)</f>
        <v>14</v>
      </c>
      <c r="H1637" s="255" t="s">
        <v>5227</v>
      </c>
      <c r="I1637" s="294">
        <v>43215</v>
      </c>
      <c r="J1637" s="278" t="s">
        <v>5113</v>
      </c>
    </row>
    <row r="1638" spans="1:10" x14ac:dyDescent="0.45">
      <c r="A1638" s="226">
        <v>1650</v>
      </c>
      <c r="B1638" s="226" t="s">
        <v>6124</v>
      </c>
      <c r="C1638" s="226" t="s">
        <v>6125</v>
      </c>
      <c r="D1638" s="292" t="s">
        <v>6126</v>
      </c>
      <c r="E1638" s="226">
        <v>2</v>
      </c>
      <c r="F1638" s="230">
        <v>43201</v>
      </c>
      <c r="G1638" s="276">
        <f ca="1">IF(ISBLANK(I1638),TODAY()-F1638,I1638-F1638)</f>
        <v>14</v>
      </c>
      <c r="H1638" s="255" t="s">
        <v>5227</v>
      </c>
      <c r="I1638" s="256">
        <v>43215</v>
      </c>
      <c r="J1638" s="278" t="s">
        <v>5113</v>
      </c>
    </row>
    <row r="1639" spans="1:10" x14ac:dyDescent="0.45">
      <c r="A1639" s="226">
        <v>1651</v>
      </c>
      <c r="B1639" s="226" t="s">
        <v>6127</v>
      </c>
      <c r="C1639" s="226" t="s">
        <v>6128</v>
      </c>
      <c r="D1639" s="292" t="s">
        <v>6129</v>
      </c>
      <c r="E1639" s="226"/>
      <c r="F1639" s="230">
        <v>43201</v>
      </c>
      <c r="G1639" s="276">
        <f ca="1">IF(ISBLANK(I1639),TODAY()-F1639,I1639-F1639)</f>
        <v>14</v>
      </c>
      <c r="H1639" s="255" t="s">
        <v>5062</v>
      </c>
      <c r="I1639" s="256">
        <v>43215</v>
      </c>
      <c r="J1639" s="278" t="s">
        <v>5113</v>
      </c>
    </row>
    <row r="1640" spans="1:10" x14ac:dyDescent="0.45">
      <c r="A1640" s="226">
        <v>1652</v>
      </c>
      <c r="B1640" s="226" t="s">
        <v>6127</v>
      </c>
      <c r="C1640" s="226" t="s">
        <v>6130</v>
      </c>
      <c r="D1640" s="292" t="s">
        <v>6131</v>
      </c>
      <c r="E1640" s="226"/>
      <c r="F1640" s="230">
        <v>43201</v>
      </c>
      <c r="G1640" s="276">
        <f ca="1">IF(ISBLANK(I1640),TODAY()-F1640,I1640-F1640)</f>
        <v>14</v>
      </c>
      <c r="H1640" s="255" t="s">
        <v>5002</v>
      </c>
      <c r="I1640" s="256">
        <v>43215</v>
      </c>
      <c r="J1640" s="278" t="s">
        <v>5113</v>
      </c>
    </row>
    <row r="1641" spans="1:10" x14ac:dyDescent="0.45">
      <c r="A1641" s="226">
        <v>1634</v>
      </c>
      <c r="B1641" s="226" t="s">
        <v>6088</v>
      </c>
      <c r="C1641" s="226" t="s">
        <v>6089</v>
      </c>
      <c r="D1641" s="292" t="s">
        <v>6090</v>
      </c>
      <c r="E1641" s="226">
        <v>1</v>
      </c>
      <c r="F1641" s="230">
        <v>43203</v>
      </c>
      <c r="G1641" s="276">
        <f ca="1">IF(ISBLANK(I1641),TODAY()-F1641,I1641-F1641)</f>
        <v>14</v>
      </c>
      <c r="H1641" s="255" t="s">
        <v>5344</v>
      </c>
      <c r="I1641" s="256">
        <v>43217</v>
      </c>
      <c r="J1641" s="278" t="s">
        <v>5113</v>
      </c>
    </row>
    <row r="1642" spans="1:10" x14ac:dyDescent="0.45">
      <c r="A1642" s="226">
        <v>1635</v>
      </c>
      <c r="B1642" s="226" t="s">
        <v>6088</v>
      </c>
      <c r="C1642" s="226" t="s">
        <v>6091</v>
      </c>
      <c r="D1642" s="292" t="s">
        <v>6092</v>
      </c>
      <c r="E1642" s="226">
        <v>1</v>
      </c>
      <c r="F1642" s="230">
        <v>43203</v>
      </c>
      <c r="G1642" s="276">
        <f ca="1">IF(ISBLANK(I1642),TODAY()-F1642,I1642-F1642)</f>
        <v>14</v>
      </c>
      <c r="H1642" s="255" t="s">
        <v>5984</v>
      </c>
      <c r="I1642" s="256">
        <v>43217</v>
      </c>
      <c r="J1642" s="278" t="s">
        <v>5113</v>
      </c>
    </row>
    <row r="1643" spans="1:10" x14ac:dyDescent="0.45">
      <c r="A1643" s="226">
        <v>1636</v>
      </c>
      <c r="B1643" s="226" t="s">
        <v>6088</v>
      </c>
      <c r="C1643" s="226" t="s">
        <v>6093</v>
      </c>
      <c r="D1643" s="292" t="s">
        <v>6094</v>
      </c>
      <c r="E1643" s="226">
        <v>1</v>
      </c>
      <c r="F1643" s="230">
        <v>43203</v>
      </c>
      <c r="G1643" s="276">
        <f ca="1">IF(ISBLANK(I1643),TODAY()-F1643,I1643-F1643)</f>
        <v>14</v>
      </c>
      <c r="H1643" s="255" t="s">
        <v>5227</v>
      </c>
      <c r="I1643" s="256">
        <v>43217</v>
      </c>
      <c r="J1643" s="278" t="s">
        <v>5113</v>
      </c>
    </row>
    <row r="1644" spans="1:10" x14ac:dyDescent="0.45">
      <c r="A1644" s="226">
        <v>1637</v>
      </c>
      <c r="B1644" s="226" t="s">
        <v>6088</v>
      </c>
      <c r="C1644" s="226" t="s">
        <v>6095</v>
      </c>
      <c r="D1644" s="292" t="s">
        <v>6096</v>
      </c>
      <c r="E1644" s="226">
        <v>2</v>
      </c>
      <c r="F1644" s="230">
        <v>43203</v>
      </c>
      <c r="G1644" s="276">
        <f ca="1">IF(ISBLANK(I1644),TODAY()-F1644,I1644-F1644)</f>
        <v>14</v>
      </c>
      <c r="H1644" s="255" t="s">
        <v>5227</v>
      </c>
      <c r="I1644" s="256">
        <v>43217</v>
      </c>
      <c r="J1644" s="278" t="s">
        <v>5113</v>
      </c>
    </row>
    <row r="1645" spans="1:10" x14ac:dyDescent="0.45">
      <c r="A1645" s="226">
        <v>1638</v>
      </c>
      <c r="B1645" s="226" t="s">
        <v>6088</v>
      </c>
      <c r="C1645" s="226" t="s">
        <v>6097</v>
      </c>
      <c r="D1645" s="292" t="s">
        <v>6098</v>
      </c>
      <c r="E1645" s="226">
        <v>2</v>
      </c>
      <c r="F1645" s="230">
        <v>43203</v>
      </c>
      <c r="G1645" s="276">
        <f ca="1">IF(ISBLANK(I1645),TODAY()-F1645,I1645-F1645)</f>
        <v>14</v>
      </c>
      <c r="H1645" s="255" t="s">
        <v>5344</v>
      </c>
      <c r="I1645" s="256">
        <v>43217</v>
      </c>
      <c r="J1645" s="278" t="s">
        <v>5113</v>
      </c>
    </row>
    <row r="1646" spans="1:10" x14ac:dyDescent="0.45">
      <c r="A1646" s="226">
        <v>1639</v>
      </c>
      <c r="B1646" s="226" t="s">
        <v>6088</v>
      </c>
      <c r="C1646" s="226" t="s">
        <v>6099</v>
      </c>
      <c r="D1646" s="292" t="s">
        <v>6100</v>
      </c>
      <c r="E1646" s="226">
        <v>2</v>
      </c>
      <c r="F1646" s="230">
        <v>43203</v>
      </c>
      <c r="G1646" s="276">
        <f ca="1">IF(ISBLANK(I1646),TODAY()-F1646,I1646-F1646)</f>
        <v>14</v>
      </c>
      <c r="H1646" s="255" t="s">
        <v>5984</v>
      </c>
      <c r="I1646" s="256">
        <v>43217</v>
      </c>
      <c r="J1646" s="278" t="s">
        <v>5113</v>
      </c>
    </row>
    <row r="1647" spans="1:10" x14ac:dyDescent="0.45">
      <c r="A1647" s="226">
        <v>1641</v>
      </c>
      <c r="B1647" s="226" t="s">
        <v>6104</v>
      </c>
      <c r="C1647" s="226" t="s">
        <v>6105</v>
      </c>
      <c r="D1647" s="292" t="s">
        <v>6106</v>
      </c>
      <c r="E1647" s="226">
        <v>2</v>
      </c>
      <c r="F1647" s="230">
        <v>43203</v>
      </c>
      <c r="G1647" s="276">
        <f ca="1">IF(ISBLANK(I1647),TODAY()-F1647,I1647-F1647)</f>
        <v>14</v>
      </c>
      <c r="H1647" s="255" t="s">
        <v>5227</v>
      </c>
      <c r="I1647" s="256">
        <v>43217</v>
      </c>
      <c r="J1647" s="278" t="s">
        <v>5113</v>
      </c>
    </row>
    <row r="1648" spans="1:10" x14ac:dyDescent="0.45">
      <c r="A1648" s="226">
        <v>1642</v>
      </c>
      <c r="B1648" s="226" t="s">
        <v>6104</v>
      </c>
      <c r="C1648" s="226" t="s">
        <v>6107</v>
      </c>
      <c r="D1648" s="292" t="s">
        <v>6108</v>
      </c>
      <c r="E1648" s="226">
        <v>2</v>
      </c>
      <c r="F1648" s="230">
        <v>43203</v>
      </c>
      <c r="G1648" s="276">
        <f ca="1">IF(ISBLANK(I1648),TODAY()-F1648,I1648-F1648)</f>
        <v>14</v>
      </c>
      <c r="H1648" s="255" t="s">
        <v>5227</v>
      </c>
      <c r="I1648" s="256">
        <v>43217</v>
      </c>
      <c r="J1648" s="278" t="s">
        <v>5113</v>
      </c>
    </row>
    <row r="1649" spans="1:10" x14ac:dyDescent="0.45">
      <c r="A1649" s="226">
        <v>1643</v>
      </c>
      <c r="B1649" s="226" t="s">
        <v>6109</v>
      </c>
      <c r="C1649" s="226" t="s">
        <v>5503</v>
      </c>
      <c r="D1649" s="292" t="s">
        <v>6110</v>
      </c>
      <c r="E1649" s="226">
        <v>1</v>
      </c>
      <c r="F1649" s="230">
        <v>43203</v>
      </c>
      <c r="G1649" s="276">
        <f ca="1">IF(ISBLANK(I1649),TODAY()-F1649,I1649-F1649)</f>
        <v>12</v>
      </c>
      <c r="H1649" s="255" t="s">
        <v>5344</v>
      </c>
      <c r="I1649" s="294">
        <v>43215</v>
      </c>
      <c r="J1649" s="278" t="s">
        <v>5113</v>
      </c>
    </row>
    <row r="1650" spans="1:10" x14ac:dyDescent="0.45">
      <c r="A1650" s="226">
        <v>1644</v>
      </c>
      <c r="B1650" s="226" t="s">
        <v>6109</v>
      </c>
      <c r="C1650" s="226" t="s">
        <v>5504</v>
      </c>
      <c r="D1650" s="292" t="s">
        <v>6111</v>
      </c>
      <c r="E1650" s="226">
        <v>1</v>
      </c>
      <c r="F1650" s="230">
        <v>43203</v>
      </c>
      <c r="G1650" s="276">
        <f ca="1">IF(ISBLANK(I1650),TODAY()-F1650,I1650-F1650)</f>
        <v>12</v>
      </c>
      <c r="H1650" s="255" t="s">
        <v>5984</v>
      </c>
      <c r="I1650" s="294">
        <v>43215</v>
      </c>
      <c r="J1650" s="278" t="s">
        <v>5113</v>
      </c>
    </row>
    <row r="1651" spans="1:10" x14ac:dyDescent="0.45">
      <c r="A1651" s="226">
        <v>1645</v>
      </c>
      <c r="B1651" s="226" t="s">
        <v>6112</v>
      </c>
      <c r="C1651" s="226" t="s">
        <v>5505</v>
      </c>
      <c r="D1651" s="292" t="s">
        <v>6113</v>
      </c>
      <c r="E1651" s="226">
        <v>1</v>
      </c>
      <c r="F1651" s="230">
        <v>43203</v>
      </c>
      <c r="G1651" s="295">
        <f ca="1">IF(ISBLANK(I1651),TODAY()-F1651,I1651-F1651)</f>
        <v>14</v>
      </c>
      <c r="H1651" s="255" t="s">
        <v>5227</v>
      </c>
      <c r="I1651" s="256">
        <v>43217</v>
      </c>
      <c r="J1651" s="278" t="s">
        <v>5113</v>
      </c>
    </row>
    <row r="1652" spans="1:10" x14ac:dyDescent="0.45">
      <c r="A1652" s="226">
        <v>1647</v>
      </c>
      <c r="B1652" s="226" t="s">
        <v>6116</v>
      </c>
      <c r="C1652" s="226" t="s">
        <v>6117</v>
      </c>
      <c r="D1652" s="292" t="s">
        <v>6118</v>
      </c>
      <c r="E1652" s="226">
        <v>1</v>
      </c>
      <c r="F1652" s="230">
        <v>43203</v>
      </c>
      <c r="G1652" s="295">
        <f ca="1">IF(ISBLANK(I1652),TODAY()-F1652,I1652-F1652)</f>
        <v>12</v>
      </c>
      <c r="H1652" s="255" t="s">
        <v>5227</v>
      </c>
      <c r="I1652" s="256">
        <v>43215</v>
      </c>
      <c r="J1652" s="278" t="s">
        <v>5113</v>
      </c>
    </row>
    <row r="1653" spans="1:10" x14ac:dyDescent="0.45">
      <c r="A1653" s="226">
        <v>1648</v>
      </c>
      <c r="B1653" s="226" t="s">
        <v>6116</v>
      </c>
      <c r="C1653" s="226" t="s">
        <v>6119</v>
      </c>
      <c r="D1653" s="292" t="s">
        <v>6120</v>
      </c>
      <c r="E1653" s="226">
        <v>1</v>
      </c>
      <c r="F1653" s="230">
        <v>43203</v>
      </c>
      <c r="G1653" s="295">
        <f ca="1">IF(ISBLANK(I1653),TODAY()-F1653,I1653-F1653)</f>
        <v>12</v>
      </c>
      <c r="H1653" s="255" t="s">
        <v>5227</v>
      </c>
      <c r="I1653" s="256">
        <v>43215</v>
      </c>
      <c r="J1653" s="278" t="s">
        <v>5113</v>
      </c>
    </row>
    <row r="1654" spans="1:10" x14ac:dyDescent="0.45">
      <c r="A1654" s="226">
        <v>1646</v>
      </c>
      <c r="B1654" s="226" t="s">
        <v>6114</v>
      </c>
      <c r="C1654" s="226" t="s">
        <v>6115</v>
      </c>
      <c r="D1654" s="292" t="s">
        <v>5954</v>
      </c>
      <c r="E1654" s="226" t="s">
        <v>160</v>
      </c>
      <c r="F1654" s="230">
        <v>43207</v>
      </c>
      <c r="G1654" s="295">
        <f ca="1">IF(ISBLANK(I1654),TODAY()-F1654,I1654-F1654)</f>
        <v>8</v>
      </c>
      <c r="H1654" s="255" t="s">
        <v>5002</v>
      </c>
      <c r="I1654" s="256">
        <v>43215</v>
      </c>
      <c r="J1654" s="278" t="s">
        <v>5113</v>
      </c>
    </row>
    <row r="1655" spans="1:10" x14ac:dyDescent="0.45">
      <c r="A1655" s="226">
        <v>1649</v>
      </c>
      <c r="B1655" s="226" t="s">
        <v>6121</v>
      </c>
      <c r="C1655" s="226" t="s">
        <v>6122</v>
      </c>
      <c r="D1655" s="292" t="s">
        <v>6123</v>
      </c>
      <c r="E1655" s="226">
        <v>1</v>
      </c>
      <c r="F1655" s="230">
        <v>43207</v>
      </c>
      <c r="G1655" s="295">
        <f ca="1">IF(ISBLANK(I1655),TODAY()-F1655,I1655-F1655)</f>
        <v>8</v>
      </c>
      <c r="H1655" s="255" t="s">
        <v>5227</v>
      </c>
      <c r="I1655" s="256">
        <v>43215</v>
      </c>
      <c r="J1655" s="278" t="s">
        <v>5113</v>
      </c>
    </row>
    <row r="1656" spans="1:10" x14ac:dyDescent="0.45">
      <c r="A1656" s="226">
        <v>1653</v>
      </c>
      <c r="B1656" s="226" t="s">
        <v>6132</v>
      </c>
      <c r="C1656" s="226" t="s">
        <v>6010</v>
      </c>
      <c r="D1656" s="292" t="s">
        <v>6133</v>
      </c>
      <c r="E1656" s="226">
        <v>0</v>
      </c>
      <c r="F1656" s="230">
        <v>43207</v>
      </c>
      <c r="G1656" s="295">
        <f ca="1">IF(ISBLANK(I1656),TODAY()-F1656,I1656-F1656)</f>
        <v>10</v>
      </c>
      <c r="H1656" s="255" t="s">
        <v>5344</v>
      </c>
      <c r="I1656" s="256">
        <v>43217</v>
      </c>
      <c r="J1656" s="278" t="s">
        <v>5113</v>
      </c>
    </row>
    <row r="1657" spans="1:10" x14ac:dyDescent="0.45">
      <c r="A1657" s="226">
        <v>1654</v>
      </c>
      <c r="B1657" s="226" t="s">
        <v>6132</v>
      </c>
      <c r="C1657" s="226" t="s">
        <v>6134</v>
      </c>
      <c r="D1657" s="292" t="s">
        <v>6135</v>
      </c>
      <c r="E1657" s="226">
        <v>1</v>
      </c>
      <c r="F1657" s="230">
        <v>43207</v>
      </c>
      <c r="G1657" s="295">
        <f ca="1">IF(ISBLANK(I1657),TODAY()-F1657,I1657-F1657)</f>
        <v>10</v>
      </c>
      <c r="H1657" s="255" t="s">
        <v>5227</v>
      </c>
      <c r="I1657" s="256">
        <v>43217</v>
      </c>
      <c r="J1657" s="278" t="s">
        <v>5113</v>
      </c>
    </row>
    <row r="1658" spans="1:10" x14ac:dyDescent="0.45">
      <c r="A1658" s="226">
        <v>1655</v>
      </c>
      <c r="B1658" s="226" t="s">
        <v>6132</v>
      </c>
      <c r="C1658" s="226" t="s">
        <v>6136</v>
      </c>
      <c r="D1658" s="292" t="s">
        <v>6137</v>
      </c>
      <c r="E1658" s="226">
        <v>1</v>
      </c>
      <c r="F1658" s="230">
        <v>43207</v>
      </c>
      <c r="G1658" s="295">
        <f ca="1">IF(ISBLANK(I1658),TODAY()-F1658,I1658-F1658)</f>
        <v>10</v>
      </c>
      <c r="H1658" s="255" t="s">
        <v>5984</v>
      </c>
      <c r="I1658" s="256">
        <v>43217</v>
      </c>
      <c r="J1658" s="278" t="s">
        <v>5113</v>
      </c>
    </row>
    <row r="1659" spans="1:10" x14ac:dyDescent="0.45">
      <c r="A1659" s="296">
        <v>1656</v>
      </c>
      <c r="B1659" s="296" t="s">
        <v>6132</v>
      </c>
      <c r="C1659" s="296" t="s">
        <v>6138</v>
      </c>
      <c r="D1659" s="297" t="s">
        <v>6139</v>
      </c>
      <c r="E1659" s="296">
        <v>1</v>
      </c>
      <c r="F1659" s="230">
        <v>43207</v>
      </c>
      <c r="G1659" s="295">
        <f ca="1">IF(ISBLANK(I1659),TODAY()-F1659,I1659-F1659)</f>
        <v>10</v>
      </c>
      <c r="H1659" s="255" t="s">
        <v>5984</v>
      </c>
      <c r="I1659" s="256">
        <v>43217</v>
      </c>
      <c r="J1659" s="278" t="s">
        <v>5113</v>
      </c>
    </row>
    <row r="1660" spans="1:10" x14ac:dyDescent="0.45">
      <c r="A1660" s="298">
        <v>1657</v>
      </c>
      <c r="B1660" s="299" t="s">
        <v>1780</v>
      </c>
      <c r="C1660" s="299" t="s">
        <v>1777</v>
      </c>
      <c r="D1660" s="299" t="s">
        <v>1779</v>
      </c>
      <c r="E1660" s="298">
        <v>0</v>
      </c>
      <c r="F1660" s="230">
        <v>43207</v>
      </c>
      <c r="G1660" s="295">
        <f ca="1">IF(ISBLANK(I1660),TODAY()-F1660,I1660-F1660)</f>
        <v>10</v>
      </c>
      <c r="H1660" s="255" t="s">
        <v>5344</v>
      </c>
      <c r="I1660" s="256">
        <v>43217</v>
      </c>
      <c r="J1660" s="278" t="s">
        <v>5113</v>
      </c>
    </row>
    <row r="1661" spans="1:10" x14ac:dyDescent="0.45">
      <c r="A1661" s="298">
        <v>1658</v>
      </c>
      <c r="B1661" s="299" t="s">
        <v>6140</v>
      </c>
      <c r="C1661" s="298" t="s">
        <v>6141</v>
      </c>
      <c r="D1661" s="298" t="s">
        <v>6142</v>
      </c>
      <c r="E1661" s="298"/>
      <c r="F1661" s="294">
        <v>43207</v>
      </c>
      <c r="G1661" s="276">
        <f ca="1">IF(ISBLANK(I1661),TODAY()-F1661,I1661-F1661)</f>
        <v>8</v>
      </c>
      <c r="H1661" s="282" t="s">
        <v>5002</v>
      </c>
      <c r="I1661" s="256">
        <v>43215</v>
      </c>
      <c r="J1661" s="278" t="s">
        <v>5113</v>
      </c>
    </row>
    <row r="1662" spans="1:10" x14ac:dyDescent="0.45">
      <c r="A1662" s="298">
        <v>1659</v>
      </c>
      <c r="B1662" s="299" t="s">
        <v>6143</v>
      </c>
      <c r="C1662" s="299" t="s">
        <v>1542</v>
      </c>
      <c r="D1662" s="298" t="s">
        <v>6144</v>
      </c>
      <c r="E1662" s="298">
        <v>1</v>
      </c>
      <c r="F1662" s="294">
        <v>43210</v>
      </c>
      <c r="G1662" s="276">
        <f ca="1">IF(ISBLANK(I1662),TODAY()-F1662,I1662-F1662)</f>
        <v>5</v>
      </c>
      <c r="H1662" s="282" t="s">
        <v>5227</v>
      </c>
      <c r="I1662" s="256">
        <v>43215</v>
      </c>
      <c r="J1662" s="278" t="s">
        <v>5113</v>
      </c>
    </row>
    <row r="1663" spans="1:10" x14ac:dyDescent="0.45">
      <c r="A1663" s="298">
        <v>1662</v>
      </c>
      <c r="B1663" s="299" t="s">
        <v>6146</v>
      </c>
      <c r="C1663" s="299" t="s">
        <v>694</v>
      </c>
      <c r="D1663" s="298" t="s">
        <v>6147</v>
      </c>
      <c r="E1663" s="298">
        <v>0</v>
      </c>
      <c r="F1663" s="294">
        <v>43215</v>
      </c>
      <c r="G1663" s="276">
        <f ca="1">IF(ISBLANK(I1663),TODAY()-F1663,I1663-F1663)</f>
        <v>9</v>
      </c>
      <c r="H1663" s="363" t="s">
        <v>64</v>
      </c>
      <c r="I1663" s="283">
        <v>43224</v>
      </c>
      <c r="J1663" s="278" t="s">
        <v>5113</v>
      </c>
    </row>
    <row r="1664" spans="1:10" x14ac:dyDescent="0.45">
      <c r="A1664" s="298">
        <v>1663</v>
      </c>
      <c r="B1664" s="299" t="s">
        <v>6148</v>
      </c>
      <c r="C1664" s="299" t="s">
        <v>6149</v>
      </c>
      <c r="D1664" s="298" t="s">
        <v>6150</v>
      </c>
      <c r="E1664" s="298">
        <v>2</v>
      </c>
      <c r="F1664" s="294">
        <v>43215</v>
      </c>
      <c r="G1664" s="276">
        <f ca="1">IF(ISBLANK(I1664),TODAY()-F1664,I1664-F1664)</f>
        <v>2</v>
      </c>
      <c r="H1664" s="255" t="s">
        <v>5344</v>
      </c>
      <c r="I1664" s="283">
        <v>43217</v>
      </c>
      <c r="J1664" s="278" t="s">
        <v>5113</v>
      </c>
    </row>
    <row r="1665" spans="1:10" x14ac:dyDescent="0.45">
      <c r="A1665" s="298">
        <v>1664</v>
      </c>
      <c r="B1665" s="299" t="s">
        <v>6148</v>
      </c>
      <c r="C1665" s="299" t="s">
        <v>959</v>
      </c>
      <c r="D1665" s="298" t="s">
        <v>6151</v>
      </c>
      <c r="E1665" s="298">
        <v>2</v>
      </c>
      <c r="F1665" s="294">
        <v>43215</v>
      </c>
      <c r="G1665" s="276">
        <f ca="1">IF(ISBLANK(I1665),TODAY()-F1665,I1665-F1665)</f>
        <v>2</v>
      </c>
      <c r="H1665" s="282" t="s">
        <v>5227</v>
      </c>
      <c r="I1665" s="283">
        <v>43217</v>
      </c>
      <c r="J1665" s="278" t="s">
        <v>5113</v>
      </c>
    </row>
    <row r="1666" spans="1:10" x14ac:dyDescent="0.45">
      <c r="A1666" s="298">
        <v>1665</v>
      </c>
      <c r="B1666" s="299" t="s">
        <v>6152</v>
      </c>
      <c r="C1666" s="299" t="s">
        <v>2410</v>
      </c>
      <c r="D1666" s="298" t="s">
        <v>6153</v>
      </c>
      <c r="E1666" s="298" t="s">
        <v>5002</v>
      </c>
      <c r="F1666" s="294">
        <v>43215</v>
      </c>
      <c r="G1666" s="276">
        <f ca="1">IF(ISBLANK(I1666),TODAY()-F1666,I1666-F1666)</f>
        <v>9</v>
      </c>
      <c r="H1666" s="363" t="s">
        <v>160</v>
      </c>
      <c r="I1666" s="378">
        <v>43224</v>
      </c>
      <c r="J1666" s="278" t="s">
        <v>5113</v>
      </c>
    </row>
    <row r="1667" spans="1:10" x14ac:dyDescent="0.45">
      <c r="A1667" s="298">
        <v>1666</v>
      </c>
      <c r="B1667" s="299" t="s">
        <v>6154</v>
      </c>
      <c r="C1667" s="299" t="s">
        <v>1768</v>
      </c>
      <c r="D1667" s="298" t="s">
        <v>6155</v>
      </c>
      <c r="E1667" s="298">
        <v>0</v>
      </c>
      <c r="F1667" s="294">
        <v>43215</v>
      </c>
      <c r="G1667" s="276">
        <f ca="1">IF(ISBLANK(I1667),TODAY()-F1667,I1667-F1667)</f>
        <v>9</v>
      </c>
      <c r="H1667" s="274" t="s">
        <v>5493</v>
      </c>
      <c r="I1667" s="378">
        <v>43224</v>
      </c>
      <c r="J1667" s="278" t="s">
        <v>5113</v>
      </c>
    </row>
    <row r="1668" spans="1:10" x14ac:dyDescent="0.45">
      <c r="A1668" s="298">
        <v>1667</v>
      </c>
      <c r="B1668" s="299" t="s">
        <v>6156</v>
      </c>
      <c r="C1668" s="299" t="s">
        <v>1969</v>
      </c>
      <c r="D1668" s="298" t="s">
        <v>6157</v>
      </c>
      <c r="E1668" s="298">
        <v>1</v>
      </c>
      <c r="F1668" s="294">
        <v>43215</v>
      </c>
      <c r="G1668" s="276">
        <f ca="1">IF(ISBLANK(I1668),TODAY()-F1668,I1668-F1668)</f>
        <v>9</v>
      </c>
      <c r="H1668" s="364" t="s">
        <v>64</v>
      </c>
      <c r="I1668" s="283">
        <v>43224</v>
      </c>
      <c r="J1668" s="278" t="s">
        <v>5113</v>
      </c>
    </row>
    <row r="1669" spans="1:10" x14ac:dyDescent="0.45">
      <c r="A1669" s="298">
        <v>1668</v>
      </c>
      <c r="B1669" s="299" t="s">
        <v>6156</v>
      </c>
      <c r="C1669" s="299" t="s">
        <v>1959</v>
      </c>
      <c r="D1669" s="298" t="s">
        <v>6158</v>
      </c>
      <c r="E1669" s="298">
        <v>1</v>
      </c>
      <c r="F1669" s="294">
        <v>43215</v>
      </c>
      <c r="G1669" s="276">
        <f ca="1">IF(ISBLANK(I1669),TODAY()-F1669,I1669-F1669)</f>
        <v>9</v>
      </c>
      <c r="H1669" s="388" t="s">
        <v>5493</v>
      </c>
      <c r="I1669" s="283">
        <v>43224</v>
      </c>
      <c r="J1669" s="278" t="s">
        <v>5113</v>
      </c>
    </row>
    <row r="1670" spans="1:10" x14ac:dyDescent="0.45">
      <c r="A1670" s="298">
        <v>1669</v>
      </c>
      <c r="B1670" s="299" t="s">
        <v>6156</v>
      </c>
      <c r="C1670" s="299" t="s">
        <v>1927</v>
      </c>
      <c r="D1670" s="298" t="s">
        <v>6159</v>
      </c>
      <c r="E1670" s="298">
        <v>1</v>
      </c>
      <c r="F1670" s="294">
        <v>43215</v>
      </c>
      <c r="G1670" s="276">
        <f ca="1">IF(ISBLANK(I1670),TODAY()-F1670,I1670-F1670)</f>
        <v>9</v>
      </c>
      <c r="H1670" s="277" t="s">
        <v>5493</v>
      </c>
      <c r="I1670" s="283">
        <v>43224</v>
      </c>
      <c r="J1670" s="278" t="s">
        <v>5113</v>
      </c>
    </row>
    <row r="1671" spans="1:10" x14ac:dyDescent="0.45">
      <c r="A1671" s="298">
        <v>1670</v>
      </c>
      <c r="B1671" s="299" t="s">
        <v>6156</v>
      </c>
      <c r="C1671" s="299" t="s">
        <v>1907</v>
      </c>
      <c r="D1671" s="298" t="s">
        <v>6160</v>
      </c>
      <c r="E1671" s="298">
        <v>1</v>
      </c>
      <c r="F1671" s="294">
        <v>43215</v>
      </c>
      <c r="G1671" s="276">
        <f ca="1">IF(ISBLANK(I1671),TODAY()-F1671,I1671-F1671)</f>
        <v>9</v>
      </c>
      <c r="H1671" s="277" t="s">
        <v>6161</v>
      </c>
      <c r="I1671" s="283">
        <v>43224</v>
      </c>
      <c r="J1671" s="278" t="s">
        <v>5113</v>
      </c>
    </row>
    <row r="1672" spans="1:10" x14ac:dyDescent="0.45">
      <c r="A1672" s="298">
        <v>1671</v>
      </c>
      <c r="B1672" s="299" t="s">
        <v>6162</v>
      </c>
      <c r="C1672" s="299" t="s">
        <v>1999</v>
      </c>
      <c r="D1672" s="298" t="s">
        <v>6163</v>
      </c>
      <c r="E1672" s="298" t="s">
        <v>65</v>
      </c>
      <c r="F1672" s="294">
        <v>43215</v>
      </c>
      <c r="G1672" s="276">
        <f ca="1">IF(ISBLANK(I1672),TODAY()-F1672,I1672-F1672)</f>
        <v>9</v>
      </c>
      <c r="H1672" s="277" t="s">
        <v>65</v>
      </c>
      <c r="I1672" s="283">
        <v>43224</v>
      </c>
      <c r="J1672" s="278" t="s">
        <v>5113</v>
      </c>
    </row>
    <row r="1673" spans="1:10" x14ac:dyDescent="0.45">
      <c r="A1673" s="298">
        <v>1672</v>
      </c>
      <c r="B1673" s="299" t="s">
        <v>6164</v>
      </c>
      <c r="C1673" s="299" t="s">
        <v>2058</v>
      </c>
      <c r="D1673" s="298" t="s">
        <v>6165</v>
      </c>
      <c r="E1673" s="298" t="s">
        <v>5002</v>
      </c>
      <c r="F1673" s="294">
        <v>43215</v>
      </c>
      <c r="G1673" s="276">
        <f ca="1">IF(ISBLANK(I1673),TODAY()-F1673,I1673-F1673)</f>
        <v>2</v>
      </c>
      <c r="H1673" s="362" t="s">
        <v>5003</v>
      </c>
      <c r="I1673" s="283">
        <v>43217</v>
      </c>
      <c r="J1673" s="278" t="s">
        <v>5113</v>
      </c>
    </row>
    <row r="1674" spans="1:10" x14ac:dyDescent="0.45">
      <c r="A1674" s="298">
        <v>1673</v>
      </c>
      <c r="B1674" s="299" t="s">
        <v>6166</v>
      </c>
      <c r="C1674" s="299" t="s">
        <v>1956</v>
      </c>
      <c r="D1674" s="298" t="s">
        <v>6167</v>
      </c>
      <c r="E1674" s="298">
        <v>1</v>
      </c>
      <c r="F1674" s="294">
        <v>43217</v>
      </c>
      <c r="G1674" s="276">
        <f ca="1">IF(ISBLANK(I1674),TODAY()-F1674,I1674-F1674)</f>
        <v>7</v>
      </c>
      <c r="H1674" s="277" t="s">
        <v>64</v>
      </c>
      <c r="I1674" s="283">
        <v>43224</v>
      </c>
      <c r="J1674" s="278" t="s">
        <v>5113</v>
      </c>
    </row>
    <row r="1675" spans="1:10" x14ac:dyDescent="0.45">
      <c r="A1675" s="298">
        <v>1674</v>
      </c>
      <c r="B1675" s="299" t="s">
        <v>6166</v>
      </c>
      <c r="C1675" s="299" t="s">
        <v>1950</v>
      </c>
      <c r="D1675" s="298" t="s">
        <v>6168</v>
      </c>
      <c r="E1675" s="298">
        <v>1</v>
      </c>
      <c r="F1675" s="294">
        <v>43217</v>
      </c>
      <c r="G1675" s="276">
        <f ca="1">IF(ISBLANK(I1675),TODAY()-F1675,I1675-F1675)</f>
        <v>7</v>
      </c>
      <c r="H1675" s="394" t="s">
        <v>5493</v>
      </c>
      <c r="I1675" s="283">
        <v>43224</v>
      </c>
      <c r="J1675" s="278" t="s">
        <v>5113</v>
      </c>
    </row>
    <row r="1676" spans="1:10" x14ac:dyDescent="0.45">
      <c r="A1676" s="298">
        <v>1675</v>
      </c>
      <c r="B1676" s="299" t="s">
        <v>6166</v>
      </c>
      <c r="C1676" s="299" t="s">
        <v>1910</v>
      </c>
      <c r="D1676" s="298" t="s">
        <v>5421</v>
      </c>
      <c r="E1676" s="298">
        <v>1</v>
      </c>
      <c r="F1676" s="294">
        <v>43217</v>
      </c>
      <c r="G1676" s="276">
        <f ca="1">IF(ISBLANK(I1676),TODAY()-F1676,I1676-F1676)</f>
        <v>7</v>
      </c>
      <c r="H1676" s="388" t="s">
        <v>6161</v>
      </c>
      <c r="I1676" s="283">
        <v>43224</v>
      </c>
      <c r="J1676" s="278" t="s">
        <v>5113</v>
      </c>
    </row>
    <row r="1677" spans="1:10" x14ac:dyDescent="0.45">
      <c r="A1677" s="298">
        <v>1676</v>
      </c>
      <c r="B1677" s="299" t="s">
        <v>6169</v>
      </c>
      <c r="C1677" s="299" t="s">
        <v>886</v>
      </c>
      <c r="D1677" s="298" t="s">
        <v>5951</v>
      </c>
      <c r="E1677" s="298">
        <v>0</v>
      </c>
      <c r="F1677" s="294">
        <v>43217</v>
      </c>
      <c r="G1677" s="276">
        <f ca="1">IF(ISBLANK(I1677),TODAY()-F1677,I1677-F1677)</f>
        <v>7</v>
      </c>
      <c r="H1677" s="277" t="s">
        <v>5493</v>
      </c>
      <c r="I1677" s="283">
        <v>43224</v>
      </c>
      <c r="J1677" s="278" t="s">
        <v>5113</v>
      </c>
    </row>
    <row r="1678" spans="1:10" x14ac:dyDescent="0.45">
      <c r="A1678" s="298">
        <v>1660</v>
      </c>
      <c r="B1678" s="299" t="s">
        <v>6145</v>
      </c>
      <c r="C1678" s="299" t="s">
        <v>1774</v>
      </c>
      <c r="D1678" s="298" t="s">
        <v>6051</v>
      </c>
      <c r="E1678" s="298">
        <v>0</v>
      </c>
      <c r="F1678" s="294">
        <v>43222</v>
      </c>
      <c r="G1678" s="276">
        <f ca="1">IF(ISBLANK(I1678),TODAY()-F1678,I1678-F1678)</f>
        <v>2</v>
      </c>
      <c r="H1678" s="362" t="s">
        <v>5344</v>
      </c>
      <c r="I1678" s="283">
        <v>43224</v>
      </c>
      <c r="J1678" s="278" t="s">
        <v>5113</v>
      </c>
    </row>
    <row r="1679" spans="1:10" x14ac:dyDescent="0.45">
      <c r="A1679" s="298">
        <v>1661</v>
      </c>
      <c r="B1679" s="299" t="s">
        <v>6145</v>
      </c>
      <c r="C1679" s="299" t="s">
        <v>1784</v>
      </c>
      <c r="D1679" s="298" t="s">
        <v>6053</v>
      </c>
      <c r="E1679" s="298">
        <v>0</v>
      </c>
      <c r="F1679" s="294">
        <v>43222</v>
      </c>
      <c r="G1679" s="276">
        <f ca="1">IF(ISBLANK(I1679),TODAY()-F1679,I1679-F1679)</f>
        <v>2</v>
      </c>
      <c r="H1679" s="362" t="s">
        <v>5344</v>
      </c>
      <c r="I1679" s="283">
        <v>43224</v>
      </c>
      <c r="J1679" s="278" t="s">
        <v>5113</v>
      </c>
    </row>
    <row r="1680" spans="1:10" x14ac:dyDescent="0.45">
      <c r="A1680" s="298">
        <v>1677</v>
      </c>
      <c r="B1680" s="299" t="s">
        <v>6170</v>
      </c>
      <c r="C1680" s="299" t="s">
        <v>6171</v>
      </c>
      <c r="D1680" s="298" t="s">
        <v>6172</v>
      </c>
      <c r="E1680" s="298"/>
      <c r="F1680" s="294">
        <v>43222</v>
      </c>
      <c r="G1680" s="276">
        <f ca="1">IF(ISBLANK(I1680),TODAY()-F1680,I1680-F1680)</f>
        <v>14</v>
      </c>
      <c r="H1680" s="282" t="s">
        <v>6173</v>
      </c>
      <c r="I1680" s="300">
        <v>43236</v>
      </c>
      <c r="J1680" s="278" t="s">
        <v>5113</v>
      </c>
    </row>
    <row r="1681" spans="1:10" x14ac:dyDescent="0.45">
      <c r="A1681" s="298">
        <v>1678</v>
      </c>
      <c r="B1681" s="299" t="s">
        <v>6174</v>
      </c>
      <c r="C1681" s="299" t="s">
        <v>1656</v>
      </c>
      <c r="D1681" s="298" t="s">
        <v>5954</v>
      </c>
      <c r="E1681" s="298">
        <v>0</v>
      </c>
      <c r="F1681" s="294">
        <v>43222</v>
      </c>
      <c r="G1681" s="276">
        <f ca="1">IF(ISBLANK(I1681),TODAY()-F1681,I1681-F1681)</f>
        <v>2</v>
      </c>
      <c r="H1681" s="388" t="s">
        <v>5227</v>
      </c>
      <c r="I1681" s="283">
        <v>43224</v>
      </c>
      <c r="J1681" s="278" t="s">
        <v>5113</v>
      </c>
    </row>
    <row r="1682" spans="1:10" x14ac:dyDescent="0.45">
      <c r="A1682" s="301">
        <v>1679</v>
      </c>
      <c r="B1682" s="302" t="s">
        <v>6175</v>
      </c>
      <c r="C1682" s="302" t="s">
        <v>483</v>
      </c>
      <c r="D1682" s="301" t="s">
        <v>6176</v>
      </c>
      <c r="E1682" s="301" t="s">
        <v>5002</v>
      </c>
      <c r="F1682" s="303">
        <v>43224</v>
      </c>
      <c r="G1682" s="304">
        <f ca="1">IF(ISBLANK(I1682),TODAY()-F1682,I1682-F1682)</f>
        <v>7</v>
      </c>
      <c r="H1682" s="305" t="s">
        <v>160</v>
      </c>
      <c r="I1682" s="306">
        <v>43231</v>
      </c>
      <c r="J1682" s="307"/>
    </row>
    <row r="1683" spans="1:10" x14ac:dyDescent="0.45">
      <c r="A1683" s="298">
        <v>1680</v>
      </c>
      <c r="B1683" s="299" t="s">
        <v>6175</v>
      </c>
      <c r="C1683" s="299" t="s">
        <v>444</v>
      </c>
      <c r="D1683" s="298" t="s">
        <v>6177</v>
      </c>
      <c r="E1683" s="298" t="s">
        <v>5002</v>
      </c>
      <c r="F1683" s="294">
        <v>43224</v>
      </c>
      <c r="G1683" s="276">
        <f ca="1">IF(ISBLANK(I1683),TODAY()-F1683,I1683-F1683)</f>
        <v>7</v>
      </c>
      <c r="H1683" s="282" t="s">
        <v>160</v>
      </c>
      <c r="I1683" s="283">
        <v>43231</v>
      </c>
      <c r="J1683" s="279"/>
    </row>
    <row r="1684" spans="1:10" x14ac:dyDescent="0.45">
      <c r="A1684" s="298">
        <v>1681</v>
      </c>
      <c r="B1684" s="299" t="s">
        <v>6175</v>
      </c>
      <c r="C1684" s="299" t="s">
        <v>495</v>
      </c>
      <c r="D1684" s="298" t="s">
        <v>6178</v>
      </c>
      <c r="E1684" s="298" t="s">
        <v>5002</v>
      </c>
      <c r="F1684" s="294">
        <v>43224</v>
      </c>
      <c r="G1684" s="276">
        <f ca="1">IF(ISBLANK(I1684),TODAY()-F1684,I1684-F1684)</f>
        <v>7</v>
      </c>
      <c r="H1684" s="282" t="s">
        <v>160</v>
      </c>
      <c r="I1684" s="283">
        <v>43231</v>
      </c>
      <c r="J1684" s="279"/>
    </row>
    <row r="1685" spans="1:10" x14ac:dyDescent="0.45">
      <c r="A1685" s="298">
        <v>1682</v>
      </c>
      <c r="B1685" s="299" t="s">
        <v>6179</v>
      </c>
      <c r="C1685" s="299" t="s">
        <v>785</v>
      </c>
      <c r="D1685" s="298" t="s">
        <v>6180</v>
      </c>
      <c r="E1685" s="298" t="s">
        <v>5002</v>
      </c>
      <c r="F1685" s="294">
        <v>43224</v>
      </c>
      <c r="G1685" s="276">
        <f ca="1">IF(ISBLANK(I1685),TODAY()-F1685,I1685-F1685)</f>
        <v>27</v>
      </c>
      <c r="H1685" s="282" t="s">
        <v>64</v>
      </c>
      <c r="I1685" s="283">
        <v>43251</v>
      </c>
      <c r="J1685" s="279"/>
    </row>
    <row r="1686" spans="1:10" x14ac:dyDescent="0.45">
      <c r="A1686" s="298">
        <v>1708</v>
      </c>
      <c r="B1686" s="298" t="s">
        <v>2615</v>
      </c>
      <c r="C1686" s="298" t="s">
        <v>2058</v>
      </c>
      <c r="D1686" s="298" t="s">
        <v>2060</v>
      </c>
      <c r="E1686" s="298">
        <v>0</v>
      </c>
      <c r="F1686" s="294">
        <v>43227</v>
      </c>
      <c r="G1686" s="393">
        <f ca="1">IF(ISBLANK(I1686),TODAY()-F1686,I1686-F1686)</f>
        <v>2697</v>
      </c>
      <c r="H1686" s="316"/>
      <c r="I1686" s="316"/>
      <c r="J1686" s="382"/>
    </row>
    <row r="1687" spans="1:10" x14ac:dyDescent="0.45">
      <c r="A1687" s="298">
        <v>1689</v>
      </c>
      <c r="B1687" s="298" t="s">
        <v>2454</v>
      </c>
      <c r="C1687" s="298" t="s">
        <v>336</v>
      </c>
      <c r="D1687" s="298" t="s">
        <v>338</v>
      </c>
      <c r="E1687" s="298">
        <v>0</v>
      </c>
      <c r="F1687" s="294">
        <v>43227</v>
      </c>
      <c r="G1687" s="393">
        <f ca="1">IF(ISBLANK(I1687),TODAY()-F1687,I1687-F1687)</f>
        <v>2697</v>
      </c>
      <c r="H1687" s="316"/>
      <c r="I1687" s="316"/>
      <c r="J1687" s="382"/>
    </row>
    <row r="1688" spans="1:10" x14ac:dyDescent="0.45">
      <c r="A1688" s="298">
        <v>1686</v>
      </c>
      <c r="B1688" s="299" t="s">
        <v>6188</v>
      </c>
      <c r="C1688" s="299" t="s">
        <v>1953</v>
      </c>
      <c r="D1688" s="298" t="s">
        <v>6189</v>
      </c>
      <c r="E1688" s="298">
        <v>1</v>
      </c>
      <c r="F1688" s="294">
        <v>43231</v>
      </c>
      <c r="G1688" s="243">
        <f ca="1">IF(ISBLANK(I1688),TODAY()-F1688,I1688-F1688)</f>
        <v>5</v>
      </c>
      <c r="H1688" s="363" t="s">
        <v>6173</v>
      </c>
      <c r="I1688" s="389">
        <v>43236</v>
      </c>
      <c r="J1688" s="278" t="s">
        <v>5113</v>
      </c>
    </row>
    <row r="1689" spans="1:10" x14ac:dyDescent="0.45">
      <c r="A1689" s="298">
        <v>1687</v>
      </c>
      <c r="B1689" s="299" t="s">
        <v>6188</v>
      </c>
      <c r="C1689" s="299" t="s">
        <v>1848</v>
      </c>
      <c r="D1689" s="298" t="s">
        <v>6190</v>
      </c>
      <c r="E1689" s="298">
        <v>1</v>
      </c>
      <c r="F1689" s="294">
        <v>43231</v>
      </c>
      <c r="G1689" s="243">
        <f ca="1">IF(ISBLANK(I1689),TODAY()-F1689,I1689-F1689)</f>
        <v>5</v>
      </c>
      <c r="H1689" s="255" t="s">
        <v>6173</v>
      </c>
      <c r="I1689" s="308">
        <v>43236</v>
      </c>
      <c r="J1689" s="278" t="s">
        <v>5113</v>
      </c>
    </row>
    <row r="1690" spans="1:10" x14ac:dyDescent="0.45">
      <c r="A1690" s="298">
        <v>1683</v>
      </c>
      <c r="B1690" s="299" t="s">
        <v>6181</v>
      </c>
      <c r="C1690" s="299" t="s">
        <v>6182</v>
      </c>
      <c r="D1690" s="298" t="s">
        <v>6183</v>
      </c>
      <c r="E1690" s="298" t="s">
        <v>349</v>
      </c>
      <c r="F1690" s="294">
        <v>43234</v>
      </c>
      <c r="G1690" s="276">
        <f ca="1">IF(ISBLANK(I1690),TODAY()-F1690,I1690-F1690)</f>
        <v>2</v>
      </c>
      <c r="H1690" s="255" t="s">
        <v>6184</v>
      </c>
      <c r="I1690" s="256">
        <v>43236</v>
      </c>
      <c r="J1690" s="278" t="s">
        <v>5160</v>
      </c>
    </row>
    <row r="1691" spans="1:10" x14ac:dyDescent="0.45">
      <c r="A1691" s="298">
        <v>1684</v>
      </c>
      <c r="B1691" s="299" t="s">
        <v>6185</v>
      </c>
      <c r="C1691" s="299" t="s">
        <v>1787</v>
      </c>
      <c r="D1691" s="298" t="s">
        <v>6186</v>
      </c>
      <c r="E1691" s="298" t="s">
        <v>5002</v>
      </c>
      <c r="F1691" s="313">
        <v>43236</v>
      </c>
      <c r="G1691" s="331">
        <f ca="1">IF(ISBLANK(I1691),TODAY()-F1691,I1691-F1691)</f>
        <v>0</v>
      </c>
      <c r="H1691" s="282" t="s">
        <v>64</v>
      </c>
      <c r="I1691" s="283">
        <v>43236</v>
      </c>
      <c r="J1691" s="279" t="s">
        <v>5160</v>
      </c>
    </row>
    <row r="1692" spans="1:10" x14ac:dyDescent="0.45">
      <c r="A1692" s="298">
        <v>1685</v>
      </c>
      <c r="B1692" s="299" t="s">
        <v>6185</v>
      </c>
      <c r="C1692" s="299" t="s">
        <v>1771</v>
      </c>
      <c r="D1692" s="298" t="s">
        <v>6187</v>
      </c>
      <c r="E1692" s="298" t="s">
        <v>5002</v>
      </c>
      <c r="F1692" s="313">
        <v>43236</v>
      </c>
      <c r="G1692" s="331">
        <f ca="1">IF(ISBLANK(I1692),TODAY()-F1692,I1692-F1692)</f>
        <v>0</v>
      </c>
      <c r="H1692" s="282" t="s">
        <v>5493</v>
      </c>
      <c r="I1692" s="283">
        <v>43236</v>
      </c>
      <c r="J1692" s="279" t="s">
        <v>5160</v>
      </c>
    </row>
    <row r="1693" spans="1:10" x14ac:dyDescent="0.45">
      <c r="A1693" s="309">
        <v>1688</v>
      </c>
      <c r="B1693" s="309" t="s">
        <v>6191</v>
      </c>
      <c r="C1693" s="310" t="s">
        <v>1232</v>
      </c>
      <c r="D1693" s="310" t="s">
        <v>1234</v>
      </c>
      <c r="E1693" s="309">
        <v>1</v>
      </c>
      <c r="F1693" s="313">
        <v>43236</v>
      </c>
      <c r="G1693" s="331">
        <f ca="1">IF(ISBLANK(I1693),TODAY()-F1693,I1693-F1693)</f>
        <v>0</v>
      </c>
      <c r="H1693" s="282" t="s">
        <v>65</v>
      </c>
      <c r="I1693" s="283">
        <v>43236</v>
      </c>
      <c r="J1693" s="279" t="s">
        <v>5160</v>
      </c>
    </row>
    <row r="1694" spans="1:10" x14ac:dyDescent="0.45">
      <c r="A1694" s="309">
        <v>1689</v>
      </c>
      <c r="B1694" s="298" t="s">
        <v>6192</v>
      </c>
      <c r="C1694" s="310" t="s">
        <v>1235</v>
      </c>
      <c r="D1694" s="311" t="s">
        <v>1237</v>
      </c>
      <c r="E1694" s="298">
        <v>1</v>
      </c>
      <c r="F1694" s="313">
        <v>43236</v>
      </c>
      <c r="G1694" s="226">
        <f ca="1">IF(ISBLANK(I1694),TODAY()-F1694,I1694-F1694)</f>
        <v>0</v>
      </c>
      <c r="H1694" s="363" t="s">
        <v>65</v>
      </c>
      <c r="I1694" s="378">
        <v>43236</v>
      </c>
      <c r="J1694" s="278" t="s">
        <v>5160</v>
      </c>
    </row>
    <row r="1695" spans="1:10" x14ac:dyDescent="0.45">
      <c r="A1695" s="309">
        <v>1690</v>
      </c>
      <c r="B1695" s="298" t="s">
        <v>6193</v>
      </c>
      <c r="C1695" s="310" t="s">
        <v>1238</v>
      </c>
      <c r="D1695" s="311" t="s">
        <v>1240</v>
      </c>
      <c r="E1695" s="298">
        <v>1</v>
      </c>
      <c r="F1695" s="313">
        <v>43236</v>
      </c>
      <c r="G1695" s="226">
        <f ca="1">IF(ISBLANK(I1695),TODAY()-F1695,I1695-F1695)</f>
        <v>0</v>
      </c>
      <c r="H1695" s="363" t="s">
        <v>64</v>
      </c>
      <c r="I1695" s="378">
        <v>43236</v>
      </c>
      <c r="J1695" s="278" t="s">
        <v>5160</v>
      </c>
    </row>
    <row r="1696" spans="1:10" x14ac:dyDescent="0.45">
      <c r="A1696" s="309">
        <v>1691</v>
      </c>
      <c r="B1696" s="298" t="s">
        <v>6194</v>
      </c>
      <c r="C1696" s="310" t="s">
        <v>1241</v>
      </c>
      <c r="D1696" s="310" t="s">
        <v>1243</v>
      </c>
      <c r="E1696" s="298">
        <v>1</v>
      </c>
      <c r="F1696" s="313">
        <v>43236</v>
      </c>
      <c r="G1696" s="226">
        <f ca="1">IF(ISBLANK(I1696),TODAY()-F1696,I1696-F1696)</f>
        <v>0</v>
      </c>
      <c r="H1696" s="363" t="s">
        <v>65</v>
      </c>
      <c r="I1696" s="378">
        <v>43236</v>
      </c>
      <c r="J1696" s="363" t="s">
        <v>5160</v>
      </c>
    </row>
    <row r="1697" spans="1:10" x14ac:dyDescent="0.45">
      <c r="A1697" s="309">
        <v>1692</v>
      </c>
      <c r="B1697" s="298" t="s">
        <v>6195</v>
      </c>
      <c r="C1697" s="298" t="s">
        <v>6196</v>
      </c>
      <c r="D1697" s="298" t="s">
        <v>2001</v>
      </c>
      <c r="E1697" s="298">
        <v>0</v>
      </c>
      <c r="F1697" s="313">
        <v>43236</v>
      </c>
      <c r="G1697" s="226">
        <f ca="1">IF(ISBLANK(I1697),TODAY()-F1697,I1697-F1697)</f>
        <v>0</v>
      </c>
      <c r="H1697" s="255" t="s">
        <v>64</v>
      </c>
      <c r="I1697" s="256">
        <v>43236</v>
      </c>
      <c r="J1697" s="363" t="s">
        <v>5160</v>
      </c>
    </row>
    <row r="1698" spans="1:10" x14ac:dyDescent="0.45">
      <c r="A1698" s="298">
        <v>1693</v>
      </c>
      <c r="B1698" s="299" t="s">
        <v>6197</v>
      </c>
      <c r="C1698" s="299" t="s">
        <v>404</v>
      </c>
      <c r="D1698" s="298" t="s">
        <v>6198</v>
      </c>
      <c r="E1698" s="298" t="s">
        <v>349</v>
      </c>
      <c r="F1698" s="313">
        <v>43236</v>
      </c>
      <c r="G1698" s="243">
        <f ca="1">IF(ISBLANK(I1698),TODAY()-F1698,I1698-F1698)</f>
        <v>8</v>
      </c>
      <c r="H1698" s="255" t="s">
        <v>64</v>
      </c>
      <c r="I1698" s="256">
        <v>43244</v>
      </c>
      <c r="J1698" s="312" t="s">
        <v>5160</v>
      </c>
    </row>
    <row r="1699" spans="1:10" x14ac:dyDescent="0.45">
      <c r="A1699" s="298">
        <v>1694</v>
      </c>
      <c r="B1699" s="299" t="s">
        <v>6197</v>
      </c>
      <c r="C1699" s="299" t="s">
        <v>409</v>
      </c>
      <c r="D1699" s="298" t="s">
        <v>6199</v>
      </c>
      <c r="E1699" s="298" t="s">
        <v>349</v>
      </c>
      <c r="F1699" s="313">
        <v>43236</v>
      </c>
      <c r="G1699" s="226">
        <f ca="1">IF(ISBLANK(I1699),TODAY()-F1699,I1699-F1699)</f>
        <v>8</v>
      </c>
      <c r="H1699" s="282" t="s">
        <v>64</v>
      </c>
      <c r="I1699" s="283">
        <v>43244</v>
      </c>
      <c r="J1699" s="312" t="s">
        <v>5160</v>
      </c>
    </row>
    <row r="1700" spans="1:10" x14ac:dyDescent="0.45">
      <c r="A1700" s="298">
        <v>1695</v>
      </c>
      <c r="B1700" s="299" t="s">
        <v>6200</v>
      </c>
      <c r="C1700" s="299" t="s">
        <v>6201</v>
      </c>
      <c r="D1700" s="298" t="s">
        <v>6202</v>
      </c>
      <c r="E1700" s="298" t="s">
        <v>349</v>
      </c>
      <c r="F1700" s="313">
        <v>43236</v>
      </c>
      <c r="G1700" s="331">
        <f ca="1">IF(ISBLANK(I1700),TODAY()-F1700,I1700-F1700)</f>
        <v>15</v>
      </c>
      <c r="H1700" s="282" t="s">
        <v>164</v>
      </c>
      <c r="I1700" s="283">
        <v>43251</v>
      </c>
      <c r="J1700" s="395" t="s">
        <v>5160</v>
      </c>
    </row>
    <row r="1701" spans="1:10" x14ac:dyDescent="0.45">
      <c r="A1701" s="309">
        <v>1696</v>
      </c>
      <c r="B1701" s="298" t="s">
        <v>6203</v>
      </c>
      <c r="C1701" s="298" t="s">
        <v>6204</v>
      </c>
      <c r="D1701" s="298" t="s">
        <v>6205</v>
      </c>
      <c r="E1701" s="298" t="s">
        <v>5002</v>
      </c>
      <c r="F1701" s="313">
        <v>43236</v>
      </c>
      <c r="G1701" s="331">
        <f ca="1">IF(ISBLANK(I1701),TODAY()-F1701,I1701-F1701)</f>
        <v>15</v>
      </c>
      <c r="H1701" s="282" t="s">
        <v>160</v>
      </c>
      <c r="I1701" s="283">
        <v>43251</v>
      </c>
      <c r="J1701" s="395" t="s">
        <v>5160</v>
      </c>
    </row>
    <row r="1702" spans="1:10" x14ac:dyDescent="0.45">
      <c r="A1702" s="298">
        <v>1697</v>
      </c>
      <c r="B1702" s="299" t="s">
        <v>6206</v>
      </c>
      <c r="C1702" s="299" t="s">
        <v>1138</v>
      </c>
      <c r="D1702" s="298" t="s">
        <v>6072</v>
      </c>
      <c r="E1702" s="298">
        <v>2</v>
      </c>
      <c r="F1702" s="313">
        <v>43236</v>
      </c>
      <c r="G1702" s="226">
        <f ca="1">IF(ISBLANK(I1702),TODAY()-F1702,I1702-F1702)</f>
        <v>0</v>
      </c>
      <c r="H1702" s="363" t="s">
        <v>64</v>
      </c>
      <c r="I1702" s="378">
        <v>43236</v>
      </c>
      <c r="J1702" s="278" t="s">
        <v>5160</v>
      </c>
    </row>
    <row r="1703" spans="1:10" x14ac:dyDescent="0.45">
      <c r="A1703" s="309">
        <v>1698</v>
      </c>
      <c r="B1703" s="298" t="s">
        <v>6207</v>
      </c>
      <c r="C1703" s="298" t="s">
        <v>5506</v>
      </c>
      <c r="D1703" s="298" t="s">
        <v>6208</v>
      </c>
      <c r="E1703" s="298">
        <v>1</v>
      </c>
      <c r="F1703" s="313">
        <v>43236</v>
      </c>
      <c r="G1703" s="226">
        <f ca="1">IF(ISBLANK(I1703),TODAY()-F1703,I1703-F1703)</f>
        <v>0</v>
      </c>
      <c r="H1703" s="363" t="s">
        <v>64</v>
      </c>
      <c r="I1703" s="378">
        <v>43236</v>
      </c>
      <c r="J1703" s="363" t="s">
        <v>5160</v>
      </c>
    </row>
    <row r="1704" spans="1:10" x14ac:dyDescent="0.45">
      <c r="A1704" s="298">
        <v>1699</v>
      </c>
      <c r="B1704" s="299" t="s">
        <v>6207</v>
      </c>
      <c r="C1704" s="299" t="s">
        <v>1165</v>
      </c>
      <c r="D1704" s="298" t="s">
        <v>6078</v>
      </c>
      <c r="E1704" s="298">
        <v>2</v>
      </c>
      <c r="F1704" s="313">
        <v>43236</v>
      </c>
      <c r="G1704" s="226">
        <f ca="1">IF(ISBLANK(I1704),TODAY()-F1704,I1704-F1704)</f>
        <v>2</v>
      </c>
      <c r="H1704" s="363" t="s">
        <v>5493</v>
      </c>
      <c r="I1704" s="378">
        <v>43238</v>
      </c>
      <c r="J1704" s="363" t="s">
        <v>5160</v>
      </c>
    </row>
    <row r="1705" spans="1:10" x14ac:dyDescent="0.45">
      <c r="A1705" s="298">
        <v>1671</v>
      </c>
      <c r="B1705" s="299" t="s">
        <v>6211</v>
      </c>
      <c r="C1705" s="299" t="s">
        <v>6212</v>
      </c>
      <c r="D1705" s="298" t="s">
        <v>6076</v>
      </c>
      <c r="E1705" s="298"/>
      <c r="F1705" s="313">
        <v>43236</v>
      </c>
      <c r="G1705" s="226">
        <f ca="1">IF(ISBLANK(I1705),TODAY()-F1705,I1705-F1705)</f>
        <v>14</v>
      </c>
      <c r="H1705" s="312" t="s">
        <v>64</v>
      </c>
      <c r="I1705" s="314">
        <v>43250</v>
      </c>
      <c r="J1705" s="312" t="s">
        <v>5160</v>
      </c>
    </row>
    <row r="1706" spans="1:10" x14ac:dyDescent="0.45">
      <c r="A1706" s="298">
        <v>1672</v>
      </c>
      <c r="B1706" s="299" t="s">
        <v>6213</v>
      </c>
      <c r="C1706" s="299" t="s">
        <v>6214</v>
      </c>
      <c r="D1706" s="298" t="s">
        <v>6215</v>
      </c>
      <c r="E1706" s="298">
        <v>1</v>
      </c>
      <c r="F1706" s="313">
        <v>43244</v>
      </c>
      <c r="G1706" s="226">
        <f ca="1">IF(ISBLANK(I1706),TODAY()-F1706,I1706-F1706)</f>
        <v>1</v>
      </c>
      <c r="H1706" s="312" t="s">
        <v>64</v>
      </c>
      <c r="I1706" s="314">
        <v>43245</v>
      </c>
      <c r="J1706" s="312" t="s">
        <v>5160</v>
      </c>
    </row>
    <row r="1707" spans="1:10" x14ac:dyDescent="0.45">
      <c r="A1707" s="298">
        <v>1673</v>
      </c>
      <c r="B1707" s="299" t="s">
        <v>6213</v>
      </c>
      <c r="C1707" s="299" t="s">
        <v>6216</v>
      </c>
      <c r="D1707" s="298" t="s">
        <v>6217</v>
      </c>
      <c r="E1707" s="298">
        <v>1</v>
      </c>
      <c r="F1707" s="313">
        <v>43244</v>
      </c>
      <c r="G1707" s="226">
        <f ca="1">IF(ISBLANK(I1707),TODAY()-F1707,I1707-F1707)</f>
        <v>1</v>
      </c>
      <c r="H1707" s="312" t="s">
        <v>64</v>
      </c>
      <c r="I1707" s="314">
        <v>43245</v>
      </c>
      <c r="J1707" s="312" t="s">
        <v>5160</v>
      </c>
    </row>
    <row r="1708" spans="1:10" x14ac:dyDescent="0.45">
      <c r="A1708" s="298">
        <v>1674</v>
      </c>
      <c r="B1708" s="299" t="s">
        <v>6218</v>
      </c>
      <c r="C1708" s="299" t="s">
        <v>6219</v>
      </c>
      <c r="D1708" s="298" t="s">
        <v>6220</v>
      </c>
      <c r="E1708" s="298"/>
      <c r="F1708" s="294">
        <v>43244</v>
      </c>
      <c r="G1708" s="226">
        <f ca="1">IF(ISBLANK(I1708),TODAY()-F1708,I1708-F1708)</f>
        <v>12</v>
      </c>
      <c r="H1708" s="312" t="s">
        <v>64</v>
      </c>
      <c r="I1708" s="314">
        <v>43256</v>
      </c>
      <c r="J1708" s="312" t="s">
        <v>5160</v>
      </c>
    </row>
    <row r="1709" spans="1:10" x14ac:dyDescent="0.45">
      <c r="A1709" s="298">
        <v>1670</v>
      </c>
      <c r="B1709" s="299" t="s">
        <v>6209</v>
      </c>
      <c r="C1709" s="299" t="s">
        <v>2575</v>
      </c>
      <c r="D1709" s="298" t="s">
        <v>6210</v>
      </c>
      <c r="E1709" s="298" t="s">
        <v>5002</v>
      </c>
      <c r="F1709" s="294">
        <v>43251</v>
      </c>
      <c r="G1709" s="226">
        <f ca="1">IF(ISBLANK(I1709),TODAY()-F1709,I1709-F1709)</f>
        <v>8</v>
      </c>
      <c r="H1709" s="312" t="s">
        <v>160</v>
      </c>
      <c r="I1709" s="314">
        <v>43259</v>
      </c>
      <c r="J1709" s="312" t="s">
        <v>5160</v>
      </c>
    </row>
    <row r="1710" spans="1:10" x14ac:dyDescent="0.45">
      <c r="A1710" s="298">
        <v>1675</v>
      </c>
      <c r="B1710" s="298" t="s">
        <v>6221</v>
      </c>
      <c r="C1710" s="298" t="s">
        <v>6222</v>
      </c>
      <c r="D1710" s="298" t="s">
        <v>338</v>
      </c>
      <c r="E1710" s="298" t="s">
        <v>65</v>
      </c>
      <c r="F1710" s="294">
        <v>43251</v>
      </c>
      <c r="G1710" s="315">
        <f ca="1">IF(ISBLANK(I1710),TODAY()-F1710,I1710-F1710)</f>
        <v>5</v>
      </c>
      <c r="H1710" s="312" t="s">
        <v>160</v>
      </c>
      <c r="I1710" s="314">
        <v>43256</v>
      </c>
      <c r="J1710" s="312" t="s">
        <v>5160</v>
      </c>
    </row>
    <row r="1711" spans="1:10" x14ac:dyDescent="0.45">
      <c r="A1711" s="298">
        <v>1676</v>
      </c>
      <c r="B1711" s="298" t="s">
        <v>6221</v>
      </c>
      <c r="C1711" s="298" t="s">
        <v>392</v>
      </c>
      <c r="D1711" s="298" t="s">
        <v>6223</v>
      </c>
      <c r="E1711" s="298" t="s">
        <v>65</v>
      </c>
      <c r="F1711" s="294">
        <v>43251</v>
      </c>
      <c r="G1711" s="315">
        <f ca="1">IF(ISBLANK(I1711),TODAY()-F1711,I1711-F1711)</f>
        <v>5</v>
      </c>
      <c r="H1711" s="312" t="s">
        <v>64</v>
      </c>
      <c r="I1711" s="314">
        <v>43256</v>
      </c>
      <c r="J1711" s="312" t="s">
        <v>5160</v>
      </c>
    </row>
    <row r="1712" spans="1:10" x14ac:dyDescent="0.45">
      <c r="A1712" s="298">
        <v>1677</v>
      </c>
      <c r="B1712" s="298" t="s">
        <v>6224</v>
      </c>
      <c r="C1712" s="298" t="s">
        <v>238</v>
      </c>
      <c r="D1712" s="298" t="s">
        <v>240</v>
      </c>
      <c r="E1712" s="298"/>
      <c r="F1712" s="294">
        <v>43251</v>
      </c>
      <c r="G1712" s="315">
        <f ca="1">IF(ISBLANK(I1712),TODAY()-F1712,I1712-F1712)</f>
        <v>38</v>
      </c>
      <c r="H1712" s="316" t="s">
        <v>160</v>
      </c>
      <c r="I1712" s="314">
        <v>43289</v>
      </c>
      <c r="J1712" s="312" t="s">
        <v>5160</v>
      </c>
    </row>
    <row r="1713" spans="1:10" x14ac:dyDescent="0.45">
      <c r="A1713" s="298">
        <v>1678</v>
      </c>
      <c r="B1713" s="298" t="s">
        <v>6225</v>
      </c>
      <c r="C1713" s="298" t="s">
        <v>1803</v>
      </c>
      <c r="D1713" s="298" t="s">
        <v>1805</v>
      </c>
      <c r="E1713" s="298" t="s">
        <v>349</v>
      </c>
      <c r="F1713" s="294">
        <v>43251</v>
      </c>
      <c r="G1713" s="315">
        <f ca="1">IF(ISBLANK(I1713),TODAY()-F1713,I1713-F1713)</f>
        <v>38</v>
      </c>
      <c r="H1713" s="316" t="s">
        <v>65</v>
      </c>
      <c r="I1713" s="314">
        <v>43289</v>
      </c>
      <c r="J1713" s="312" t="s">
        <v>5160</v>
      </c>
    </row>
    <row r="1714" spans="1:10" x14ac:dyDescent="0.45">
      <c r="A1714" s="298">
        <v>1679</v>
      </c>
      <c r="B1714" s="298" t="s">
        <v>6226</v>
      </c>
      <c r="C1714" s="298" t="s">
        <v>1771</v>
      </c>
      <c r="D1714" s="298" t="s">
        <v>6227</v>
      </c>
      <c r="E1714" s="298">
        <v>0</v>
      </c>
      <c r="F1714" s="294">
        <v>43256</v>
      </c>
      <c r="G1714" s="315">
        <f ca="1">IF(ISBLANK(I1714),TODAY()-F1714,I1714-F1714)</f>
        <v>33</v>
      </c>
      <c r="H1714" s="316" t="s">
        <v>160</v>
      </c>
      <c r="I1714" s="314">
        <v>43289</v>
      </c>
      <c r="J1714" s="312" t="s">
        <v>5160</v>
      </c>
    </row>
    <row r="1715" spans="1:10" x14ac:dyDescent="0.45">
      <c r="A1715" s="298">
        <v>1680</v>
      </c>
      <c r="B1715" s="298" t="s">
        <v>6226</v>
      </c>
      <c r="C1715" s="298" t="s">
        <v>1787</v>
      </c>
      <c r="D1715" s="298" t="s">
        <v>6228</v>
      </c>
      <c r="E1715" s="298">
        <v>0</v>
      </c>
      <c r="F1715" s="294">
        <v>43256</v>
      </c>
      <c r="G1715" s="315">
        <f ca="1">IF(ISBLANK(I1715),TODAY()-F1715,I1715-F1715)</f>
        <v>33</v>
      </c>
      <c r="H1715" s="316"/>
      <c r="I1715" s="314">
        <v>43289</v>
      </c>
      <c r="J1715" s="312" t="s">
        <v>5160</v>
      </c>
    </row>
    <row r="1716" spans="1:10" x14ac:dyDescent="0.45">
      <c r="A1716" s="298">
        <v>1681</v>
      </c>
      <c r="B1716" s="298" t="s">
        <v>2481</v>
      </c>
      <c r="C1716" s="298" t="s">
        <v>785</v>
      </c>
      <c r="D1716" s="298" t="s">
        <v>787</v>
      </c>
      <c r="E1716" s="298">
        <v>0</v>
      </c>
      <c r="F1716" s="294">
        <v>43256</v>
      </c>
      <c r="G1716" s="315">
        <f ca="1">IF(ISBLANK(I1716),TODAY()-F1716,I1716-F1716)</f>
        <v>33</v>
      </c>
      <c r="H1716" s="316" t="s">
        <v>65</v>
      </c>
      <c r="I1716" s="314">
        <v>43289</v>
      </c>
      <c r="J1716" s="312" t="s">
        <v>5160</v>
      </c>
    </row>
    <row r="1717" spans="1:10" x14ac:dyDescent="0.45">
      <c r="A1717" s="298">
        <v>1682</v>
      </c>
      <c r="B1717" s="298" t="s">
        <v>6229</v>
      </c>
      <c r="C1717" s="298" t="s">
        <v>6230</v>
      </c>
      <c r="D1717" s="298" t="s">
        <v>2177</v>
      </c>
      <c r="E1717" s="298" t="s">
        <v>65</v>
      </c>
      <c r="F1717" s="294">
        <v>43256</v>
      </c>
      <c r="G1717" s="315">
        <f ca="1">IF(ISBLANK(I1717),TODAY()-F1717,I1717-F1717)</f>
        <v>33</v>
      </c>
      <c r="H1717" s="316" t="s">
        <v>65</v>
      </c>
      <c r="I1717" s="314">
        <v>43289</v>
      </c>
      <c r="J1717" s="312" t="s">
        <v>5160</v>
      </c>
    </row>
    <row r="1718" spans="1:10" x14ac:dyDescent="0.45">
      <c r="A1718" s="298">
        <v>1683</v>
      </c>
      <c r="B1718" s="298" t="s">
        <v>6229</v>
      </c>
      <c r="C1718" s="298" t="s">
        <v>6231</v>
      </c>
      <c r="D1718" s="298" t="s">
        <v>6232</v>
      </c>
      <c r="E1718" s="298" t="s">
        <v>65</v>
      </c>
      <c r="F1718" s="294">
        <v>43256</v>
      </c>
      <c r="G1718" s="315">
        <f ca="1">IF(ISBLANK(I1718),TODAY()-F1718,I1718-F1718)</f>
        <v>33</v>
      </c>
      <c r="H1718" s="316" t="s">
        <v>65</v>
      </c>
      <c r="I1718" s="314">
        <v>43289</v>
      </c>
      <c r="J1718" s="312" t="s">
        <v>5160</v>
      </c>
    </row>
    <row r="1719" spans="1:10" x14ac:dyDescent="0.45">
      <c r="A1719" s="298">
        <v>1684</v>
      </c>
      <c r="B1719" s="298" t="s">
        <v>6233</v>
      </c>
      <c r="C1719" s="298" t="s">
        <v>2493</v>
      </c>
      <c r="D1719" s="298" t="s">
        <v>2495</v>
      </c>
      <c r="E1719" s="298" t="s">
        <v>65</v>
      </c>
      <c r="F1719" s="294">
        <v>43279</v>
      </c>
      <c r="G1719" s="315">
        <f ca="1">IF(ISBLANK(I1719),TODAY()-F1719,I1719-F1719)</f>
        <v>2645</v>
      </c>
      <c r="H1719" s="316"/>
      <c r="I1719" s="316"/>
      <c r="J1719" s="316"/>
    </row>
    <row r="1720" spans="1:10" x14ac:dyDescent="0.45">
      <c r="A1720" s="298">
        <v>1685</v>
      </c>
      <c r="B1720" s="298" t="s">
        <v>6234</v>
      </c>
      <c r="C1720" s="298" t="s">
        <v>6235</v>
      </c>
      <c r="D1720" s="298" t="s">
        <v>6236</v>
      </c>
      <c r="E1720" s="298"/>
      <c r="F1720" s="294">
        <v>43279</v>
      </c>
      <c r="G1720" s="315">
        <f ca="1">IF(ISBLANK(I1720),TODAY()-F1720,I1720-F1720)</f>
        <v>2645</v>
      </c>
      <c r="H1720" s="316"/>
      <c r="I1720" s="316"/>
      <c r="J1720" s="316"/>
    </row>
    <row r="1721" spans="1:10" x14ac:dyDescent="0.45">
      <c r="A1721" s="298">
        <v>1686</v>
      </c>
      <c r="B1721" s="298" t="s">
        <v>6237</v>
      </c>
      <c r="C1721" s="298" t="s">
        <v>6238</v>
      </c>
      <c r="D1721" s="298" t="s">
        <v>6239</v>
      </c>
      <c r="E1721" s="298"/>
      <c r="F1721" s="294">
        <v>43279</v>
      </c>
      <c r="G1721" s="315">
        <f ca="1">IF(ISBLANK(I1721),TODAY()-F1721,I1721-F1721)</f>
        <v>2645</v>
      </c>
      <c r="H1721" s="316"/>
      <c r="I1721" s="316"/>
      <c r="J1721" s="316"/>
    </row>
    <row r="1722" spans="1:10" x14ac:dyDescent="0.45">
      <c r="A1722" s="298">
        <v>1687</v>
      </c>
      <c r="B1722" s="298" t="s">
        <v>6240</v>
      </c>
      <c r="C1722" s="298" t="s">
        <v>1065</v>
      </c>
      <c r="D1722" s="298" t="s">
        <v>1067</v>
      </c>
      <c r="E1722" s="298" t="s">
        <v>160</v>
      </c>
      <c r="F1722" s="294">
        <v>43279</v>
      </c>
      <c r="G1722" s="315">
        <f ca="1">IF(ISBLANK(I1722),TODAY()-F1722,I1722-F1722)</f>
        <v>2645</v>
      </c>
      <c r="H1722" s="316"/>
      <c r="I1722" s="316"/>
      <c r="J1722" s="316"/>
    </row>
    <row r="1723" spans="1:10" x14ac:dyDescent="0.45">
      <c r="A1723" s="298">
        <v>1688</v>
      </c>
      <c r="B1723" s="298" t="s">
        <v>6241</v>
      </c>
      <c r="C1723" s="298" t="s">
        <v>6242</v>
      </c>
      <c r="D1723" s="298" t="s">
        <v>6243</v>
      </c>
      <c r="E1723" s="298"/>
      <c r="F1723" s="294">
        <v>43279</v>
      </c>
      <c r="G1723" s="315">
        <f ca="1">IF(ISBLANK(I1723),TODAY()-F1723,I1723-F1723)</f>
        <v>2645</v>
      </c>
      <c r="H1723" s="316"/>
      <c r="I1723" s="316"/>
      <c r="J1723" s="316"/>
    </row>
    <row r="1724" spans="1:10" x14ac:dyDescent="0.45">
      <c r="A1724" s="298">
        <v>1691</v>
      </c>
      <c r="B1724" s="298" t="s">
        <v>2466</v>
      </c>
      <c r="C1724" s="298" t="s">
        <v>444</v>
      </c>
      <c r="D1724" s="298" t="s">
        <v>446</v>
      </c>
      <c r="E1724" s="298">
        <v>0</v>
      </c>
      <c r="F1724" s="294">
        <v>43279</v>
      </c>
      <c r="G1724" s="315">
        <f ca="1">IF(ISBLANK(I1724),TODAY()-F1724,I1724-F1724)</f>
        <v>1</v>
      </c>
      <c r="H1724" s="316" t="s">
        <v>64</v>
      </c>
      <c r="I1724" s="270">
        <v>43280</v>
      </c>
      <c r="J1724" s="316" t="s">
        <v>5160</v>
      </c>
    </row>
    <row r="1725" spans="1:10" x14ac:dyDescent="0.45">
      <c r="A1725" s="298">
        <v>1692</v>
      </c>
      <c r="B1725" s="298" t="s">
        <v>2466</v>
      </c>
      <c r="C1725" s="298" t="s">
        <v>483</v>
      </c>
      <c r="D1725" s="298" t="s">
        <v>6245</v>
      </c>
      <c r="E1725" s="298">
        <v>0</v>
      </c>
      <c r="F1725" s="294">
        <v>43279</v>
      </c>
      <c r="G1725" s="315">
        <f ca="1">IF(ISBLANK(I1725),TODAY()-F1725,I1725-F1725)</f>
        <v>1</v>
      </c>
      <c r="H1725" s="316" t="s">
        <v>160</v>
      </c>
      <c r="I1725" s="270">
        <v>43280</v>
      </c>
      <c r="J1725" s="316"/>
    </row>
    <row r="1726" spans="1:10" x14ac:dyDescent="0.45">
      <c r="A1726" s="298">
        <v>1693</v>
      </c>
      <c r="B1726" s="298" t="s">
        <v>2466</v>
      </c>
      <c r="C1726" s="298" t="s">
        <v>495</v>
      </c>
      <c r="D1726" s="298" t="s">
        <v>497</v>
      </c>
      <c r="E1726" s="298">
        <v>0</v>
      </c>
      <c r="F1726" s="294">
        <v>43279</v>
      </c>
      <c r="G1726" s="315">
        <f ca="1">IF(ISBLANK(I1726),TODAY()-F1726,I1726-F1726)</f>
        <v>1</v>
      </c>
      <c r="H1726" s="316" t="s">
        <v>64</v>
      </c>
      <c r="I1726" s="270">
        <v>43280</v>
      </c>
      <c r="J1726" s="316" t="s">
        <v>5160</v>
      </c>
    </row>
    <row r="1727" spans="1:10" x14ac:dyDescent="0.45">
      <c r="A1727" s="298">
        <v>1694</v>
      </c>
      <c r="B1727" s="298" t="s">
        <v>6246</v>
      </c>
      <c r="C1727" s="298" t="s">
        <v>1172</v>
      </c>
      <c r="D1727" s="298" t="s">
        <v>1174</v>
      </c>
      <c r="E1727" s="298">
        <v>2</v>
      </c>
      <c r="F1727" s="294">
        <v>43279</v>
      </c>
      <c r="G1727" s="315">
        <f ca="1">IF(ISBLANK(I1727),TODAY()-F1727,I1727-F1727)</f>
        <v>1</v>
      </c>
      <c r="H1727" s="316" t="s">
        <v>64</v>
      </c>
      <c r="I1727" s="270">
        <v>43280</v>
      </c>
      <c r="J1727" s="316" t="s">
        <v>5160</v>
      </c>
    </row>
    <row r="1728" spans="1:10" x14ac:dyDescent="0.45">
      <c r="A1728" s="298">
        <v>1695</v>
      </c>
      <c r="B1728" s="298" t="s">
        <v>6247</v>
      </c>
      <c r="C1728" s="298" t="s">
        <v>1054</v>
      </c>
      <c r="D1728" s="298" t="s">
        <v>1056</v>
      </c>
      <c r="E1728" s="298">
        <v>1</v>
      </c>
      <c r="F1728" s="294">
        <v>43279</v>
      </c>
      <c r="G1728" s="315" t="e">
        <f ca="1">IF(ISBLANK(I1728),TODAY()-F1728,I1728-F1728)</f>
        <v>#VALUE!</v>
      </c>
      <c r="H1728" s="316" t="s">
        <v>64</v>
      </c>
      <c r="I1728" s="316" t="s">
        <v>6248</v>
      </c>
      <c r="J1728" s="316" t="s">
        <v>5160</v>
      </c>
    </row>
    <row r="1729" spans="1:10" x14ac:dyDescent="0.45">
      <c r="A1729" s="298">
        <v>1702</v>
      </c>
      <c r="B1729" s="298" t="s">
        <v>6255</v>
      </c>
      <c r="C1729" s="298" t="s">
        <v>6256</v>
      </c>
      <c r="D1729" s="298" t="s">
        <v>6257</v>
      </c>
      <c r="E1729" s="298"/>
      <c r="F1729" s="294">
        <v>43279</v>
      </c>
      <c r="G1729" s="315">
        <f ca="1">IF(ISBLANK(I1729),TODAY()-F1729,I1729-F1729)</f>
        <v>2645</v>
      </c>
      <c r="H1729" s="316"/>
      <c r="I1729" s="316"/>
      <c r="J1729" s="316"/>
    </row>
    <row r="1730" spans="1:10" x14ac:dyDescent="0.45">
      <c r="A1730" s="298">
        <v>1690</v>
      </c>
      <c r="B1730" s="298" t="s">
        <v>2454</v>
      </c>
      <c r="C1730" s="298" t="s">
        <v>392</v>
      </c>
      <c r="D1730" s="298" t="s">
        <v>6244</v>
      </c>
      <c r="E1730" s="298">
        <v>0</v>
      </c>
      <c r="F1730" s="294">
        <v>43286</v>
      </c>
      <c r="G1730" s="315">
        <f ca="1">IF(ISBLANK(I1730),TODAY()-F1730,I1730-F1730)</f>
        <v>2638</v>
      </c>
      <c r="H1730" s="316"/>
      <c r="I1730" s="316"/>
      <c r="J1730" s="316"/>
    </row>
    <row r="1731" spans="1:10" x14ac:dyDescent="0.45">
      <c r="A1731" s="298">
        <v>1696</v>
      </c>
      <c r="B1731" s="298" t="s">
        <v>6249</v>
      </c>
      <c r="C1731" s="298" t="s">
        <v>2499</v>
      </c>
      <c r="D1731" s="298" t="s">
        <v>2501</v>
      </c>
      <c r="E1731" s="298" t="s">
        <v>65</v>
      </c>
      <c r="F1731" s="294">
        <v>43286</v>
      </c>
      <c r="G1731" s="315">
        <f ca="1">IF(ISBLANK(I1731),TODAY()-F1731,I1731-F1731)</f>
        <v>2638</v>
      </c>
      <c r="H1731" s="316"/>
      <c r="I1731" s="316"/>
      <c r="J1731" s="316"/>
    </row>
    <row r="1732" spans="1:10" x14ac:dyDescent="0.45">
      <c r="A1732" s="298">
        <v>1700</v>
      </c>
      <c r="B1732" s="298" t="s">
        <v>6252</v>
      </c>
      <c r="C1732" s="298" t="s">
        <v>739</v>
      </c>
      <c r="D1732" s="298" t="s">
        <v>6253</v>
      </c>
      <c r="E1732" s="298" t="s">
        <v>65</v>
      </c>
      <c r="F1732" s="294">
        <v>43286</v>
      </c>
      <c r="G1732" s="315">
        <f ca="1">IF(ISBLANK(I1732),TODAY()-F1732,I1732-F1732)</f>
        <v>2638</v>
      </c>
      <c r="H1732" s="316"/>
      <c r="I1732" s="316"/>
      <c r="J1732" s="316"/>
    </row>
    <row r="1733" spans="1:10" x14ac:dyDescent="0.45">
      <c r="A1733" s="298">
        <v>1701</v>
      </c>
      <c r="B1733" s="298" t="s">
        <v>6252</v>
      </c>
      <c r="C1733" s="298" t="s">
        <v>773</v>
      </c>
      <c r="D1733" s="298" t="s">
        <v>6254</v>
      </c>
      <c r="E1733" s="298" t="s">
        <v>65</v>
      </c>
      <c r="F1733" s="294">
        <v>43286</v>
      </c>
      <c r="G1733" s="315">
        <f ca="1">IF(ISBLANK(I1733),TODAY()-F1733,I1733-F1733)</f>
        <v>2638</v>
      </c>
      <c r="H1733" s="316"/>
      <c r="I1733" s="316"/>
      <c r="J1733" s="316"/>
    </row>
    <row r="1734" spans="1:10" x14ac:dyDescent="0.45">
      <c r="A1734" s="298">
        <v>1703</v>
      </c>
      <c r="B1734" s="298" t="s">
        <v>6258</v>
      </c>
      <c r="C1734" s="298" t="s">
        <v>1790</v>
      </c>
      <c r="D1734" s="298" t="s">
        <v>1792</v>
      </c>
      <c r="E1734" s="298" t="s">
        <v>160</v>
      </c>
      <c r="F1734" s="294">
        <v>43286</v>
      </c>
      <c r="G1734" s="315">
        <f ca="1">IF(ISBLANK(I1734),TODAY()-F1734,I1734-F1734)</f>
        <v>2638</v>
      </c>
      <c r="H1734" s="316"/>
      <c r="I1734" s="316"/>
      <c r="J1734" s="316"/>
    </row>
    <row r="1735" spans="1:10" x14ac:dyDescent="0.45">
      <c r="A1735" s="298">
        <v>1704</v>
      </c>
      <c r="B1735" s="298" t="s">
        <v>2596</v>
      </c>
      <c r="C1735" s="298" t="s">
        <v>1868</v>
      </c>
      <c r="D1735" s="298" t="s">
        <v>1870</v>
      </c>
      <c r="E1735" s="298">
        <v>1</v>
      </c>
      <c r="F1735" s="294">
        <v>43286</v>
      </c>
      <c r="G1735" s="315">
        <f ca="1">IF(ISBLANK(I1735),TODAY()-F1735,I1735-F1735)</f>
        <v>2638</v>
      </c>
      <c r="H1735" s="316"/>
      <c r="I1735" s="316"/>
      <c r="J1735" s="316"/>
    </row>
    <row r="1736" spans="1:10" x14ac:dyDescent="0.45">
      <c r="A1736" s="298">
        <v>1705</v>
      </c>
      <c r="B1736" s="298" t="s">
        <v>6259</v>
      </c>
      <c r="C1736" s="298" t="s">
        <v>1699</v>
      </c>
      <c r="D1736" s="298" t="s">
        <v>6260</v>
      </c>
      <c r="E1736" s="298" t="s">
        <v>65</v>
      </c>
      <c r="F1736" s="294">
        <v>43286</v>
      </c>
      <c r="G1736" s="315">
        <f ca="1">IF(ISBLANK(I1736),TODAY()-F1736,I1736-F1736)</f>
        <v>2638</v>
      </c>
      <c r="H1736" s="316"/>
      <c r="I1736" s="316"/>
      <c r="J1736" s="316"/>
    </row>
    <row r="1737" spans="1:10" x14ac:dyDescent="0.45">
      <c r="A1737" s="298">
        <v>1706</v>
      </c>
      <c r="B1737" s="298" t="s">
        <v>6261</v>
      </c>
      <c r="C1737" s="298" t="s">
        <v>1201</v>
      </c>
      <c r="D1737" s="298" t="s">
        <v>6262</v>
      </c>
      <c r="E1737" s="298" t="s">
        <v>65</v>
      </c>
      <c r="F1737" s="294">
        <v>43286</v>
      </c>
      <c r="G1737" s="315">
        <f ca="1">IF(ISBLANK(I1737),TODAY()-F1737,I1737-F1737)</f>
        <v>2638</v>
      </c>
      <c r="H1737" s="316"/>
      <c r="I1737" s="316"/>
      <c r="J1737" s="316"/>
    </row>
    <row r="1738" spans="1:10" x14ac:dyDescent="0.45">
      <c r="A1738" s="298">
        <v>1707</v>
      </c>
      <c r="B1738" s="298" t="s">
        <v>6263</v>
      </c>
      <c r="C1738" s="298" t="s">
        <v>6264</v>
      </c>
      <c r="D1738" s="298" t="s">
        <v>6265</v>
      </c>
      <c r="E1738" s="298"/>
      <c r="F1738" s="294">
        <v>43286</v>
      </c>
      <c r="G1738" s="315">
        <f ca="1">IF(ISBLANK(I1738),TODAY()-F1738,I1738-F1738)</f>
        <v>2638</v>
      </c>
      <c r="H1738" s="316"/>
      <c r="I1738" s="316"/>
      <c r="J1738" s="316"/>
    </row>
    <row r="1739" spans="1:10" x14ac:dyDescent="0.45">
      <c r="A1739" s="298">
        <v>1709</v>
      </c>
      <c r="B1739" s="298" t="s">
        <v>6266</v>
      </c>
      <c r="C1739" s="298" t="s">
        <v>2610</v>
      </c>
      <c r="D1739" s="298" t="s">
        <v>2612</v>
      </c>
      <c r="E1739" s="298" t="s">
        <v>65</v>
      </c>
      <c r="F1739" s="294">
        <v>43286</v>
      </c>
      <c r="G1739" s="315">
        <f ca="1">IF(ISBLANK(I1739),TODAY()-F1739,I1739-F1739)</f>
        <v>2638</v>
      </c>
      <c r="H1739" s="316"/>
      <c r="I1739" s="316"/>
      <c r="J1739" s="316"/>
    </row>
    <row r="1740" spans="1:10" x14ac:dyDescent="0.45">
      <c r="A1740" s="298">
        <v>1710</v>
      </c>
      <c r="B1740" s="298" t="s">
        <v>6267</v>
      </c>
      <c r="C1740" s="298" t="s">
        <v>1761</v>
      </c>
      <c r="D1740" s="298" t="s">
        <v>6268</v>
      </c>
      <c r="E1740" s="298" t="s">
        <v>164</v>
      </c>
      <c r="F1740" s="294">
        <v>43286</v>
      </c>
      <c r="G1740" s="317"/>
      <c r="H1740" s="316"/>
      <c r="I1740" s="316"/>
      <c r="J1740" s="316"/>
    </row>
    <row r="1741" spans="1:10" x14ac:dyDescent="0.45">
      <c r="A1741" s="298">
        <v>1711</v>
      </c>
      <c r="B1741" s="298" t="s">
        <v>6269</v>
      </c>
      <c r="C1741" s="298" t="s">
        <v>336</v>
      </c>
      <c r="D1741" s="298" t="s">
        <v>338</v>
      </c>
      <c r="E1741" s="298">
        <v>1</v>
      </c>
      <c r="F1741" s="294">
        <v>43286</v>
      </c>
      <c r="G1741" s="317"/>
      <c r="H1741" s="316"/>
      <c r="I1741" s="316"/>
      <c r="J1741" s="316"/>
    </row>
    <row r="1742" spans="1:10" x14ac:dyDescent="0.45">
      <c r="A1742" s="298">
        <v>1712</v>
      </c>
      <c r="B1742" s="298" t="s">
        <v>6270</v>
      </c>
      <c r="C1742" s="298" t="s">
        <v>1693</v>
      </c>
      <c r="D1742" s="298" t="s">
        <v>6271</v>
      </c>
      <c r="E1742" s="298">
        <v>1</v>
      </c>
      <c r="F1742" s="294">
        <v>43286</v>
      </c>
      <c r="G1742" s="317"/>
      <c r="H1742" s="316"/>
      <c r="I1742" s="316"/>
      <c r="J1742" s="316"/>
    </row>
    <row r="1743" spans="1:10" x14ac:dyDescent="0.45">
      <c r="A1743" s="298">
        <v>1697</v>
      </c>
      <c r="B1743" s="298" t="s">
        <v>6249</v>
      </c>
      <c r="C1743" s="298" t="s">
        <v>6250</v>
      </c>
      <c r="D1743" s="298" t="s">
        <v>2505</v>
      </c>
      <c r="E1743" s="298" t="s">
        <v>65</v>
      </c>
      <c r="F1743" s="294">
        <v>43287</v>
      </c>
      <c r="G1743" s="315">
        <f ca="1">IF(ISBLANK(I1743),TODAY()-F1743,I1743-F1743)</f>
        <v>2637</v>
      </c>
      <c r="H1743" s="316"/>
      <c r="I1743" s="316"/>
      <c r="J1743" s="316"/>
    </row>
    <row r="1744" spans="1:10" x14ac:dyDescent="0.45">
      <c r="A1744" s="298">
        <v>1698</v>
      </c>
      <c r="B1744" s="298" t="s">
        <v>6249</v>
      </c>
      <c r="C1744" s="298" t="s">
        <v>2507</v>
      </c>
      <c r="D1744" s="298" t="s">
        <v>2509</v>
      </c>
      <c r="E1744" s="298" t="s">
        <v>65</v>
      </c>
      <c r="F1744" s="294">
        <v>43288</v>
      </c>
      <c r="G1744" s="315">
        <f ca="1">IF(ISBLANK(I1744),TODAY()-F1744,I1744-F1744)</f>
        <v>2636</v>
      </c>
      <c r="H1744" s="316"/>
      <c r="I1744" s="316"/>
      <c r="J1744" s="316"/>
    </row>
    <row r="1745" spans="1:10" x14ac:dyDescent="0.45">
      <c r="A1745" s="327">
        <v>1699</v>
      </c>
      <c r="B1745" s="327" t="s">
        <v>6249</v>
      </c>
      <c r="C1745" s="327" t="s">
        <v>2512</v>
      </c>
      <c r="D1745" s="327" t="s">
        <v>6251</v>
      </c>
      <c r="E1745" s="327" t="s">
        <v>65</v>
      </c>
      <c r="F1745" s="328">
        <v>43289</v>
      </c>
      <c r="G1745" s="397">
        <f ca="1">IF(ISBLANK(I1745),TODAY()-F1745,I1745-F1745)</f>
        <v>2635</v>
      </c>
      <c r="H1745" s="329"/>
      <c r="I1745" s="329"/>
      <c r="J1745" s="329"/>
    </row>
    <row r="1746" spans="1:10" x14ac:dyDescent="0.45">
      <c r="A1746" s="298">
        <v>1713</v>
      </c>
      <c r="B1746" s="298"/>
      <c r="C1746" s="298"/>
      <c r="D1746" s="298"/>
      <c r="E1746" s="298"/>
      <c r="F1746" s="294"/>
      <c r="G1746" s="317"/>
      <c r="H1746" s="316"/>
      <c r="I1746" s="316"/>
      <c r="J1746" s="316"/>
    </row>
    <row r="1747" spans="1:10" x14ac:dyDescent="0.45">
      <c r="A1747" s="298">
        <v>1714</v>
      </c>
      <c r="B1747" s="298"/>
      <c r="C1747" s="298"/>
      <c r="D1747" s="298"/>
      <c r="E1747" s="298"/>
      <c r="F1747" s="294"/>
      <c r="G1747" s="317"/>
      <c r="H1747" s="316"/>
      <c r="I1747" s="316"/>
      <c r="J1747" s="316"/>
    </row>
    <row r="1748" spans="1:10" x14ac:dyDescent="0.45">
      <c r="A1748" s="298">
        <v>1715</v>
      </c>
      <c r="B1748" s="298"/>
      <c r="C1748" s="298"/>
      <c r="D1748" s="298"/>
      <c r="E1748" s="298"/>
      <c r="F1748" s="294"/>
      <c r="G1748" s="317"/>
      <c r="H1748" s="316"/>
      <c r="I1748" s="316"/>
      <c r="J1748" s="316"/>
    </row>
    <row r="1749" spans="1:10" x14ac:dyDescent="0.45">
      <c r="A1749" s="298">
        <v>1716</v>
      </c>
      <c r="B1749" s="298"/>
      <c r="C1749" s="298"/>
      <c r="D1749" s="298"/>
      <c r="E1749" s="298"/>
      <c r="F1749" s="294"/>
      <c r="G1749" s="317"/>
      <c r="H1749" s="316"/>
      <c r="I1749" s="316"/>
      <c r="J1749" s="316"/>
    </row>
    <row r="1750" spans="1:10" x14ac:dyDescent="0.45">
      <c r="A1750" s="298">
        <v>1717</v>
      </c>
      <c r="B1750" s="298"/>
      <c r="C1750" s="298"/>
      <c r="D1750" s="298"/>
      <c r="E1750" s="298"/>
      <c r="F1750" s="294"/>
      <c r="G1750" s="317"/>
      <c r="H1750" s="316"/>
      <c r="I1750" s="316"/>
      <c r="J1750" s="316"/>
    </row>
  </sheetData>
  <sortState xmlns:xlrd2="http://schemas.microsoft.com/office/spreadsheetml/2017/richdata2" ref="A4:K1750">
    <sortCondition ref="F4:F1750"/>
  </sortState>
  <mergeCells count="2">
    <mergeCell ref="A2:G2"/>
    <mergeCell ref="H2:J2"/>
  </mergeCells>
  <phoneticPr fontId="24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V2:V29"/>
  <sheetViews>
    <sheetView topLeftCell="H1" workbookViewId="0">
      <selection activeCell="X6" sqref="X6"/>
    </sheetView>
  </sheetViews>
  <sheetFormatPr defaultColWidth="9" defaultRowHeight="17" x14ac:dyDescent="0.45"/>
  <sheetData>
    <row r="2" spans="22:22" x14ac:dyDescent="0.45">
      <c r="V2" s="1"/>
    </row>
    <row r="3" spans="22:22" x14ac:dyDescent="0.45">
      <c r="V3" s="2"/>
    </row>
    <row r="4" spans="22:22" x14ac:dyDescent="0.45">
      <c r="V4" s="2"/>
    </row>
    <row r="5" spans="22:22" x14ac:dyDescent="0.45">
      <c r="V5" s="3">
        <v>156284</v>
      </c>
    </row>
    <row r="6" spans="22:22" x14ac:dyDescent="0.45">
      <c r="V6" s="3">
        <v>156132</v>
      </c>
    </row>
    <row r="7" spans="22:22" x14ac:dyDescent="0.45">
      <c r="V7" s="3"/>
    </row>
    <row r="8" spans="22:22" x14ac:dyDescent="0.45">
      <c r="V8" s="3"/>
    </row>
    <row r="9" spans="22:22" x14ac:dyDescent="0.45">
      <c r="V9" s="3"/>
    </row>
    <row r="10" spans="22:22" x14ac:dyDescent="0.45">
      <c r="V10" s="3"/>
    </row>
    <row r="11" spans="22:22" x14ac:dyDescent="0.45">
      <c r="V11" s="3"/>
    </row>
    <row r="12" spans="22:22" x14ac:dyDescent="0.45">
      <c r="V12" s="4"/>
    </row>
    <row r="13" spans="22:22" x14ac:dyDescent="0.45">
      <c r="V13" s="4"/>
    </row>
    <row r="14" spans="22:22" x14ac:dyDescent="0.45">
      <c r="V14" s="4"/>
    </row>
    <row r="15" spans="22:22" x14ac:dyDescent="0.45">
      <c r="V15" s="4"/>
    </row>
    <row r="16" spans="22:22" x14ac:dyDescent="0.45">
      <c r="V16" s="4"/>
    </row>
    <row r="17" spans="22:22" x14ac:dyDescent="0.45">
      <c r="V17" s="4"/>
    </row>
    <row r="18" spans="22:22" x14ac:dyDescent="0.45">
      <c r="V18" s="4"/>
    </row>
    <row r="19" spans="22:22" x14ac:dyDescent="0.45">
      <c r="V19" s="4"/>
    </row>
    <row r="20" spans="22:22" x14ac:dyDescent="0.45">
      <c r="V20" s="4"/>
    </row>
    <row r="21" spans="22:22" x14ac:dyDescent="0.45">
      <c r="V21" s="4"/>
    </row>
    <row r="22" spans="22:22" x14ac:dyDescent="0.45">
      <c r="V22" s="5"/>
    </row>
    <row r="23" spans="22:22" x14ac:dyDescent="0.45">
      <c r="V23" s="3"/>
    </row>
    <row r="24" spans="22:22" x14ac:dyDescent="0.45">
      <c r="V24" s="3"/>
    </row>
    <row r="25" spans="22:22" x14ac:dyDescent="0.45">
      <c r="V25" s="6"/>
    </row>
    <row r="26" spans="22:22" x14ac:dyDescent="0.45">
      <c r="V26" s="3"/>
    </row>
    <row r="27" spans="22:22" x14ac:dyDescent="0.45">
      <c r="V27" s="7"/>
    </row>
    <row r="28" spans="22:22" x14ac:dyDescent="0.45">
      <c r="V28" s="7"/>
    </row>
    <row r="29" spans="22:22" x14ac:dyDescent="0.45">
      <c r="V29" s="8"/>
    </row>
  </sheetData>
  <phoneticPr fontId="24" type="noConversion"/>
  <pageMargins left="0.69930555555555596" right="0.69930555555555596" top="0.75" bottom="0.75" header="0.3" footer="0.3"/>
</worksheet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제출현황</vt:lpstr>
      <vt:lpstr>DDCL(DHI-PP) 2020-10-21</vt:lpstr>
      <vt:lpstr>Sheet1 (2)</vt:lpstr>
      <vt:lpstr>Sheet1</vt:lpstr>
      <vt:lpstr>'DDCL(DHI-PP) 2020-10-21'!Print_Titles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PL010483</dc:creator>
  <cp:lastModifiedBy>강명철(Myeongcheol Kang) 수석 두산에너빌리티</cp:lastModifiedBy>
  <cp:lastPrinted>2018-04-27T09:06:00Z</cp:lastPrinted>
  <dcterms:created xsi:type="dcterms:W3CDTF">2016-10-19T06:09:00Z</dcterms:created>
  <dcterms:modified xsi:type="dcterms:W3CDTF">2025-09-24T04:44:10Z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